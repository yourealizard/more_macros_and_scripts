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Nguyen\Desktop\MIGRATE TO GITHUB\"/>
    </mc:Choice>
  </mc:AlternateContent>
  <xr:revisionPtr revIDLastSave="0" documentId="13_ncr:1_{3C142638-294C-4D46-8D87-69D17A9AFEA9}" xr6:coauthVersionLast="45" xr6:coauthVersionMax="45" xr10:uidLastSave="{00000000-0000-0000-0000-000000000000}"/>
  <bookViews>
    <workbookView xWindow="-120" yWindow="-120" windowWidth="29040" windowHeight="15840" xr2:uid="{BE887E6B-B05D-479C-85C1-2386EEA3E820}"/>
  </bookViews>
  <sheets>
    <sheet name="Vendor Summary Log" sheetId="8" r:id="rId1"/>
    <sheet name="Directory Snapshot" sheetId="6" r:id="rId2"/>
    <sheet name="PULL_UPDATES" sheetId="7" r:id="rId3"/>
    <sheet name="New Service Providers on List" sheetId="5" state="hidden" r:id="rId4"/>
    <sheet name="FTE" sheetId="4" state="hidden" r:id="rId5"/>
    <sheet name="Master Data" sheetId="3" state="hidden" r:id="rId6"/>
    <sheet name="ORG&gt;" sheetId="2" state="hidden" r:id="rId7"/>
  </sheets>
  <definedNames>
    <definedName name="_xlnm._FilterDatabase" localSheetId="1" hidden="1">'Directory Snapshot'!$A$1:$F$191</definedName>
    <definedName name="_xlnm._FilterDatabase" localSheetId="5" hidden="1">'Master Data'!$A$1:$V$295</definedName>
    <definedName name="_xlnm._FilterDatabase" localSheetId="3" hidden="1">'New Service Providers on List'!$A$1:$B$1</definedName>
    <definedName name="_xlnm._FilterDatabase" localSheetId="6" hidden="1">'ORG&gt;'!$A$1:$N$456</definedName>
    <definedName name="_xlnm._FilterDatabase" localSheetId="2" hidden="1">PULL_UPDATES!$A$1:$C$214</definedName>
    <definedName name="_xlnm._FilterDatabase" localSheetId="0" hidden="1">'Vendor Summary Log'!#REF!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" i="7"/>
  <c r="B229" i="7" l="1"/>
  <c r="C230" i="7"/>
  <c r="C231" i="7"/>
  <c r="B232" i="7"/>
  <c r="B233" i="7"/>
  <c r="B234" i="7"/>
  <c r="C235" i="7"/>
  <c r="C236" i="7"/>
  <c r="B243" i="7"/>
  <c r="C243" i="7"/>
  <c r="B244" i="7"/>
  <c r="C244" i="7"/>
  <c r="B245" i="7"/>
  <c r="C245" i="7"/>
  <c r="B246" i="7"/>
  <c r="C246" i="7"/>
  <c r="B247" i="7"/>
  <c r="C247" i="7"/>
  <c r="C237" i="7"/>
  <c r="B238" i="7"/>
  <c r="C239" i="7"/>
  <c r="C240" i="7"/>
  <c r="B241" i="7"/>
  <c r="C242" i="7"/>
  <c r="B235" i="7" l="1"/>
  <c r="B236" i="7"/>
  <c r="C234" i="7"/>
  <c r="B237" i="7"/>
  <c r="C233" i="7"/>
  <c r="B231" i="7"/>
  <c r="C241" i="7"/>
  <c r="B239" i="7"/>
  <c r="B230" i="7"/>
  <c r="B240" i="7"/>
  <c r="C238" i="7"/>
  <c r="C232" i="7"/>
  <c r="B242" i="7"/>
  <c r="C229" i="7"/>
  <c r="C228" i="7"/>
  <c r="B228" i="7"/>
  <c r="B221" i="7" l="1"/>
  <c r="C221" i="7"/>
  <c r="B222" i="7"/>
  <c r="C222" i="7"/>
  <c r="B223" i="7"/>
  <c r="C223" i="7"/>
  <c r="B224" i="7"/>
  <c r="C224" i="7"/>
  <c r="B225" i="7"/>
  <c r="C225" i="7"/>
  <c r="B226" i="7"/>
  <c r="C226" i="7"/>
  <c r="B227" i="7"/>
  <c r="C227" i="7"/>
  <c r="B219" i="7" l="1"/>
  <c r="C220" i="7"/>
  <c r="B220" i="7"/>
  <c r="B218" i="7"/>
  <c r="C217" i="7"/>
  <c r="B217" i="7"/>
  <c r="B216" i="7"/>
  <c r="C215" i="7"/>
  <c r="B215" i="7"/>
  <c r="C216" i="7"/>
  <c r="C219" i="7"/>
  <c r="C218" i="7"/>
  <c r="B3" i="7"/>
  <c r="B4" i="7"/>
  <c r="C7" i="7"/>
  <c r="C8" i="7"/>
  <c r="C9" i="7"/>
  <c r="B10" i="7"/>
  <c r="B11" i="7"/>
  <c r="B12" i="7"/>
  <c r="B13" i="7"/>
  <c r="B14" i="7"/>
  <c r="C19" i="7"/>
  <c r="C20" i="7"/>
  <c r="C21" i="7"/>
  <c r="B22" i="7"/>
  <c r="B23" i="7"/>
  <c r="B24" i="7"/>
  <c r="B25" i="7"/>
  <c r="B26" i="7"/>
  <c r="C31" i="7"/>
  <c r="C32" i="7"/>
  <c r="C33" i="7"/>
  <c r="B34" i="7"/>
  <c r="B35" i="7"/>
  <c r="B36" i="7"/>
  <c r="B37" i="7"/>
  <c r="B38" i="7"/>
  <c r="C43" i="7"/>
  <c r="C44" i="7"/>
  <c r="C45" i="7"/>
  <c r="B46" i="7"/>
  <c r="B47" i="7"/>
  <c r="B48" i="7"/>
  <c r="B49" i="7"/>
  <c r="B50" i="7"/>
  <c r="C55" i="7"/>
  <c r="C56" i="7"/>
  <c r="C57" i="7"/>
  <c r="B58" i="7"/>
  <c r="B59" i="7"/>
  <c r="B60" i="7"/>
  <c r="B61" i="7"/>
  <c r="B62" i="7"/>
  <c r="C67" i="7"/>
  <c r="C68" i="7"/>
  <c r="C69" i="7"/>
  <c r="B70" i="7"/>
  <c r="B71" i="7"/>
  <c r="B72" i="7"/>
  <c r="B73" i="7"/>
  <c r="B74" i="7"/>
  <c r="C79" i="7"/>
  <c r="C80" i="7"/>
  <c r="C81" i="7"/>
  <c r="B82" i="7"/>
  <c r="B83" i="7"/>
  <c r="B84" i="7"/>
  <c r="B85" i="7"/>
  <c r="B86" i="7"/>
  <c r="C91" i="7"/>
  <c r="C92" i="7"/>
  <c r="C93" i="7"/>
  <c r="B94" i="7"/>
  <c r="B95" i="7"/>
  <c r="B96" i="7"/>
  <c r="B97" i="7"/>
  <c r="B98" i="7"/>
  <c r="C103" i="7"/>
  <c r="C104" i="7"/>
  <c r="C105" i="7"/>
  <c r="B106" i="7"/>
  <c r="B107" i="7"/>
  <c r="B108" i="7"/>
  <c r="B109" i="7"/>
  <c r="B110" i="7"/>
  <c r="C115" i="7"/>
  <c r="C116" i="7"/>
  <c r="C117" i="7"/>
  <c r="B118" i="7"/>
  <c r="B119" i="7"/>
  <c r="B120" i="7"/>
  <c r="B121" i="7"/>
  <c r="B122" i="7"/>
  <c r="C127" i="7"/>
  <c r="C128" i="7"/>
  <c r="C129" i="7"/>
  <c r="B130" i="7"/>
  <c r="B131" i="7"/>
  <c r="B132" i="7"/>
  <c r="B133" i="7"/>
  <c r="B134" i="7"/>
  <c r="C139" i="7"/>
  <c r="C140" i="7"/>
  <c r="C141" i="7"/>
  <c r="B142" i="7"/>
  <c r="B143" i="7"/>
  <c r="B144" i="7"/>
  <c r="B145" i="7"/>
  <c r="B146" i="7"/>
  <c r="C151" i="7"/>
  <c r="C152" i="7"/>
  <c r="C153" i="7"/>
  <c r="B154" i="7"/>
  <c r="B155" i="7"/>
  <c r="B156" i="7"/>
  <c r="B157" i="7"/>
  <c r="B158" i="7"/>
  <c r="C163" i="7"/>
  <c r="C164" i="7"/>
  <c r="C165" i="7"/>
  <c r="B166" i="7"/>
  <c r="B167" i="7"/>
  <c r="B168" i="7"/>
  <c r="B169" i="7"/>
  <c r="B170" i="7"/>
  <c r="C175" i="7"/>
  <c r="C176" i="7"/>
  <c r="C177" i="7"/>
  <c r="B178" i="7"/>
  <c r="B179" i="7"/>
  <c r="B180" i="7"/>
  <c r="B181" i="7"/>
  <c r="B182" i="7"/>
  <c r="C187" i="7"/>
  <c r="C188" i="7"/>
  <c r="C189" i="7"/>
  <c r="B190" i="7"/>
  <c r="B191" i="7"/>
  <c r="B192" i="7"/>
  <c r="B193" i="7"/>
  <c r="B194" i="7"/>
  <c r="C199" i="7"/>
  <c r="C200" i="7"/>
  <c r="C201" i="7"/>
  <c r="B202" i="7"/>
  <c r="B203" i="7"/>
  <c r="B204" i="7"/>
  <c r="B205" i="7"/>
  <c r="B206" i="7"/>
  <c r="C211" i="7"/>
  <c r="C212" i="7"/>
  <c r="C213" i="7"/>
  <c r="B214" i="7"/>
  <c r="B57" i="7" l="1"/>
  <c r="C90" i="7"/>
  <c r="C6" i="7"/>
  <c r="B45" i="7"/>
  <c r="C78" i="7"/>
  <c r="B33" i="7"/>
  <c r="C66" i="7"/>
  <c r="B165" i="7"/>
  <c r="B21" i="7"/>
  <c r="C54" i="7"/>
  <c r="B153" i="7"/>
  <c r="B9" i="7"/>
  <c r="C42" i="7"/>
  <c r="B141" i="7"/>
  <c r="C174" i="7"/>
  <c r="C30" i="7"/>
  <c r="B129" i="7"/>
  <c r="C162" i="7"/>
  <c r="C18" i="7"/>
  <c r="B117" i="7"/>
  <c r="C150" i="7"/>
  <c r="B105" i="7"/>
  <c r="C138" i="7"/>
  <c r="B93" i="7"/>
  <c r="C126" i="7"/>
  <c r="B81" i="7"/>
  <c r="C114" i="7"/>
  <c r="B69" i="7"/>
  <c r="C102" i="7"/>
  <c r="B213" i="7"/>
  <c r="B201" i="7"/>
  <c r="B189" i="7"/>
  <c r="B177" i="7"/>
  <c r="C210" i="7"/>
  <c r="C198" i="7"/>
  <c r="C186" i="7"/>
  <c r="B212" i="7"/>
  <c r="B200" i="7"/>
  <c r="B188" i="7"/>
  <c r="B176" i="7"/>
  <c r="B164" i="7"/>
  <c r="B152" i="7"/>
  <c r="B140" i="7"/>
  <c r="B128" i="7"/>
  <c r="B116" i="7"/>
  <c r="B104" i="7"/>
  <c r="B92" i="7"/>
  <c r="B80" i="7"/>
  <c r="B68" i="7"/>
  <c r="B56" i="7"/>
  <c r="B44" i="7"/>
  <c r="B32" i="7"/>
  <c r="B20" i="7"/>
  <c r="B8" i="7"/>
  <c r="C209" i="7"/>
  <c r="C197" i="7"/>
  <c r="C185" i="7"/>
  <c r="C173" i="7"/>
  <c r="C161" i="7"/>
  <c r="C149" i="7"/>
  <c r="C137" i="7"/>
  <c r="C125" i="7"/>
  <c r="C113" i="7"/>
  <c r="C101" i="7"/>
  <c r="C89" i="7"/>
  <c r="C77" i="7"/>
  <c r="C65" i="7"/>
  <c r="C53" i="7"/>
  <c r="C41" i="7"/>
  <c r="C29" i="7"/>
  <c r="C17" i="7"/>
  <c r="C5" i="7"/>
  <c r="B211" i="7"/>
  <c r="B199" i="7"/>
  <c r="B187" i="7"/>
  <c r="B175" i="7"/>
  <c r="B163" i="7"/>
  <c r="B151" i="7"/>
  <c r="B139" i="7"/>
  <c r="B127" i="7"/>
  <c r="B115" i="7"/>
  <c r="B103" i="7"/>
  <c r="B91" i="7"/>
  <c r="B79" i="7"/>
  <c r="B67" i="7"/>
  <c r="B55" i="7"/>
  <c r="B43" i="7"/>
  <c r="B31" i="7"/>
  <c r="B19" i="7"/>
  <c r="B7" i="7"/>
  <c r="C208" i="7"/>
  <c r="C196" i="7"/>
  <c r="C184" i="7"/>
  <c r="C172" i="7"/>
  <c r="C160" i="7"/>
  <c r="C148" i="7"/>
  <c r="C136" i="7"/>
  <c r="C124" i="7"/>
  <c r="C112" i="7"/>
  <c r="C100" i="7"/>
  <c r="C88" i="7"/>
  <c r="C76" i="7"/>
  <c r="C64" i="7"/>
  <c r="C52" i="7"/>
  <c r="C40" i="7"/>
  <c r="C28" i="7"/>
  <c r="C16" i="7"/>
  <c r="C4" i="7"/>
  <c r="B210" i="7"/>
  <c r="B198" i="7"/>
  <c r="B186" i="7"/>
  <c r="B174" i="7"/>
  <c r="B162" i="7"/>
  <c r="B150" i="7"/>
  <c r="B138" i="7"/>
  <c r="B126" i="7"/>
  <c r="B114" i="7"/>
  <c r="B102" i="7"/>
  <c r="B90" i="7"/>
  <c r="B78" i="7"/>
  <c r="B66" i="7"/>
  <c r="B54" i="7"/>
  <c r="B42" i="7"/>
  <c r="B30" i="7"/>
  <c r="B18" i="7"/>
  <c r="B6" i="7"/>
  <c r="C207" i="7"/>
  <c r="C195" i="7"/>
  <c r="C183" i="7"/>
  <c r="C171" i="7"/>
  <c r="C159" i="7"/>
  <c r="C147" i="7"/>
  <c r="C135" i="7"/>
  <c r="C123" i="7"/>
  <c r="C111" i="7"/>
  <c r="C99" i="7"/>
  <c r="C87" i="7"/>
  <c r="C75" i="7"/>
  <c r="C63" i="7"/>
  <c r="C51" i="7"/>
  <c r="C39" i="7"/>
  <c r="C27" i="7"/>
  <c r="C15" i="7"/>
  <c r="C3" i="7"/>
  <c r="B209" i="7"/>
  <c r="B197" i="7"/>
  <c r="B185" i="7"/>
  <c r="B173" i="7"/>
  <c r="B161" i="7"/>
  <c r="B149" i="7"/>
  <c r="B137" i="7"/>
  <c r="B125" i="7"/>
  <c r="B113" i="7"/>
  <c r="B101" i="7"/>
  <c r="B89" i="7"/>
  <c r="B77" i="7"/>
  <c r="B65" i="7"/>
  <c r="B53" i="7"/>
  <c r="B41" i="7"/>
  <c r="B29" i="7"/>
  <c r="B17" i="7"/>
  <c r="B5" i="7"/>
  <c r="C206" i="7"/>
  <c r="C194" i="7"/>
  <c r="C182" i="7"/>
  <c r="C170" i="7"/>
  <c r="C158" i="7"/>
  <c r="C146" i="7"/>
  <c r="C134" i="7"/>
  <c r="C122" i="7"/>
  <c r="C110" i="7"/>
  <c r="C98" i="7"/>
  <c r="C86" i="7"/>
  <c r="C74" i="7"/>
  <c r="C62" i="7"/>
  <c r="C50" i="7"/>
  <c r="C38" i="7"/>
  <c r="C26" i="7"/>
  <c r="C14" i="7"/>
  <c r="B208" i="7"/>
  <c r="B196" i="7"/>
  <c r="B184" i="7"/>
  <c r="B172" i="7"/>
  <c r="B160" i="7"/>
  <c r="B148" i="7"/>
  <c r="B136" i="7"/>
  <c r="B124" i="7"/>
  <c r="B112" i="7"/>
  <c r="B100" i="7"/>
  <c r="B88" i="7"/>
  <c r="B76" i="7"/>
  <c r="B64" i="7"/>
  <c r="B52" i="7"/>
  <c r="B40" i="7"/>
  <c r="B28" i="7"/>
  <c r="B16" i="7"/>
  <c r="C205" i="7"/>
  <c r="C193" i="7"/>
  <c r="C181" i="7"/>
  <c r="C169" i="7"/>
  <c r="C157" i="7"/>
  <c r="C145" i="7"/>
  <c r="C133" i="7"/>
  <c r="C121" i="7"/>
  <c r="C109" i="7"/>
  <c r="C97" i="7"/>
  <c r="C85" i="7"/>
  <c r="C73" i="7"/>
  <c r="C61" i="7"/>
  <c r="C49" i="7"/>
  <c r="C37" i="7"/>
  <c r="C25" i="7"/>
  <c r="C13" i="7"/>
  <c r="B207" i="7"/>
  <c r="B195" i="7"/>
  <c r="B183" i="7"/>
  <c r="B171" i="7"/>
  <c r="B159" i="7"/>
  <c r="B147" i="7"/>
  <c r="B135" i="7"/>
  <c r="B123" i="7"/>
  <c r="B111" i="7"/>
  <c r="B99" i="7"/>
  <c r="B87" i="7"/>
  <c r="B75" i="7"/>
  <c r="B63" i="7"/>
  <c r="B51" i="7"/>
  <c r="B39" i="7"/>
  <c r="B27" i="7"/>
  <c r="B15" i="7"/>
  <c r="C204" i="7"/>
  <c r="C192" i="7"/>
  <c r="C180" i="7"/>
  <c r="C168" i="7"/>
  <c r="C156" i="7"/>
  <c r="C144" i="7"/>
  <c r="C132" i="7"/>
  <c r="C120" i="7"/>
  <c r="C108" i="7"/>
  <c r="C96" i="7"/>
  <c r="C84" i="7"/>
  <c r="C72" i="7"/>
  <c r="C60" i="7"/>
  <c r="C48" i="7"/>
  <c r="C36" i="7"/>
  <c r="C24" i="7"/>
  <c r="C12" i="7"/>
  <c r="C203" i="7"/>
  <c r="C191" i="7"/>
  <c r="C179" i="7"/>
  <c r="C167" i="7"/>
  <c r="C155" i="7"/>
  <c r="C143" i="7"/>
  <c r="C131" i="7"/>
  <c r="C119" i="7"/>
  <c r="C107" i="7"/>
  <c r="C95" i="7"/>
  <c r="C83" i="7"/>
  <c r="C71" i="7"/>
  <c r="C59" i="7"/>
  <c r="C47" i="7"/>
  <c r="C35" i="7"/>
  <c r="C23" i="7"/>
  <c r="C11" i="7"/>
  <c r="C214" i="7"/>
  <c r="C202" i="7"/>
  <c r="C190" i="7"/>
  <c r="C178" i="7"/>
  <c r="C166" i="7"/>
  <c r="C154" i="7"/>
  <c r="C142" i="7"/>
  <c r="C130" i="7"/>
  <c r="C118" i="7"/>
  <c r="C106" i="7"/>
  <c r="C94" i="7"/>
  <c r="C82" i="7"/>
  <c r="C70" i="7"/>
  <c r="C58" i="7"/>
  <c r="C46" i="7"/>
  <c r="C34" i="7"/>
  <c r="C22" i="7"/>
  <c r="C10" i="7"/>
  <c r="J504" i="2" l="1"/>
  <c r="I504" i="2"/>
  <c r="H504" i="2"/>
  <c r="G504" i="2"/>
  <c r="L503" i="2"/>
  <c r="K503" i="2"/>
  <c r="L502" i="2"/>
  <c r="K502" i="2"/>
  <c r="L501" i="2"/>
  <c r="K501" i="2"/>
  <c r="L500" i="2"/>
  <c r="K500" i="2"/>
  <c r="L499" i="2"/>
  <c r="K499" i="2"/>
  <c r="L498" i="2"/>
  <c r="K498" i="2"/>
  <c r="L497" i="2"/>
  <c r="K497" i="2"/>
  <c r="L496" i="2"/>
  <c r="K496" i="2"/>
  <c r="L495" i="2"/>
  <c r="K495" i="2"/>
  <c r="L494" i="2"/>
  <c r="K494" i="2"/>
  <c r="L493" i="2"/>
  <c r="K493" i="2"/>
  <c r="L492" i="2"/>
  <c r="K492" i="2"/>
  <c r="L491" i="2"/>
  <c r="K491" i="2"/>
  <c r="L490" i="2"/>
  <c r="K490" i="2"/>
  <c r="L489" i="2"/>
  <c r="K489" i="2"/>
  <c r="L488" i="2"/>
  <c r="K488" i="2"/>
  <c r="L487" i="2"/>
  <c r="K487" i="2"/>
  <c r="L486" i="2"/>
  <c r="K486" i="2"/>
  <c r="L485" i="2"/>
  <c r="K485" i="2"/>
  <c r="L484" i="2"/>
  <c r="K484" i="2"/>
  <c r="L483" i="2"/>
  <c r="K483" i="2"/>
  <c r="L482" i="2"/>
  <c r="K482" i="2"/>
  <c r="L481" i="2"/>
  <c r="K481" i="2"/>
  <c r="L480" i="2"/>
  <c r="K480" i="2"/>
  <c r="L479" i="2"/>
  <c r="K479" i="2"/>
  <c r="L478" i="2"/>
  <c r="K478" i="2"/>
  <c r="L477" i="2"/>
  <c r="K477" i="2"/>
  <c r="L476" i="2"/>
  <c r="K476" i="2"/>
  <c r="L475" i="2"/>
  <c r="K475" i="2"/>
  <c r="L474" i="2"/>
  <c r="K474" i="2"/>
  <c r="L473" i="2"/>
  <c r="K473" i="2"/>
  <c r="L472" i="2"/>
  <c r="K472" i="2"/>
  <c r="L471" i="2"/>
  <c r="K471" i="2"/>
  <c r="L470" i="2"/>
  <c r="K470" i="2"/>
  <c r="L469" i="2"/>
  <c r="K469" i="2"/>
  <c r="L468" i="2"/>
  <c r="K468" i="2"/>
  <c r="L467" i="2"/>
  <c r="K467" i="2"/>
  <c r="L466" i="2"/>
  <c r="K466" i="2"/>
  <c r="L465" i="2"/>
  <c r="K465" i="2"/>
  <c r="L464" i="2"/>
  <c r="K464" i="2"/>
  <c r="L463" i="2"/>
  <c r="K463" i="2"/>
  <c r="L462" i="2"/>
  <c r="K462" i="2"/>
  <c r="L461" i="2"/>
  <c r="K461" i="2"/>
  <c r="L460" i="2"/>
  <c r="K460" i="2"/>
  <c r="L459" i="2"/>
  <c r="K459" i="2"/>
  <c r="L458" i="2"/>
  <c r="K458" i="2"/>
  <c r="L457" i="2"/>
  <c r="K457" i="2"/>
  <c r="L456" i="2"/>
  <c r="K456" i="2"/>
  <c r="L455" i="2"/>
  <c r="K455" i="2"/>
  <c r="L454" i="2"/>
  <c r="K454" i="2"/>
  <c r="L453" i="2"/>
  <c r="K453" i="2"/>
  <c r="L452" i="2"/>
  <c r="K452" i="2"/>
  <c r="L451" i="2"/>
  <c r="K451" i="2"/>
  <c r="L450" i="2"/>
  <c r="K450" i="2"/>
  <c r="L449" i="2"/>
  <c r="K449" i="2"/>
  <c r="L448" i="2"/>
  <c r="K448" i="2"/>
  <c r="L447" i="2"/>
  <c r="K447" i="2"/>
  <c r="L446" i="2"/>
  <c r="K446" i="2"/>
  <c r="L445" i="2"/>
  <c r="K445" i="2"/>
  <c r="L444" i="2"/>
  <c r="K444" i="2"/>
  <c r="L443" i="2"/>
  <c r="K443" i="2"/>
  <c r="L442" i="2"/>
  <c r="K442" i="2"/>
  <c r="L441" i="2"/>
  <c r="K441" i="2"/>
  <c r="L440" i="2"/>
  <c r="K440" i="2"/>
  <c r="L439" i="2"/>
  <c r="K439" i="2"/>
  <c r="L438" i="2"/>
  <c r="K438" i="2"/>
  <c r="L437" i="2"/>
  <c r="K437" i="2"/>
  <c r="L436" i="2"/>
  <c r="K436" i="2"/>
  <c r="L435" i="2"/>
  <c r="K435" i="2"/>
  <c r="L434" i="2"/>
  <c r="K434" i="2"/>
  <c r="L433" i="2"/>
  <c r="K433" i="2"/>
  <c r="L432" i="2"/>
  <c r="K432" i="2"/>
  <c r="L431" i="2"/>
  <c r="K431" i="2"/>
  <c r="L430" i="2"/>
  <c r="K430" i="2"/>
  <c r="L429" i="2"/>
  <c r="K429" i="2"/>
  <c r="L428" i="2"/>
  <c r="K428" i="2"/>
  <c r="L427" i="2"/>
  <c r="K427" i="2"/>
  <c r="L426" i="2"/>
  <c r="K426" i="2"/>
  <c r="L425" i="2"/>
  <c r="K425" i="2"/>
  <c r="L424" i="2"/>
  <c r="K424" i="2"/>
  <c r="L423" i="2"/>
  <c r="K423" i="2"/>
  <c r="L422" i="2"/>
  <c r="K422" i="2"/>
  <c r="L421" i="2"/>
  <c r="K421" i="2"/>
  <c r="L420" i="2"/>
  <c r="K420" i="2"/>
  <c r="L419" i="2"/>
  <c r="K419" i="2"/>
  <c r="L418" i="2"/>
  <c r="K418" i="2"/>
  <c r="L417" i="2"/>
  <c r="K417" i="2"/>
  <c r="L416" i="2"/>
  <c r="K416" i="2"/>
  <c r="L415" i="2"/>
  <c r="K415" i="2"/>
  <c r="L414" i="2"/>
  <c r="K414" i="2"/>
  <c r="L413" i="2"/>
  <c r="K413" i="2"/>
  <c r="L412" i="2"/>
  <c r="K412" i="2"/>
  <c r="L411" i="2"/>
  <c r="K411" i="2"/>
  <c r="L410" i="2"/>
  <c r="K410" i="2"/>
  <c r="L409" i="2"/>
  <c r="K409" i="2"/>
  <c r="L408" i="2"/>
  <c r="K408" i="2"/>
  <c r="L407" i="2"/>
  <c r="K407" i="2"/>
  <c r="L406" i="2"/>
  <c r="K406" i="2"/>
  <c r="L405" i="2"/>
  <c r="K405" i="2"/>
  <c r="L404" i="2"/>
  <c r="K404" i="2"/>
  <c r="L403" i="2"/>
  <c r="K403" i="2"/>
  <c r="L402" i="2"/>
  <c r="K402" i="2"/>
  <c r="L401" i="2"/>
  <c r="K401" i="2"/>
  <c r="L400" i="2"/>
  <c r="K400" i="2"/>
  <c r="L399" i="2"/>
  <c r="K399" i="2"/>
  <c r="L398" i="2"/>
  <c r="K398" i="2"/>
  <c r="L397" i="2"/>
  <c r="K397" i="2"/>
  <c r="L396" i="2"/>
  <c r="K396" i="2"/>
  <c r="L395" i="2"/>
  <c r="K395" i="2"/>
  <c r="L394" i="2"/>
  <c r="K394" i="2"/>
  <c r="L393" i="2"/>
  <c r="K393" i="2"/>
  <c r="L392" i="2"/>
  <c r="K392" i="2"/>
  <c r="L391" i="2"/>
  <c r="K391" i="2"/>
  <c r="L390" i="2"/>
  <c r="K390" i="2"/>
  <c r="L389" i="2"/>
  <c r="K389" i="2"/>
  <c r="L388" i="2"/>
  <c r="K388" i="2"/>
  <c r="L387" i="2"/>
  <c r="K387" i="2"/>
  <c r="L386" i="2"/>
  <c r="K386" i="2"/>
  <c r="L385" i="2"/>
  <c r="K385" i="2"/>
  <c r="L384" i="2"/>
  <c r="K384" i="2"/>
  <c r="L383" i="2"/>
  <c r="K383" i="2"/>
  <c r="L382" i="2"/>
  <c r="K382" i="2"/>
  <c r="L381" i="2"/>
  <c r="K381" i="2"/>
  <c r="L380" i="2"/>
  <c r="K380" i="2"/>
  <c r="L379" i="2"/>
  <c r="K379" i="2"/>
  <c r="L378" i="2"/>
  <c r="K378" i="2"/>
  <c r="L377" i="2"/>
  <c r="K377" i="2"/>
  <c r="L376" i="2"/>
  <c r="K376" i="2"/>
  <c r="L375" i="2"/>
  <c r="K375" i="2"/>
  <c r="L374" i="2"/>
  <c r="K374" i="2"/>
  <c r="L373" i="2"/>
  <c r="K373" i="2"/>
  <c r="L372" i="2"/>
  <c r="K372" i="2"/>
  <c r="L371" i="2"/>
  <c r="K371" i="2"/>
  <c r="L370" i="2"/>
  <c r="K370" i="2"/>
  <c r="L369" i="2"/>
  <c r="K369" i="2"/>
  <c r="L368" i="2"/>
  <c r="K368" i="2"/>
  <c r="L367" i="2"/>
  <c r="K367" i="2"/>
  <c r="L366" i="2"/>
  <c r="K366" i="2"/>
  <c r="L365" i="2"/>
  <c r="K365" i="2"/>
  <c r="L364" i="2"/>
  <c r="K364" i="2"/>
  <c r="L363" i="2"/>
  <c r="K363" i="2"/>
  <c r="L362" i="2"/>
  <c r="K362" i="2"/>
  <c r="L361" i="2"/>
  <c r="K361" i="2"/>
  <c r="L360" i="2"/>
  <c r="K360" i="2"/>
  <c r="L359" i="2"/>
  <c r="K359" i="2"/>
  <c r="L358" i="2"/>
  <c r="K358" i="2"/>
  <c r="L357" i="2"/>
  <c r="K357" i="2"/>
  <c r="L356" i="2"/>
  <c r="K356" i="2"/>
  <c r="L355" i="2"/>
  <c r="K355" i="2"/>
  <c r="L354" i="2"/>
  <c r="K354" i="2"/>
  <c r="L353" i="2"/>
  <c r="K353" i="2"/>
  <c r="L352" i="2"/>
  <c r="K352" i="2"/>
  <c r="L351" i="2"/>
  <c r="K351" i="2"/>
  <c r="L350" i="2"/>
  <c r="K350" i="2"/>
  <c r="L349" i="2"/>
  <c r="K349" i="2"/>
  <c r="L348" i="2"/>
  <c r="K348" i="2"/>
  <c r="L347" i="2"/>
  <c r="K347" i="2"/>
  <c r="L346" i="2"/>
  <c r="K346" i="2"/>
  <c r="L345" i="2"/>
  <c r="K345" i="2"/>
  <c r="L344" i="2"/>
  <c r="K344" i="2"/>
  <c r="L343" i="2"/>
  <c r="K343" i="2"/>
  <c r="L342" i="2"/>
  <c r="K342" i="2"/>
  <c r="L341" i="2"/>
  <c r="K341" i="2"/>
  <c r="L340" i="2"/>
  <c r="K340" i="2"/>
  <c r="L339" i="2"/>
  <c r="K339" i="2"/>
  <c r="L338" i="2"/>
  <c r="K338" i="2"/>
  <c r="L337" i="2"/>
  <c r="K337" i="2"/>
  <c r="L336" i="2"/>
  <c r="K336" i="2"/>
  <c r="L335" i="2"/>
  <c r="K335" i="2"/>
  <c r="L334" i="2"/>
  <c r="K334" i="2"/>
  <c r="L333" i="2"/>
  <c r="K333" i="2"/>
  <c r="L332" i="2"/>
  <c r="K332" i="2"/>
  <c r="L331" i="2"/>
  <c r="K331" i="2"/>
  <c r="L330" i="2"/>
  <c r="K330" i="2"/>
  <c r="L329" i="2"/>
  <c r="K329" i="2"/>
  <c r="L328" i="2"/>
  <c r="K328" i="2"/>
  <c r="L327" i="2"/>
  <c r="K327" i="2"/>
  <c r="L326" i="2"/>
  <c r="K326" i="2"/>
  <c r="L325" i="2"/>
  <c r="K325" i="2"/>
  <c r="L324" i="2"/>
  <c r="K324" i="2"/>
  <c r="L323" i="2"/>
  <c r="K323" i="2"/>
  <c r="L322" i="2"/>
  <c r="K322" i="2"/>
  <c r="L321" i="2"/>
  <c r="K321" i="2"/>
  <c r="L320" i="2"/>
  <c r="K320" i="2"/>
  <c r="L319" i="2"/>
  <c r="K319" i="2"/>
  <c r="L318" i="2"/>
  <c r="K318" i="2"/>
  <c r="L317" i="2"/>
  <c r="K317" i="2"/>
  <c r="L316" i="2"/>
  <c r="K316" i="2"/>
  <c r="L315" i="2"/>
  <c r="K315" i="2"/>
  <c r="L314" i="2"/>
  <c r="K314" i="2"/>
  <c r="L313" i="2"/>
  <c r="K313" i="2"/>
  <c r="L312" i="2"/>
  <c r="K312" i="2"/>
  <c r="L311" i="2"/>
  <c r="K311" i="2"/>
  <c r="L310" i="2"/>
  <c r="K310" i="2"/>
  <c r="L309" i="2"/>
  <c r="K309" i="2"/>
  <c r="L308" i="2"/>
  <c r="K308" i="2"/>
  <c r="L307" i="2"/>
  <c r="K307" i="2"/>
  <c r="L306" i="2"/>
  <c r="K306" i="2"/>
  <c r="L305" i="2"/>
  <c r="K305" i="2"/>
  <c r="L304" i="2"/>
  <c r="K304" i="2"/>
  <c r="L303" i="2"/>
  <c r="K303" i="2"/>
  <c r="L302" i="2"/>
  <c r="K302" i="2"/>
  <c r="L301" i="2"/>
  <c r="K301" i="2"/>
  <c r="L300" i="2"/>
  <c r="K300" i="2"/>
  <c r="L299" i="2"/>
  <c r="K299" i="2"/>
  <c r="L298" i="2"/>
  <c r="K298" i="2"/>
  <c r="L297" i="2"/>
  <c r="K297" i="2"/>
  <c r="L296" i="2"/>
  <c r="K296" i="2"/>
  <c r="L295" i="2"/>
  <c r="K295" i="2"/>
  <c r="L294" i="2"/>
  <c r="K294" i="2"/>
  <c r="L293" i="2"/>
  <c r="K293" i="2"/>
  <c r="L292" i="2"/>
  <c r="K292" i="2"/>
  <c r="L291" i="2"/>
  <c r="K291" i="2"/>
  <c r="L290" i="2"/>
  <c r="K290" i="2"/>
  <c r="L289" i="2"/>
  <c r="K289" i="2"/>
  <c r="L288" i="2"/>
  <c r="K288" i="2"/>
  <c r="L287" i="2"/>
  <c r="K287" i="2"/>
  <c r="L286" i="2"/>
  <c r="K286" i="2"/>
  <c r="L285" i="2"/>
  <c r="K285" i="2"/>
  <c r="L284" i="2"/>
  <c r="K284" i="2"/>
  <c r="L283" i="2"/>
  <c r="K283" i="2"/>
  <c r="L282" i="2"/>
  <c r="K282" i="2"/>
  <c r="L281" i="2"/>
  <c r="K281" i="2"/>
  <c r="L280" i="2"/>
  <c r="K280" i="2"/>
  <c r="L279" i="2"/>
  <c r="K279" i="2"/>
  <c r="L278" i="2"/>
  <c r="K278" i="2"/>
  <c r="L277" i="2"/>
  <c r="K277" i="2"/>
  <c r="L276" i="2"/>
  <c r="K276" i="2"/>
  <c r="L275" i="2"/>
  <c r="K275" i="2"/>
  <c r="L274" i="2"/>
  <c r="K274" i="2"/>
  <c r="L273" i="2"/>
  <c r="K273" i="2"/>
  <c r="L272" i="2"/>
  <c r="K272" i="2"/>
  <c r="L271" i="2"/>
  <c r="K271" i="2"/>
  <c r="L270" i="2"/>
  <c r="K270" i="2"/>
  <c r="L269" i="2"/>
  <c r="K269" i="2"/>
  <c r="L268" i="2"/>
  <c r="K268" i="2"/>
  <c r="L267" i="2"/>
  <c r="K267" i="2"/>
  <c r="L266" i="2"/>
  <c r="K266" i="2"/>
  <c r="L265" i="2"/>
  <c r="K265" i="2"/>
  <c r="L264" i="2"/>
  <c r="K264" i="2"/>
  <c r="L263" i="2"/>
  <c r="K263" i="2"/>
  <c r="L262" i="2"/>
  <c r="K262" i="2"/>
  <c r="L261" i="2"/>
  <c r="K261" i="2"/>
  <c r="L260" i="2"/>
  <c r="K260" i="2"/>
  <c r="L259" i="2"/>
  <c r="K259" i="2"/>
  <c r="L258" i="2"/>
  <c r="K258" i="2"/>
  <c r="L257" i="2"/>
  <c r="K257" i="2"/>
  <c r="L256" i="2"/>
  <c r="K256" i="2"/>
  <c r="L255" i="2"/>
  <c r="K255" i="2"/>
  <c r="L254" i="2"/>
  <c r="K254" i="2"/>
  <c r="L253" i="2"/>
  <c r="K253" i="2"/>
  <c r="L252" i="2"/>
  <c r="K252" i="2"/>
  <c r="L251" i="2"/>
  <c r="K251" i="2"/>
  <c r="L250" i="2"/>
  <c r="K250" i="2"/>
  <c r="L249" i="2"/>
  <c r="K249" i="2"/>
  <c r="L248" i="2"/>
  <c r="K248" i="2"/>
  <c r="L247" i="2"/>
  <c r="K247" i="2"/>
  <c r="L246" i="2"/>
  <c r="K246" i="2"/>
  <c r="L245" i="2"/>
  <c r="K245" i="2"/>
  <c r="L244" i="2"/>
  <c r="K244" i="2"/>
  <c r="L243" i="2"/>
  <c r="K243" i="2"/>
  <c r="L242" i="2"/>
  <c r="K242" i="2"/>
  <c r="L241" i="2"/>
  <c r="K241" i="2"/>
  <c r="L240" i="2"/>
  <c r="K240" i="2"/>
  <c r="L239" i="2"/>
  <c r="K239" i="2"/>
  <c r="L238" i="2"/>
  <c r="K238" i="2"/>
  <c r="L237" i="2"/>
  <c r="K237" i="2"/>
  <c r="L236" i="2"/>
  <c r="K236" i="2"/>
  <c r="L235" i="2"/>
  <c r="K235" i="2"/>
  <c r="L234" i="2"/>
  <c r="K234" i="2"/>
  <c r="L233" i="2"/>
  <c r="K233" i="2"/>
  <c r="L232" i="2"/>
  <c r="K232" i="2"/>
  <c r="L231" i="2"/>
  <c r="K231" i="2"/>
  <c r="L230" i="2"/>
  <c r="K230" i="2"/>
  <c r="L229" i="2"/>
  <c r="K229" i="2"/>
  <c r="L228" i="2"/>
  <c r="K228" i="2"/>
  <c r="L227" i="2"/>
  <c r="K227" i="2"/>
  <c r="L226" i="2"/>
  <c r="K226" i="2"/>
  <c r="L225" i="2"/>
  <c r="K225" i="2"/>
  <c r="L224" i="2"/>
  <c r="K224" i="2"/>
  <c r="L223" i="2"/>
  <c r="K223" i="2"/>
  <c r="L222" i="2"/>
  <c r="K222" i="2"/>
  <c r="L221" i="2"/>
  <c r="K221" i="2"/>
  <c r="L220" i="2"/>
  <c r="K220" i="2"/>
  <c r="L219" i="2"/>
  <c r="K219" i="2"/>
  <c r="L218" i="2"/>
  <c r="K218" i="2"/>
  <c r="L217" i="2"/>
  <c r="K217" i="2"/>
  <c r="L216" i="2"/>
  <c r="K216" i="2"/>
  <c r="L215" i="2"/>
  <c r="K215" i="2"/>
  <c r="L214" i="2"/>
  <c r="K214" i="2"/>
  <c r="L213" i="2"/>
  <c r="K213" i="2"/>
  <c r="L212" i="2"/>
  <c r="K212" i="2"/>
  <c r="L211" i="2"/>
  <c r="K211" i="2"/>
  <c r="L210" i="2"/>
  <c r="K210" i="2"/>
  <c r="L209" i="2"/>
  <c r="K209" i="2"/>
  <c r="L208" i="2"/>
  <c r="K208" i="2"/>
  <c r="L207" i="2"/>
  <c r="K207" i="2"/>
  <c r="L206" i="2"/>
  <c r="K206" i="2"/>
  <c r="L205" i="2"/>
  <c r="K205" i="2"/>
  <c r="L204" i="2"/>
  <c r="K204" i="2"/>
  <c r="L203" i="2"/>
  <c r="K203" i="2"/>
  <c r="L202" i="2"/>
  <c r="K202" i="2"/>
  <c r="L201" i="2"/>
  <c r="K201" i="2"/>
  <c r="L200" i="2"/>
  <c r="K200" i="2"/>
  <c r="L199" i="2"/>
  <c r="K199" i="2"/>
  <c r="L198" i="2"/>
  <c r="K198" i="2"/>
  <c r="L197" i="2"/>
  <c r="K197" i="2"/>
  <c r="L196" i="2"/>
  <c r="K196" i="2"/>
  <c r="L195" i="2"/>
  <c r="K195" i="2"/>
  <c r="L194" i="2"/>
  <c r="K194" i="2"/>
  <c r="L193" i="2"/>
  <c r="K193" i="2"/>
  <c r="L192" i="2"/>
  <c r="K192" i="2"/>
  <c r="L191" i="2"/>
  <c r="K191" i="2"/>
  <c r="L190" i="2"/>
  <c r="K190" i="2"/>
  <c r="L189" i="2"/>
  <c r="K189" i="2"/>
  <c r="L188" i="2"/>
  <c r="K188" i="2"/>
  <c r="L187" i="2"/>
  <c r="K187" i="2"/>
  <c r="L186" i="2"/>
  <c r="K186" i="2"/>
  <c r="L185" i="2"/>
  <c r="K185" i="2"/>
  <c r="L184" i="2"/>
  <c r="K184" i="2"/>
  <c r="L183" i="2"/>
  <c r="K183" i="2"/>
  <c r="L182" i="2"/>
  <c r="K182" i="2"/>
  <c r="L181" i="2"/>
  <c r="K181" i="2"/>
  <c r="L180" i="2"/>
  <c r="K180" i="2"/>
  <c r="L179" i="2"/>
  <c r="K179" i="2"/>
  <c r="L178" i="2"/>
  <c r="K178" i="2"/>
  <c r="L177" i="2"/>
  <c r="K177" i="2"/>
  <c r="L176" i="2"/>
  <c r="K176" i="2"/>
  <c r="L175" i="2"/>
  <c r="K175" i="2"/>
  <c r="L174" i="2"/>
  <c r="K174" i="2"/>
  <c r="L173" i="2"/>
  <c r="K173" i="2"/>
  <c r="L172" i="2"/>
  <c r="K172" i="2"/>
  <c r="L171" i="2"/>
  <c r="K171" i="2"/>
  <c r="L170" i="2"/>
  <c r="K170" i="2"/>
  <c r="L169" i="2"/>
  <c r="K169" i="2"/>
  <c r="L168" i="2"/>
  <c r="K168" i="2"/>
  <c r="L167" i="2"/>
  <c r="K167" i="2"/>
  <c r="L166" i="2"/>
  <c r="K166" i="2"/>
  <c r="L165" i="2"/>
  <c r="K165" i="2"/>
  <c r="L164" i="2"/>
  <c r="K164" i="2"/>
  <c r="L163" i="2"/>
  <c r="K163" i="2"/>
  <c r="L162" i="2"/>
  <c r="K162" i="2"/>
  <c r="L161" i="2"/>
  <c r="K161" i="2"/>
  <c r="L160" i="2"/>
  <c r="K160" i="2"/>
  <c r="L159" i="2"/>
  <c r="K159" i="2"/>
  <c r="L158" i="2"/>
  <c r="K158" i="2"/>
  <c r="L157" i="2"/>
  <c r="K157" i="2"/>
  <c r="L156" i="2"/>
  <c r="K156" i="2"/>
  <c r="L155" i="2"/>
  <c r="K155" i="2"/>
  <c r="L154" i="2"/>
  <c r="K154" i="2"/>
  <c r="L153" i="2"/>
  <c r="K153" i="2"/>
  <c r="L152" i="2"/>
  <c r="K152" i="2"/>
  <c r="L151" i="2"/>
  <c r="K151" i="2"/>
  <c r="L150" i="2"/>
  <c r="K150" i="2"/>
  <c r="L149" i="2"/>
  <c r="K149" i="2"/>
  <c r="L148" i="2"/>
  <c r="K148" i="2"/>
  <c r="L147" i="2"/>
  <c r="K147" i="2"/>
  <c r="L146" i="2"/>
  <c r="K146" i="2"/>
  <c r="L145" i="2"/>
  <c r="K145" i="2"/>
  <c r="L144" i="2"/>
  <c r="K144" i="2"/>
  <c r="L143" i="2"/>
  <c r="K143" i="2"/>
  <c r="L142" i="2"/>
  <c r="K142" i="2"/>
  <c r="L141" i="2"/>
  <c r="K141" i="2"/>
  <c r="L140" i="2"/>
  <c r="K140" i="2"/>
  <c r="L139" i="2"/>
  <c r="K139" i="2"/>
  <c r="L138" i="2"/>
  <c r="K138" i="2"/>
  <c r="L137" i="2"/>
  <c r="K137" i="2"/>
  <c r="L136" i="2"/>
  <c r="K136" i="2"/>
  <c r="L135" i="2"/>
  <c r="K135" i="2"/>
  <c r="L134" i="2"/>
  <c r="K134" i="2"/>
  <c r="L133" i="2"/>
  <c r="K133" i="2"/>
  <c r="L132" i="2"/>
  <c r="K132" i="2"/>
  <c r="L131" i="2"/>
  <c r="K131" i="2"/>
  <c r="L130" i="2"/>
  <c r="K130" i="2"/>
  <c r="L129" i="2"/>
  <c r="K129" i="2"/>
  <c r="L128" i="2"/>
  <c r="K128" i="2"/>
  <c r="L127" i="2"/>
  <c r="K127" i="2"/>
  <c r="L126" i="2"/>
  <c r="K126" i="2"/>
  <c r="L125" i="2"/>
  <c r="K125" i="2"/>
  <c r="L124" i="2"/>
  <c r="K124" i="2"/>
  <c r="L123" i="2"/>
  <c r="K123" i="2"/>
  <c r="L122" i="2"/>
  <c r="K122" i="2"/>
  <c r="L121" i="2"/>
  <c r="K121" i="2"/>
  <c r="L120" i="2"/>
  <c r="K120" i="2"/>
  <c r="L119" i="2"/>
  <c r="K119" i="2"/>
  <c r="L118" i="2"/>
  <c r="K118" i="2"/>
  <c r="L117" i="2"/>
  <c r="K117" i="2"/>
  <c r="L116" i="2"/>
  <c r="K116" i="2"/>
  <c r="L115" i="2"/>
  <c r="K115" i="2"/>
  <c r="L114" i="2"/>
  <c r="K114" i="2"/>
  <c r="L113" i="2"/>
  <c r="K113" i="2"/>
  <c r="L112" i="2"/>
  <c r="K112" i="2"/>
  <c r="L111" i="2"/>
  <c r="K111" i="2"/>
  <c r="L110" i="2"/>
  <c r="K110" i="2"/>
  <c r="L109" i="2"/>
  <c r="K109" i="2"/>
  <c r="L108" i="2"/>
  <c r="K108" i="2"/>
  <c r="L107" i="2"/>
  <c r="K107" i="2"/>
  <c r="L106" i="2"/>
  <c r="K106" i="2"/>
  <c r="L105" i="2"/>
  <c r="K105" i="2"/>
  <c r="L104" i="2"/>
  <c r="K104" i="2"/>
  <c r="L103" i="2"/>
  <c r="K103" i="2"/>
  <c r="L102" i="2"/>
  <c r="K102" i="2"/>
  <c r="L101" i="2"/>
  <c r="K101" i="2"/>
  <c r="L100" i="2"/>
  <c r="K100" i="2"/>
  <c r="L99" i="2"/>
  <c r="K99" i="2"/>
  <c r="L98" i="2"/>
  <c r="K98" i="2"/>
  <c r="L97" i="2"/>
  <c r="K97" i="2"/>
  <c r="L96" i="2"/>
  <c r="K96" i="2"/>
  <c r="L95" i="2"/>
  <c r="K95" i="2"/>
  <c r="L94" i="2"/>
  <c r="K94" i="2"/>
  <c r="L93" i="2"/>
  <c r="K93" i="2"/>
  <c r="L92" i="2"/>
  <c r="K92" i="2"/>
  <c r="L91" i="2"/>
  <c r="K91" i="2"/>
  <c r="L90" i="2"/>
  <c r="K90" i="2"/>
  <c r="L89" i="2"/>
  <c r="K89" i="2"/>
  <c r="L88" i="2"/>
  <c r="K88" i="2"/>
  <c r="L87" i="2"/>
  <c r="K87" i="2"/>
  <c r="L86" i="2"/>
  <c r="K86" i="2"/>
  <c r="L85" i="2"/>
  <c r="K85" i="2"/>
  <c r="L84" i="2"/>
  <c r="K84" i="2"/>
  <c r="L83" i="2"/>
  <c r="K83" i="2"/>
  <c r="L82" i="2"/>
  <c r="K82" i="2"/>
  <c r="L81" i="2"/>
  <c r="K81" i="2"/>
  <c r="L80" i="2"/>
  <c r="K80" i="2"/>
  <c r="L79" i="2"/>
  <c r="K79" i="2"/>
  <c r="L78" i="2"/>
  <c r="K78" i="2"/>
  <c r="L77" i="2"/>
  <c r="K77" i="2"/>
  <c r="L76" i="2"/>
  <c r="K76" i="2"/>
  <c r="L75" i="2"/>
  <c r="K75" i="2"/>
  <c r="L74" i="2"/>
  <c r="K74" i="2"/>
  <c r="L73" i="2"/>
  <c r="K73" i="2"/>
  <c r="L72" i="2"/>
  <c r="K72" i="2"/>
  <c r="L71" i="2"/>
  <c r="K71" i="2"/>
  <c r="L70" i="2"/>
  <c r="K70" i="2"/>
  <c r="L69" i="2"/>
  <c r="K69" i="2"/>
  <c r="L68" i="2"/>
  <c r="K68" i="2"/>
  <c r="L67" i="2"/>
  <c r="K67" i="2"/>
  <c r="L66" i="2"/>
  <c r="K66" i="2"/>
  <c r="L65" i="2"/>
  <c r="K65" i="2"/>
  <c r="L64" i="2"/>
  <c r="K64" i="2"/>
  <c r="L63" i="2"/>
  <c r="K63" i="2"/>
  <c r="L62" i="2"/>
  <c r="K62" i="2"/>
  <c r="L61" i="2"/>
  <c r="K61" i="2"/>
  <c r="L60" i="2"/>
  <c r="K60" i="2"/>
  <c r="L59" i="2"/>
  <c r="K59" i="2"/>
  <c r="L58" i="2"/>
  <c r="K58" i="2"/>
  <c r="L57" i="2"/>
  <c r="K57" i="2"/>
  <c r="L56" i="2"/>
  <c r="K56" i="2"/>
  <c r="L55" i="2"/>
  <c r="K55" i="2"/>
  <c r="L54" i="2"/>
  <c r="K54" i="2"/>
  <c r="L53" i="2"/>
  <c r="K53" i="2"/>
  <c r="L52" i="2"/>
  <c r="K52" i="2"/>
  <c r="L51" i="2"/>
  <c r="K51" i="2"/>
  <c r="L50" i="2"/>
  <c r="K50" i="2"/>
  <c r="L49" i="2"/>
  <c r="K49" i="2"/>
  <c r="L48" i="2"/>
  <c r="K48" i="2"/>
  <c r="L47" i="2"/>
  <c r="K47" i="2"/>
  <c r="L46" i="2"/>
  <c r="K46" i="2"/>
  <c r="L45" i="2"/>
  <c r="K45" i="2"/>
  <c r="L44" i="2"/>
  <c r="K44" i="2"/>
  <c r="L43" i="2"/>
  <c r="K43" i="2"/>
  <c r="L42" i="2"/>
  <c r="K42" i="2"/>
  <c r="L41" i="2"/>
  <c r="K41" i="2"/>
  <c r="L40" i="2"/>
  <c r="K40" i="2"/>
  <c r="L39" i="2"/>
  <c r="K39" i="2"/>
  <c r="L38" i="2"/>
  <c r="K38" i="2"/>
  <c r="L37" i="2"/>
  <c r="K37" i="2"/>
  <c r="L36" i="2"/>
  <c r="K36" i="2"/>
  <c r="L35" i="2"/>
  <c r="K35" i="2"/>
  <c r="L34" i="2"/>
  <c r="K34" i="2"/>
  <c r="L33" i="2"/>
  <c r="K33" i="2"/>
  <c r="L32" i="2"/>
  <c r="K32" i="2"/>
  <c r="L31" i="2"/>
  <c r="K31" i="2"/>
  <c r="L30" i="2"/>
  <c r="K30" i="2"/>
  <c r="L29" i="2"/>
  <c r="K29" i="2"/>
  <c r="L28" i="2"/>
  <c r="K28" i="2"/>
  <c r="L27" i="2"/>
  <c r="K27" i="2"/>
  <c r="L26" i="2"/>
  <c r="K26" i="2"/>
  <c r="L25" i="2"/>
  <c r="K25" i="2"/>
  <c r="L24" i="2"/>
  <c r="K24" i="2"/>
  <c r="L23" i="2"/>
  <c r="K23" i="2"/>
  <c r="L22" i="2"/>
  <c r="K22" i="2"/>
  <c r="L21" i="2"/>
  <c r="K21" i="2"/>
  <c r="L20" i="2"/>
  <c r="K20" i="2"/>
  <c r="L19" i="2"/>
  <c r="K19" i="2"/>
  <c r="L18" i="2"/>
  <c r="K18" i="2"/>
  <c r="L17" i="2"/>
  <c r="K17" i="2"/>
  <c r="L16" i="2"/>
  <c r="K16" i="2"/>
  <c r="L15" i="2"/>
  <c r="K15" i="2"/>
  <c r="L14" i="2"/>
  <c r="K14" i="2"/>
  <c r="L13" i="2"/>
  <c r="K13" i="2"/>
  <c r="L12" i="2"/>
  <c r="K12" i="2"/>
  <c r="L11" i="2"/>
  <c r="K11" i="2"/>
  <c r="L10" i="2"/>
  <c r="K10" i="2"/>
  <c r="L9" i="2"/>
  <c r="K9" i="2"/>
  <c r="L8" i="2"/>
  <c r="K8" i="2"/>
  <c r="L7" i="2"/>
  <c r="K7" i="2"/>
  <c r="L6" i="2"/>
  <c r="K6" i="2"/>
  <c r="L5" i="2"/>
  <c r="K5" i="2"/>
  <c r="L4" i="2"/>
  <c r="K4" i="2"/>
  <c r="L3" i="2"/>
  <c r="K3" i="2"/>
  <c r="L2" i="2"/>
  <c r="K2" i="2"/>
  <c r="G39" i="4"/>
  <c r="G38" i="4"/>
  <c r="G37" i="4"/>
  <c r="G34" i="4"/>
  <c r="G33" i="4"/>
  <c r="G32" i="4"/>
  <c r="G31" i="4"/>
  <c r="G30" i="4"/>
  <c r="G27" i="4"/>
  <c r="G26" i="4"/>
  <c r="G25" i="4"/>
  <c r="G24" i="4"/>
  <c r="G23" i="4"/>
  <c r="G20" i="4"/>
  <c r="G19" i="4"/>
  <c r="G18" i="4"/>
  <c r="G17" i="4"/>
  <c r="G16" i="4"/>
  <c r="G13" i="4"/>
  <c r="G12" i="4"/>
  <c r="G11" i="4"/>
  <c r="G10" i="4"/>
  <c r="G9" i="4"/>
  <c r="G6" i="4"/>
  <c r="G5" i="4"/>
  <c r="G4" i="4"/>
  <c r="G3" i="4"/>
  <c r="G2" i="4"/>
  <c r="B71" i="6" l="1"/>
  <c r="B83" i="6"/>
  <c r="B95" i="6"/>
  <c r="B107" i="6"/>
  <c r="B119" i="6"/>
  <c r="B130" i="6"/>
  <c r="B139" i="6"/>
  <c r="B151" i="6"/>
  <c r="B175" i="6"/>
  <c r="B72" i="6"/>
  <c r="B84" i="6"/>
  <c r="B96" i="6"/>
  <c r="B108" i="6"/>
  <c r="B120" i="6"/>
  <c r="B140" i="6"/>
  <c r="B152" i="6"/>
  <c r="B164" i="6"/>
  <c r="B176" i="6"/>
  <c r="B61" i="6"/>
  <c r="B73" i="6"/>
  <c r="B85" i="6"/>
  <c r="B97" i="6"/>
  <c r="B109" i="6"/>
  <c r="B121" i="6"/>
  <c r="B131" i="6"/>
  <c r="B141" i="6"/>
  <c r="B153" i="6"/>
  <c r="B165" i="6"/>
  <c r="B177" i="6"/>
  <c r="B62" i="6"/>
  <c r="B74" i="6"/>
  <c r="B86" i="6"/>
  <c r="B98" i="6"/>
  <c r="B110" i="6"/>
  <c r="B122" i="6"/>
  <c r="B132" i="6"/>
  <c r="B142" i="6"/>
  <c r="B154" i="6"/>
  <c r="B166" i="6"/>
  <c r="B178" i="6"/>
  <c r="B63" i="6"/>
  <c r="B75" i="6"/>
  <c r="B87" i="6"/>
  <c r="B99" i="6"/>
  <c r="B111" i="6"/>
  <c r="B123" i="6"/>
  <c r="B133" i="6"/>
  <c r="B143" i="6"/>
  <c r="B155" i="6"/>
  <c r="B167" i="6"/>
  <c r="B179" i="6"/>
  <c r="B191" i="6"/>
  <c r="B64" i="6"/>
  <c r="B76" i="6"/>
  <c r="B88" i="6"/>
  <c r="B100" i="6"/>
  <c r="B112" i="6"/>
  <c r="B124" i="6"/>
  <c r="B144" i="6"/>
  <c r="B156" i="6"/>
  <c r="B168" i="6"/>
  <c r="B180" i="6"/>
  <c r="B101" i="6"/>
  <c r="B125" i="6"/>
  <c r="B145" i="6"/>
  <c r="B169" i="6"/>
  <c r="B181" i="6"/>
  <c r="B174" i="6"/>
  <c r="B189" i="6"/>
  <c r="B65" i="6"/>
  <c r="B77" i="6"/>
  <c r="B89" i="6"/>
  <c r="B113" i="6"/>
  <c r="B134" i="6"/>
  <c r="B157" i="6"/>
  <c r="B66" i="6"/>
  <c r="B78" i="6"/>
  <c r="B90" i="6"/>
  <c r="B102" i="6"/>
  <c r="B114" i="6"/>
  <c r="B126" i="6"/>
  <c r="B135" i="6"/>
  <c r="B146" i="6"/>
  <c r="B158" i="6"/>
  <c r="B170" i="6"/>
  <c r="B182" i="6"/>
  <c r="B91" i="6"/>
  <c r="B127" i="6"/>
  <c r="B159" i="6"/>
  <c r="B183" i="6"/>
  <c r="B136" i="6"/>
  <c r="B172" i="6"/>
  <c r="B186" i="6"/>
  <c r="B67" i="6"/>
  <c r="B79" i="6"/>
  <c r="B103" i="6"/>
  <c r="B115" i="6"/>
  <c r="B147" i="6"/>
  <c r="B171" i="6"/>
  <c r="B160" i="6"/>
  <c r="B162" i="6"/>
  <c r="B188" i="6"/>
  <c r="B68" i="6"/>
  <c r="B80" i="6"/>
  <c r="B92" i="6"/>
  <c r="B104" i="6"/>
  <c r="B116" i="6"/>
  <c r="B128" i="6"/>
  <c r="B148" i="6"/>
  <c r="B184" i="6"/>
  <c r="B163" i="6"/>
  <c r="B190" i="6"/>
  <c r="B69" i="6"/>
  <c r="B81" i="6"/>
  <c r="B93" i="6"/>
  <c r="B105" i="6"/>
  <c r="B117" i="6"/>
  <c r="B129" i="6"/>
  <c r="B137" i="6"/>
  <c r="B149" i="6"/>
  <c r="B161" i="6"/>
  <c r="B173" i="6"/>
  <c r="B185" i="6"/>
  <c r="B70" i="6"/>
  <c r="B82" i="6"/>
  <c r="B94" i="6"/>
  <c r="B106" i="6"/>
  <c r="B118" i="6"/>
  <c r="B138" i="6"/>
  <c r="B150" i="6"/>
  <c r="B187" i="6"/>
  <c r="L504" i="2"/>
  <c r="K504" i="2"/>
  <c r="B2" i="7"/>
  <c r="C2" i="7"/>
  <c r="B6" i="6"/>
  <c r="B5" i="6"/>
  <c r="B4" i="6"/>
  <c r="B16" i="6"/>
  <c r="B38" i="6"/>
  <c r="B40" i="6"/>
  <c r="B18" i="6"/>
  <c r="B52" i="6"/>
  <c r="B7" i="6"/>
  <c r="B19" i="6"/>
  <c r="B29" i="6"/>
  <c r="B41" i="6"/>
  <c r="B53" i="6"/>
  <c r="B27" i="6"/>
  <c r="B28" i="6"/>
  <c r="B51" i="6"/>
  <c r="B8" i="6"/>
  <c r="B20" i="6"/>
  <c r="B30" i="6"/>
  <c r="B42" i="6"/>
  <c r="B54" i="6"/>
  <c r="B9" i="6"/>
  <c r="B21" i="6"/>
  <c r="B31" i="6"/>
  <c r="B43" i="6"/>
  <c r="B55" i="6"/>
  <c r="B17" i="6"/>
  <c r="B39" i="6"/>
  <c r="B10" i="6"/>
  <c r="B22" i="6"/>
  <c r="B32" i="6"/>
  <c r="B44" i="6"/>
  <c r="B56" i="6"/>
  <c r="B11" i="6"/>
  <c r="B23" i="6"/>
  <c r="B33" i="6"/>
  <c r="B45" i="6"/>
  <c r="B57" i="6"/>
  <c r="B12" i="6"/>
  <c r="B24" i="6"/>
  <c r="B34" i="6"/>
  <c r="B46" i="6"/>
  <c r="B58" i="6"/>
  <c r="B13" i="6"/>
  <c r="B25" i="6"/>
  <c r="B35" i="6"/>
  <c r="B47" i="6"/>
  <c r="B59" i="6"/>
  <c r="B2" i="6"/>
  <c r="B14" i="6"/>
  <c r="B26" i="6"/>
  <c r="B36" i="6"/>
  <c r="B48" i="6"/>
  <c r="B60" i="6"/>
  <c r="B3" i="6"/>
  <c r="B15" i="6"/>
  <c r="B37" i="6"/>
  <c r="B49" i="6"/>
  <c r="B50" i="6"/>
</calcChain>
</file>

<file path=xl/sharedStrings.xml><?xml version="1.0" encoding="utf-8"?>
<sst xmlns="http://schemas.openxmlformats.org/spreadsheetml/2006/main" count="1092" uniqueCount="779">
  <si>
    <t>Business Partner Name</t>
  </si>
  <si>
    <t>Business Partner</t>
  </si>
  <si>
    <t>Status</t>
  </si>
  <si>
    <t>Summary / Comments</t>
  </si>
  <si>
    <t>100743 P.E.I Inc.</t>
  </si>
  <si>
    <t>3 Wire Northern Parts &amp; Service</t>
  </si>
  <si>
    <t>3Wire Group</t>
  </si>
  <si>
    <t>A+ Solutions</t>
  </si>
  <si>
    <t>AAA Espresso Tech</t>
  </si>
  <si>
    <t>Ability A/C and Refrigeration</t>
  </si>
  <si>
    <t>Abs &amp; Taylor</t>
  </si>
  <si>
    <t>ABS &amp; Taylor Ent.</t>
  </si>
  <si>
    <t>Absolute Equipment</t>
  </si>
  <si>
    <t>ACM Industries, Inc</t>
  </si>
  <si>
    <t>Action Refrigeration</t>
  </si>
  <si>
    <t>Advance Restaurant Equipment Repair</t>
  </si>
  <si>
    <t>Advanced Beverage Service</t>
  </si>
  <si>
    <t>Advanced Coffee &amp; Water LLC.</t>
  </si>
  <si>
    <t>Advanced Coffee Tech Service</t>
  </si>
  <si>
    <t>Advanced Commercial</t>
  </si>
  <si>
    <t>AJ'S Espresso Machine Services</t>
  </si>
  <si>
    <t>Alaska Espresso Dist dba Sunrise Ba</t>
  </si>
  <si>
    <t>Albert-James Company.</t>
  </si>
  <si>
    <t>All Beverage Service</t>
  </si>
  <si>
    <t>All Brand Sales Svc.</t>
  </si>
  <si>
    <t>All Coffee &amp; Espresso Service LLC</t>
  </si>
  <si>
    <t>All Coffee Concepts</t>
  </si>
  <si>
    <t>All Espresso Service.</t>
  </si>
  <si>
    <t>Allen's Tri-State Mechanical Inc.</t>
  </si>
  <si>
    <t>America's Best</t>
  </si>
  <si>
    <t>Amp One</t>
  </si>
  <si>
    <t>ANDRÉ LABBÉE INC.</t>
  </si>
  <si>
    <t>Appliance Repair Service Co. Inc.</t>
  </si>
  <si>
    <t>Aristo LLC</t>
  </si>
  <si>
    <t>Arizona Coffee Techs</t>
  </si>
  <si>
    <t>Arrowhead Heating and Air Conditioning</t>
  </si>
  <si>
    <t>Associated Restaurant Service</t>
  </si>
  <si>
    <t>Associated Restaurant Services.</t>
  </si>
  <si>
    <t>ATech Espresso &amp;</t>
  </si>
  <si>
    <t>ATech Espresso &amp; Coffee Service</t>
  </si>
  <si>
    <t>Atlantic Espresso Tech.</t>
  </si>
  <si>
    <t>Atlantic Specialty Coffee Repair</t>
  </si>
  <si>
    <t>Automatic Brewers &amp;</t>
  </si>
  <si>
    <t>B&amp;L Equipment.</t>
  </si>
  <si>
    <t>B.A.R.E. Repair</t>
  </si>
  <si>
    <t>B.B.C. SALES &amp; SERVICE</t>
  </si>
  <si>
    <t>B.E.S.T LLC.</t>
  </si>
  <si>
    <t>Bailey and Son.</t>
  </si>
  <si>
    <t>Baltimore Coffee &amp; Tea Company</t>
  </si>
  <si>
    <t>Barbers Restaurant Equip. Repairs</t>
  </si>
  <si>
    <t>Batista Companies, Inc.</t>
  </si>
  <si>
    <t>Bay State Espresso LLC.</t>
  </si>
  <si>
    <t>BEAR Services</t>
  </si>
  <si>
    <t>Bernard Mechanical Inc.</t>
  </si>
  <si>
    <t>Best Coffee &amp; Equipment.</t>
  </si>
  <si>
    <t>Best LLC</t>
  </si>
  <si>
    <t>Bev Tech of Hawaii Inc.</t>
  </si>
  <si>
    <t>Beverage Equip Svc Inc. (Chariton)</t>
  </si>
  <si>
    <t>Beverage Equipment Service, Inc. TN</t>
  </si>
  <si>
    <t>Beverage Services, Inc.</t>
  </si>
  <si>
    <t>Beverage Techs.</t>
  </si>
  <si>
    <t>Beverage Town Service Team</t>
  </si>
  <si>
    <t>BevTechs Modesto</t>
  </si>
  <si>
    <t>BevTechs Sacramento</t>
  </si>
  <si>
    <t>BevTechs, Fresno</t>
  </si>
  <si>
    <t>BevTek/Albany</t>
  </si>
  <si>
    <t>Big Country Restaurant</t>
  </si>
  <si>
    <t>Big Sky Plumbing &amp; Heating.</t>
  </si>
  <si>
    <t>Bildon Appliance</t>
  </si>
  <si>
    <t>Bill Ladd Espresso Tech.</t>
  </si>
  <si>
    <t>Blanchfield Comm. Kitchen Svcs, LTD</t>
  </si>
  <si>
    <t>Block's Commercial Kitchen</t>
  </si>
  <si>
    <t>Blue Mountain Espresso Service</t>
  </si>
  <si>
    <t>Bluemont Group, LLC</t>
  </si>
  <si>
    <t>Border Electric</t>
  </si>
  <si>
    <t>Branded Management Group</t>
  </si>
  <si>
    <t>Bravo Equipment Service.</t>
  </si>
  <si>
    <t>Brew Tech.</t>
  </si>
  <si>
    <t>Brokerhouse Distributors</t>
  </si>
  <si>
    <t>Brutec Ent. Inc.</t>
  </si>
  <si>
    <t>Buckhorn Heating &amp; Air Conditioning</t>
  </si>
  <si>
    <t>Burney's Commercial Service Inc.</t>
  </si>
  <si>
    <t>Bush &amp; Ennis Enterprises</t>
  </si>
  <si>
    <t>C &amp; S Coffee Equipment</t>
  </si>
  <si>
    <t>Cafe Moto</t>
  </si>
  <si>
    <t>Cafe Tech Services</t>
  </si>
  <si>
    <t>Caffeine Service</t>
  </si>
  <si>
    <t>Camp Electric</t>
  </si>
  <si>
    <t>Camp Service &amp; Parts.</t>
  </si>
  <si>
    <t>Camtech Services</t>
  </si>
  <si>
    <t>Cappuccino Connection.</t>
  </si>
  <si>
    <t>Cardinal Services Group Inc</t>
  </si>
  <si>
    <t>Carolina Beverage Solutions, LLC</t>
  </si>
  <si>
    <t>Cascade Refrigeration, Inc.</t>
  </si>
  <si>
    <t>CBE Repair.</t>
  </si>
  <si>
    <t>CCR - Commercial Coffee Repair</t>
  </si>
  <si>
    <t>CDS Repairs LLC.</t>
  </si>
  <si>
    <t>Certified Refrigeration.</t>
  </si>
  <si>
    <t>Cervo - Polygaz</t>
  </si>
  <si>
    <t>Choquette CKS</t>
  </si>
  <si>
    <t>City Service Inc.</t>
  </si>
  <si>
    <t>City Service, Inc.</t>
  </si>
  <si>
    <t>CLARK SERVICE AND PARTS</t>
  </si>
  <si>
    <t>CMM Services,  LTD.</t>
  </si>
  <si>
    <t>Coastal Caffeine Co., Inc</t>
  </si>
  <si>
    <t>Coastal Coffee &amp; Equipment LLC.</t>
  </si>
  <si>
    <t>Coffee &amp; Tea Works LLC</t>
  </si>
  <si>
    <t>Coffee Bean International.</t>
  </si>
  <si>
    <t>Coffee Doctor (Canada)</t>
  </si>
  <si>
    <t>Coffee Doctors Inc.</t>
  </si>
  <si>
    <t>Coffee Express Inc.</t>
  </si>
  <si>
    <t>Coffee Fix Ltd.</t>
  </si>
  <si>
    <t>Coffee Techs/Texas Coffee Traders</t>
  </si>
  <si>
    <t>Coffey Refrigeration.</t>
  </si>
  <si>
    <t>Colorado Coffee Techs.</t>
  </si>
  <si>
    <t>Commercial Beverage Equipment, Inc</t>
  </si>
  <si>
    <t>Commercial Beverage Service, LLC</t>
  </si>
  <si>
    <t>Commercial Equipment Service Inc</t>
  </si>
  <si>
    <t>Commtech Services</t>
  </si>
  <si>
    <t>Compass Coffee, LLC</t>
  </si>
  <si>
    <t>Condaxis Service.</t>
  </si>
  <si>
    <t>Cool Solutions.</t>
  </si>
  <si>
    <t>Corvis Espresso Service</t>
  </si>
  <si>
    <t>D&amp;D Beverage Service Inc.</t>
  </si>
  <si>
    <t>D&amp;R Vending, Inc.</t>
  </si>
  <si>
    <t>David Brown's Food Equipment.</t>
  </si>
  <si>
    <t>DeLuca Brothers Foods International</t>
  </si>
  <si>
    <t>Demarco Coffee</t>
  </si>
  <si>
    <t>Diamond Brewing Service, LLC</t>
  </si>
  <si>
    <t>Dispenser Services</t>
  </si>
  <si>
    <t>Dispensing Systems of Alabama</t>
  </si>
  <si>
    <t>Donovan Refrigeration Inc.</t>
  </si>
  <si>
    <t>Double D Expresso Service</t>
  </si>
  <si>
    <t>DRSS Ottawa.</t>
  </si>
  <si>
    <t>Duffy's Equipment Service, Albany</t>
  </si>
  <si>
    <t>Duffys Equipment Service, Syracuse</t>
  </si>
  <si>
    <t>Duffy's Food Equipment Service.</t>
  </si>
  <si>
    <t>Duke Service</t>
  </si>
  <si>
    <t>Duquaine Inc.</t>
  </si>
  <si>
    <t>Dutton Food Equipment Repair, Inc.</t>
  </si>
  <si>
    <t>E. Pollett's Limited</t>
  </si>
  <si>
    <t>E.H. Services</t>
  </si>
  <si>
    <t>Eagle Service LLC.</t>
  </si>
  <si>
    <t>Eastern Sierra Espresso Specialists</t>
  </si>
  <si>
    <t>Ecowater Systems of Moscow</t>
  </si>
  <si>
    <t>EH Services</t>
  </si>
  <si>
    <t>Elite of Wenatchee, LLC.</t>
  </si>
  <si>
    <t>Elliott Refrigeration (Quinte) Ltd</t>
  </si>
  <si>
    <t>EMR Beltsville</t>
  </si>
  <si>
    <t>EMR Delaware</t>
  </si>
  <si>
    <t>EMR Lorton</t>
  </si>
  <si>
    <t>EMR Services LTD.</t>
  </si>
  <si>
    <t>Equipment Service of TN, LLC</t>
  </si>
  <si>
    <t>Equipment Service Professionals.</t>
  </si>
  <si>
    <t>Espresso Beverage Solutions, LLC</t>
  </si>
  <si>
    <t>Espresso Coffee Direct LLC.</t>
  </si>
  <si>
    <t>Espresso Experts</t>
  </si>
  <si>
    <t>Espresso Express, Ltd</t>
  </si>
  <si>
    <t>Espresso Fix</t>
  </si>
  <si>
    <t>Espresso Machine Experts, Inc.</t>
  </si>
  <si>
    <t>Espresso Marty.</t>
  </si>
  <si>
    <t>Espresso ME</t>
  </si>
  <si>
    <t>Espresso Medic</t>
  </si>
  <si>
    <t>Espresso Mio LLC.</t>
  </si>
  <si>
    <t>Espresso Partners</t>
  </si>
  <si>
    <t>Espresso Partners, Inc.</t>
  </si>
  <si>
    <t>Espresso Serivces - Illinois LLC.</t>
  </si>
  <si>
    <t>Espresso Services Inc.</t>
  </si>
  <si>
    <t>Espresso Solutions</t>
  </si>
  <si>
    <t>Espresso Supply Inc.</t>
  </si>
  <si>
    <t>Espresso Tech</t>
  </si>
  <si>
    <t>Espresso Technologies.</t>
  </si>
  <si>
    <t>Espressomedic</t>
  </si>
  <si>
    <t>EspressoTech Service Company</t>
  </si>
  <si>
    <t>Euram Inc</t>
  </si>
  <si>
    <t>Express Restaurant Service, Inc.</t>
  </si>
  <si>
    <t>Expresso Tech Solutions</t>
  </si>
  <si>
    <t>Exquisite Espressso LLC</t>
  </si>
  <si>
    <t>FAS Parts and Service.</t>
  </si>
  <si>
    <t>Fastcility Corporation</t>
  </si>
  <si>
    <t>Fepsco Inc.</t>
  </si>
  <si>
    <t>Ferolite Electric Inc</t>
  </si>
  <si>
    <t>Fix It Now 1 LLC</t>
  </si>
  <si>
    <t>Fix-it Commercial Services</t>
  </si>
  <si>
    <t>Food Concepts, Inc.</t>
  </si>
  <si>
    <t>Food Equip. Service Co., Inc.</t>
  </si>
  <si>
    <t>Food service Concepts</t>
  </si>
  <si>
    <t>Food Systems.</t>
  </si>
  <si>
    <t>FoodQuip Services.</t>
  </si>
  <si>
    <t>Foodservice Concepts, Inc.</t>
  </si>
  <si>
    <t>Foodservice Equipment Repair Inc.</t>
  </si>
  <si>
    <t>Foodservice Equipment Repairs Inc.</t>
  </si>
  <si>
    <t>Foothill Beverage Service Inc.</t>
  </si>
  <si>
    <t>Full City Coffee Roasters.</t>
  </si>
  <si>
    <t>G&amp;R Equipment Service LLC</t>
  </si>
  <si>
    <t>Galahad Appliance Services.</t>
  </si>
  <si>
    <t>Garden Isle Restaurant Service</t>
  </si>
  <si>
    <t>Garden Isle Restaurant Services</t>
  </si>
  <si>
    <t>Gary's East Coast Service.</t>
  </si>
  <si>
    <t>GDT Repair</t>
  </si>
  <si>
    <t>General Parts (Cert Ref)</t>
  </si>
  <si>
    <t>General Parts LLC</t>
  </si>
  <si>
    <t>Gino's Consulting Services</t>
  </si>
  <si>
    <t>Gold Roast Coffee Service Ltd.</t>
  </si>
  <si>
    <t>Golden State Foods Corp</t>
  </si>
  <si>
    <t>Golden State Restaurant Repair</t>
  </si>
  <si>
    <t>Golden Valley Beverage Repair.</t>
  </si>
  <si>
    <t>Goodwin Tucker</t>
  </si>
  <si>
    <t>Goodwin Tucker Group - Omaha NE</t>
  </si>
  <si>
    <t>GP Commercial Food Equipment</t>
  </si>
  <si>
    <t>Great Lakes Coffee Roasting Co.</t>
  </si>
  <si>
    <t>Greg's Espresso Lab.</t>
  </si>
  <si>
    <t>G-Tech Maintenance Service, LLC</t>
  </si>
  <si>
    <t>Harold Snow Service Group</t>
  </si>
  <si>
    <t>Hawaii Coffee Company</t>
  </si>
  <si>
    <t>Haws Commercial Equipment Repair LL</t>
  </si>
  <si>
    <t>Hebert Electrik.</t>
  </si>
  <si>
    <t>Heritage Coffee Roasting Co.</t>
  </si>
  <si>
    <t>Heritage FS Group of Canada</t>
  </si>
  <si>
    <t>Holt Tech Services</t>
  </si>
  <si>
    <t>Hooked on Espresso, Inc.</t>
  </si>
  <si>
    <t>Hope Builders Inc</t>
  </si>
  <si>
    <t>Hossinger Refrigeration, Inc</t>
  </si>
  <si>
    <t>Hot Side Service Company, Inc</t>
  </si>
  <si>
    <t>Hot Stuff Repair Service</t>
  </si>
  <si>
    <t>H-Tek.</t>
  </si>
  <si>
    <t>Hub Refrigeration</t>
  </si>
  <si>
    <t>Hub Refrigeration &amp; Fixture</t>
  </si>
  <si>
    <t>Industrial Kitchen Services LTD</t>
  </si>
  <si>
    <t>Inland Coffee and Beverage</t>
  </si>
  <si>
    <t>Interior Beverages</t>
  </si>
  <si>
    <t>International Beverage Works.</t>
  </si>
  <si>
    <t>Iva Electronics &amp; Appliances.</t>
  </si>
  <si>
    <t>Izzy's Espresso Service Inc.</t>
  </si>
  <si>
    <t>J &amp; J Coffee Services, LLC</t>
  </si>
  <si>
    <t>Jaguar Coffee (FLORIDA)</t>
  </si>
  <si>
    <t>Jaguar Coffee</t>
  </si>
  <si>
    <t>Jaguar Coffee - Dallas, TX</t>
  </si>
  <si>
    <t>Jaguar Coffee - Gainesville, FL</t>
  </si>
  <si>
    <t>Jaguar Coffee - Ocala, FL</t>
  </si>
  <si>
    <t>Java Doc</t>
  </si>
  <si>
    <t>Java Tech</t>
  </si>
  <si>
    <t>Jitter Fix Coffee Services.</t>
  </si>
  <si>
    <t>Johnson Mechanical Service Inc.</t>
  </si>
  <si>
    <t>Jones Enterprises.</t>
  </si>
  <si>
    <t>K&amp;B Beverage</t>
  </si>
  <si>
    <t>K&amp;G Equipment Service.</t>
  </si>
  <si>
    <t>KC Espresso Sales &amp; Service LLC</t>
  </si>
  <si>
    <t>KD Service Group, KD Service</t>
  </si>
  <si>
    <t>KD Supply</t>
  </si>
  <si>
    <t>Keep It Flowing</t>
  </si>
  <si>
    <t>Ken's Beverage</t>
  </si>
  <si>
    <t>Ken's Beverage - East Michigan Offi</t>
  </si>
  <si>
    <t>Ken's Beverage Inc., Wadsworth</t>
  </si>
  <si>
    <t>Key Food Equipment Services AB</t>
  </si>
  <si>
    <t>Kim's Appliance.</t>
  </si>
  <si>
    <t>King Coffee &amp; Tea Services Corp</t>
  </si>
  <si>
    <t>Kitchen Equipment Service Inc.</t>
  </si>
  <si>
    <t>Kitchen Equipment Solutions</t>
  </si>
  <si>
    <t>Knobel Refrigeration.</t>
  </si>
  <si>
    <t>Konetsky Electric</t>
  </si>
  <si>
    <t>Kope Tech</t>
  </si>
  <si>
    <t>Laughlin Coffee &amp; Beverage.</t>
  </si>
  <si>
    <t>Les Importations Edika</t>
  </si>
  <si>
    <t>Les Services R. Baron.</t>
  </si>
  <si>
    <t>Liemco, LTD</t>
  </si>
  <si>
    <t>LiquiServe</t>
  </si>
  <si>
    <t>Liquiserve, Albuquerque NM</t>
  </si>
  <si>
    <t>Liquiserve, Aurora CO</t>
  </si>
  <si>
    <t>LiquiServe, Colorado Springs CO</t>
  </si>
  <si>
    <t>LiquiServe, Denver CO</t>
  </si>
  <si>
    <t>Liquiserve, Helena MT</t>
  </si>
  <si>
    <t>LiquiServe, Lubbock TX</t>
  </si>
  <si>
    <t>Liquiserve, Mandan ND</t>
  </si>
  <si>
    <t>Liquiserve, Missoula MT</t>
  </si>
  <si>
    <t>Liquiserve, Rapid City SD</t>
  </si>
  <si>
    <t>Liquiservie, Scottsbluff NE</t>
  </si>
  <si>
    <t>Lucky's Machine Repairs</t>
  </si>
  <si>
    <t>M &amp; S Refrigeration.</t>
  </si>
  <si>
    <t>M.I.K.E.S., Inc.</t>
  </si>
  <si>
    <t>MacDonald Restaurant Repair Service</t>
  </si>
  <si>
    <t>Marshall Electric</t>
  </si>
  <si>
    <t>McCarthy Machinery Corporation</t>
  </si>
  <si>
    <t>McLeod Bros. Mechanical Inc.</t>
  </si>
  <si>
    <t>MEI Maintenance - North Bergen</t>
  </si>
  <si>
    <t>MEI Maintenance.</t>
  </si>
  <si>
    <t>Midwest Equipment &amp;</t>
  </si>
  <si>
    <t>Mikes Electric Inc.</t>
  </si>
  <si>
    <t>MoJo Espresso Service.</t>
  </si>
  <si>
    <t>Moore's Coffee and Espresso Service</t>
  </si>
  <si>
    <t>Mountain Grove Coffee.</t>
  </si>
  <si>
    <t>MRE/NCS.</t>
  </si>
  <si>
    <t>Murphy's Restaurant</t>
  </si>
  <si>
    <t>My Espresso Coffee Catering</t>
  </si>
  <si>
    <t>NACNUD Tech Services, Ltd.</t>
  </si>
  <si>
    <t>New Orleans Espresso</t>
  </si>
  <si>
    <t>North Coast Service Solutions, LLC</t>
  </si>
  <si>
    <t>North Florida Beverage Service.</t>
  </si>
  <si>
    <t>North Star Repair Alberta Ltd</t>
  </si>
  <si>
    <t>OFS.</t>
  </si>
  <si>
    <t>Opus Espresso Service &amp; Sales.</t>
  </si>
  <si>
    <t>Panera, LLC</t>
  </si>
  <si>
    <t>Paragon DBA Remote Refrigeration</t>
  </si>
  <si>
    <t>Payne &amp; Sons LLC</t>
  </si>
  <si>
    <t>Perfect Brew</t>
  </si>
  <si>
    <t>Perk Dynamics, Inc.</t>
  </si>
  <si>
    <t>Phoenix Refrigeration</t>
  </si>
  <si>
    <t>Phoenix Refrigeration.</t>
  </si>
  <si>
    <t>Pine Tree Food Equipment</t>
  </si>
  <si>
    <t>Pine Tree Food Equipment.</t>
  </si>
  <si>
    <t>Pit Crew Coffee Service</t>
  </si>
  <si>
    <t>PJ's Coffee</t>
  </si>
  <si>
    <t>Platinum Coffee Service, Inc.</t>
  </si>
  <si>
    <t>Powell Refrigeration, Inc</t>
  </si>
  <si>
    <t>Precision Espresso Repair.</t>
  </si>
  <si>
    <t>Prestige Technial Services</t>
  </si>
  <si>
    <t>Prestige Technical Services</t>
  </si>
  <si>
    <t>Prestige Technical Services.</t>
  </si>
  <si>
    <t>Pride Commerical Appliance Service</t>
  </si>
  <si>
    <t>Professional Beverage Services.</t>
  </si>
  <si>
    <t>QCS/Quality Coffee Systems</t>
  </si>
  <si>
    <t>Quality Services.</t>
  </si>
  <si>
    <t>R&amp;B  Beverage Equipment Repair.</t>
  </si>
  <si>
    <t>R&amp;B Beverage Equipment Specialist</t>
  </si>
  <si>
    <t>RAMCO Mix It Up Inc.</t>
  </si>
  <si>
    <t>Rapid Repair Service.</t>
  </si>
  <si>
    <t>RCJFPA MANAGEMENT INC.</t>
  </si>
  <si>
    <t>Red Rock Coffee Outfitters</t>
  </si>
  <si>
    <t>Refrigeration &amp; Food Equipment, Inc</t>
  </si>
  <si>
    <t>Reliable Coffee</t>
  </si>
  <si>
    <t>Reliable Service Company.</t>
  </si>
  <si>
    <t>Remco Inc.</t>
  </si>
  <si>
    <t>REO Controls</t>
  </si>
  <si>
    <t>REO Controls - Daniels WV</t>
  </si>
  <si>
    <t>Repair Force Corp.</t>
  </si>
  <si>
    <t>RESCO</t>
  </si>
  <si>
    <t>Restaurant Equipment Service Co</t>
  </si>
  <si>
    <t>Restaurant Sales Repair</t>
  </si>
  <si>
    <t>Restaurant Technologies.</t>
  </si>
  <si>
    <t>REW Electric (2003) Inc.</t>
  </si>
  <si>
    <t>RG Henderson</t>
  </si>
  <si>
    <t>Rice Equipment</t>
  </si>
  <si>
    <t>Riviera Maintenance, LLC</t>
  </si>
  <si>
    <t>RMS Mechanical Services.</t>
  </si>
  <si>
    <t>Robins Roast Coffee LLC</t>
  </si>
  <si>
    <t>Rob-N-Son Commercial Appliance.</t>
  </si>
  <si>
    <t>Russell Food Equipment Limited NS</t>
  </si>
  <si>
    <t>Russell Food Equipment ON</t>
  </si>
  <si>
    <t>Rustini's Repair.</t>
  </si>
  <si>
    <t>S&amp;S Services Inc.</t>
  </si>
  <si>
    <t>Sagebrush Repair LLC.</t>
  </si>
  <si>
    <t>Santos Repairs LLC</t>
  </si>
  <si>
    <t>Sermon Service &amp; Electric.</t>
  </si>
  <si>
    <t>Serv Quip Equipment Service</t>
  </si>
  <si>
    <t>Service Associates</t>
  </si>
  <si>
    <t>Service Associates.</t>
  </si>
  <si>
    <t>Sheridan Appliance</t>
  </si>
  <si>
    <t>Sid's Services.</t>
  </si>
  <si>
    <t>Silver Spoon Inc</t>
  </si>
  <si>
    <t>Six Degrees Coffee</t>
  </si>
  <si>
    <t>Soave Distributing Ltd.</t>
  </si>
  <si>
    <t>Solutions Espresso Services.</t>
  </si>
  <si>
    <t>South Coast Beverage Service - Texa</t>
  </si>
  <si>
    <t>South Coast Beverage Service- Reno</t>
  </si>
  <si>
    <t>South Coast Beverage Srvc.</t>
  </si>
  <si>
    <t>South Texas Commercial Service</t>
  </si>
  <si>
    <t>South Texas Commercial Service, Com</t>
  </si>
  <si>
    <t>Specialty Beverage Concepts, Inc.</t>
  </si>
  <si>
    <t>Specialty Beverage Solutions Inc.</t>
  </si>
  <si>
    <t>Stan's Coffee &amp; P&amp;L Foods.</t>
  </si>
  <si>
    <t>Statewide Service Co</t>
  </si>
  <si>
    <t>Stay Brite LLC.</t>
  </si>
  <si>
    <t>SteamVolt</t>
  </si>
  <si>
    <t>Stephen Mann &amp; Son</t>
  </si>
  <si>
    <t>Sterling Gourmet Products</t>
  </si>
  <si>
    <t>Stones Throw Coffee &amp;</t>
  </si>
  <si>
    <t>Sullivan Mechanical Ltd.</t>
  </si>
  <si>
    <t>Sun Coast Sales &amp; Service Co.</t>
  </si>
  <si>
    <t>Sunbelt Imports Inc</t>
  </si>
  <si>
    <t>SupraMatic Inc.</t>
  </si>
  <si>
    <t>Sure-Fix Service Group Inc.</t>
  </si>
  <si>
    <t>T&amp;D Machine Service</t>
  </si>
  <si>
    <t>TD Industries</t>
  </si>
  <si>
    <t>TD Industries Houston</t>
  </si>
  <si>
    <t>TDIndustries, Inc</t>
  </si>
  <si>
    <t>Tech 24</t>
  </si>
  <si>
    <t>Tech A.I.R Inc.</t>
  </si>
  <si>
    <t>Tech One Service</t>
  </si>
  <si>
    <t>TechMasters Inc.</t>
  </si>
  <si>
    <t>Tecnocafe, Inc.</t>
  </si>
  <si>
    <t>The Bean Doctor, LLC</t>
  </si>
  <si>
    <t>The Brew Crew</t>
  </si>
  <si>
    <t>The Cappuccino Connection</t>
  </si>
  <si>
    <t>The Espresso Man LLC</t>
  </si>
  <si>
    <t>The Espresso Master</t>
  </si>
  <si>
    <t>The Java Butler, Inc.</t>
  </si>
  <si>
    <t>The Wichman Company</t>
  </si>
  <si>
    <t>Timco of NWF Inc..</t>
  </si>
  <si>
    <t>Top of the Hill Solutions</t>
  </si>
  <si>
    <t>Total Service Company (SJT, Inc.)</t>
  </si>
  <si>
    <t>Total Service Company.</t>
  </si>
  <si>
    <t>TR Coffee Service</t>
  </si>
  <si>
    <t>Tri State Restaurant Supply.</t>
  </si>
  <si>
    <t>TriTech Services</t>
  </si>
  <si>
    <t>True Brew Coffee Service.</t>
  </si>
  <si>
    <t>Tundra Transfer Ltd.</t>
  </si>
  <si>
    <t>Turbo Fix LLC</t>
  </si>
  <si>
    <t>Upside Investments Only Inc.</t>
  </si>
  <si>
    <t>Vega Coffee Services Inc.</t>
  </si>
  <si>
    <t>Visions Espresso Service</t>
  </si>
  <si>
    <t>Voltage Supply</t>
  </si>
  <si>
    <t>VP Coffee, Inc</t>
  </si>
  <si>
    <t>Waterlogic West, Inc.</t>
  </si>
  <si>
    <t>Webb Refrigeration Ltd</t>
  </si>
  <si>
    <t>Weldon Service &amp; Repair, LLC</t>
  </si>
  <si>
    <t>Whitehead Food Equipment.</t>
  </si>
  <si>
    <t>Whitfield Foodservice Equipment</t>
  </si>
  <si>
    <t>Wichman Company.</t>
  </si>
  <si>
    <t>Woodward  Coffee Co.</t>
  </si>
  <si>
    <t>Zac's Coffee Expert Services, LLC</t>
  </si>
  <si>
    <t>Full Espresso Repair</t>
  </si>
  <si>
    <t>Do it All Maintenance &amp; Repair</t>
  </si>
  <si>
    <t>Platinum Beverage Service</t>
  </si>
  <si>
    <t>Best Beverage Equipment</t>
  </si>
  <si>
    <t>Hi Tech Southwest</t>
  </si>
  <si>
    <t>Assigned to :</t>
  </si>
  <si>
    <t>Vendor Statement $</t>
  </si>
  <si>
    <t>No. Invoices</t>
  </si>
  <si>
    <t>Statement Date</t>
  </si>
  <si>
    <t>Processed $</t>
  </si>
  <si>
    <t>Pending $</t>
  </si>
  <si>
    <t>Pending No. Invoices</t>
  </si>
  <si>
    <t>Last Updated</t>
  </si>
  <si>
    <t>Beverage Solutions</t>
  </si>
  <si>
    <t>Beverage Systems</t>
  </si>
  <si>
    <t>BevTech- Fresno</t>
  </si>
  <si>
    <t>BevTek – Albany</t>
  </si>
  <si>
    <t xml:space="preserve">CBE Repair </t>
  </si>
  <si>
    <t>Coda Coffee Company</t>
  </si>
  <si>
    <t>Coffee Break Servce</t>
  </si>
  <si>
    <t>Coffee Express Sales &amp; Service</t>
  </si>
  <si>
    <t>Coffee Street Sales &amp; Service</t>
  </si>
  <si>
    <t>Coffee Tech</t>
  </si>
  <si>
    <t>Colorado Coffee Techs</t>
  </si>
  <si>
    <t>Cora Italian Specialties</t>
  </si>
  <si>
    <t>Decatur Espresso</t>
  </si>
  <si>
    <t>Dolce Neve</t>
  </si>
  <si>
    <t>Espresso Express</t>
  </si>
  <si>
    <t>Espresso Smith</t>
  </si>
  <si>
    <t>Espresso Wrench</t>
  </si>
  <si>
    <t>Fepsco Inc</t>
  </si>
  <si>
    <t>FoodQuip Services</t>
  </si>
  <si>
    <t>Garden Service</t>
  </si>
  <si>
    <t xml:space="preserve">Gulf Ice System </t>
  </si>
  <si>
    <t>9620000384</t>
  </si>
  <si>
    <t>Jaguar Coffee (Sugarland, TEXAS)</t>
  </si>
  <si>
    <t>Jones Enterprises</t>
  </si>
  <si>
    <t>Kitchen Equipment Service Inc</t>
  </si>
  <si>
    <t>Lundsford Electric</t>
  </si>
  <si>
    <t>Masket Services LLC</t>
  </si>
  <si>
    <t>Nola Coffee Repairs</t>
  </si>
  <si>
    <t>RESCO (Tulsa)</t>
  </si>
  <si>
    <t>Rescue 1 Espresso</t>
  </si>
  <si>
    <t>Rustini's Repair</t>
  </si>
  <si>
    <t>Stones Throw Coffee &amp; Espresso Repair</t>
  </si>
  <si>
    <t>Last date of Srvc</t>
  </si>
  <si>
    <t>BP NAME:</t>
  </si>
  <si>
    <t xml:space="preserve">MAIN ACCT </t>
  </si>
  <si>
    <t>ACCT 2</t>
  </si>
  <si>
    <t>ACCT 3</t>
  </si>
  <si>
    <t>ACCT 4</t>
  </si>
  <si>
    <t>ACCT 5</t>
  </si>
  <si>
    <t>ACCT 6</t>
  </si>
  <si>
    <t>ACCT 7</t>
  </si>
  <si>
    <t>ACCT 8</t>
  </si>
  <si>
    <t>ACCT 9</t>
  </si>
  <si>
    <t>ACCT 10</t>
  </si>
  <si>
    <t>ACCT 11</t>
  </si>
  <si>
    <t>ACCT 12</t>
  </si>
  <si>
    <t>ACCT 13</t>
  </si>
  <si>
    <t>ACCT 14</t>
  </si>
  <si>
    <t>ACCT 15</t>
  </si>
  <si>
    <t>ACCT 16</t>
  </si>
  <si>
    <t>ACCT 17</t>
  </si>
  <si>
    <t>ACCT 18</t>
  </si>
  <si>
    <t>ACCT 19</t>
  </si>
  <si>
    <t>ACCT 20</t>
  </si>
  <si>
    <t xml:space="preserve">Advance Restaurant Equipment Repair, </t>
  </si>
  <si>
    <t>No Date</t>
  </si>
  <si>
    <t>Advanced Commercial Dishmachine</t>
  </si>
  <si>
    <t xml:space="preserve">Batista Companies, Inc., </t>
  </si>
  <si>
    <t>Brutec Ent Inc.</t>
  </si>
  <si>
    <t xml:space="preserve">Diamond Brewing Service, LLC, </t>
  </si>
  <si>
    <t>Espresso Marty</t>
  </si>
  <si>
    <t>Globex America</t>
  </si>
  <si>
    <t>9620053714</t>
  </si>
  <si>
    <t>9620054083</t>
  </si>
  <si>
    <t>9620000824</t>
  </si>
  <si>
    <t>9620000829</t>
  </si>
  <si>
    <t>9620000822</t>
  </si>
  <si>
    <t>9620000825</t>
  </si>
  <si>
    <t>9620000826</t>
  </si>
  <si>
    <t>9620000828</t>
  </si>
  <si>
    <t>9620000830</t>
  </si>
  <si>
    <t>9620000832</t>
  </si>
  <si>
    <t>9620054082</t>
  </si>
  <si>
    <t>Interstate Food Equipment Service (MRE/NCS)</t>
  </si>
  <si>
    <t>9620053595</t>
  </si>
  <si>
    <t>9620053603</t>
  </si>
  <si>
    <t>9620053597</t>
  </si>
  <si>
    <t>9620053706</t>
  </si>
  <si>
    <t>9620053710</t>
  </si>
  <si>
    <t>9620053715</t>
  </si>
  <si>
    <t>9620053596</t>
  </si>
  <si>
    <t>9620000827</t>
  </si>
  <si>
    <t>9620000831</t>
  </si>
  <si>
    <t>9620053604</t>
  </si>
  <si>
    <t>9620053605</t>
  </si>
  <si>
    <t>9620053606</t>
  </si>
  <si>
    <t>9620053622</t>
  </si>
  <si>
    <t>9620053623</t>
  </si>
  <si>
    <t>9620053708</t>
  </si>
  <si>
    <t>9620053709</t>
  </si>
  <si>
    <t>9620053711</t>
  </si>
  <si>
    <t>9620053712</t>
  </si>
  <si>
    <t>9620053713</t>
  </si>
  <si>
    <t>Keep It Brewing</t>
  </si>
  <si>
    <t>Kens Beverage</t>
  </si>
  <si>
    <t>Kim's Appliance</t>
  </si>
  <si>
    <t>Knobel Refrigeration</t>
  </si>
  <si>
    <t>Laughlin Coffee</t>
  </si>
  <si>
    <t>Liemco</t>
  </si>
  <si>
    <t xml:space="preserve">Murphy's Restaurant </t>
  </si>
  <si>
    <t>North Pole Coffee Roasting Co.</t>
  </si>
  <si>
    <t>Tundra Transfer Ltd</t>
  </si>
  <si>
    <t>W.J. Barnes Limited</t>
  </si>
  <si>
    <t>Processed Invoices</t>
  </si>
  <si>
    <t>Date</t>
  </si>
  <si>
    <t>No. of person</t>
  </si>
  <si>
    <t xml:space="preserve">FTE </t>
  </si>
  <si>
    <t>Hours</t>
  </si>
  <si>
    <t>Duffys Ais</t>
  </si>
  <si>
    <t>Albert James</t>
  </si>
  <si>
    <t>Blocks Commercial</t>
  </si>
  <si>
    <t>Cardinal</t>
  </si>
  <si>
    <t>Espresso Southeast</t>
  </si>
  <si>
    <t>Fastcillity</t>
  </si>
  <si>
    <t>Fesco</t>
  </si>
  <si>
    <t>Ginos Consulting Services</t>
  </si>
  <si>
    <t>Jim Duke</t>
  </si>
  <si>
    <t>Keep it Brewing</t>
  </si>
  <si>
    <t>McDonald Restaurant</t>
  </si>
  <si>
    <t>Midwest Equipment</t>
  </si>
  <si>
    <t>Redfox</t>
  </si>
  <si>
    <t>RMS</t>
  </si>
  <si>
    <t>Tech Master</t>
  </si>
  <si>
    <t>The Whichman Company</t>
  </si>
  <si>
    <t>BP Acct</t>
  </si>
  <si>
    <t>BP Acct 2</t>
  </si>
  <si>
    <t>BP Acct 3</t>
  </si>
  <si>
    <t>BP Acct 4</t>
  </si>
  <si>
    <t>BP Acct 5</t>
  </si>
  <si>
    <t>`</t>
  </si>
  <si>
    <t>TBD</t>
  </si>
  <si>
    <t>MEI Maintenance_9620000464, 9620000860, 9620000861, 9620000862, 9620000863, 9620000864, 9620000865, 9620000866_RECON.xlsx</t>
  </si>
  <si>
    <t>PS Script for pulling in directory filenames:</t>
  </si>
  <si>
    <t>1) Open PowerShell window in Recon folder</t>
  </si>
  <si>
    <t xml:space="preserve">Directions: </t>
  </si>
  <si>
    <t>Note: Remember to pull in file names into this sheet if additional vendors are added to "Vendor Summary Log"</t>
  </si>
  <si>
    <t>Macro needs to have the correct file name in the right row to work.  For example, if Jones Enterprises is on row</t>
  </si>
  <si>
    <t xml:space="preserve">131 in "Vendor Summary Log", then the exact file name for the Jones Enterprises Recon must be in row 131 of </t>
  </si>
  <si>
    <t>"PULL UPDATES"</t>
  </si>
  <si>
    <t>Directions:</t>
  </si>
  <si>
    <t>File Names</t>
  </si>
  <si>
    <t>Line in Vendor Summary Log?</t>
  </si>
  <si>
    <t>PM invoices</t>
  </si>
  <si>
    <t>Install invoices</t>
  </si>
  <si>
    <t>Tech Support invoices</t>
  </si>
  <si>
    <t>Service Calls invoices</t>
  </si>
  <si>
    <t>A Tech Espresso_9620000062_RECON.xlsx</t>
  </si>
  <si>
    <t>Absolute Equipment Service Solutions_9620000014_RECON.xlsx</t>
  </si>
  <si>
    <t>Action Refrigeration_9620000732_RECON.xlsx</t>
  </si>
  <si>
    <t>Advanced Coffee &amp; Water_9620000026_RECON.xlsx</t>
  </si>
  <si>
    <t>Advanced Coffee Tech Service_9620000027, 9620000734_RECON.xlsx</t>
  </si>
  <si>
    <t>All Espresso Service_9620000035_Recon.xlsx</t>
  </si>
  <si>
    <t>Associated Restaurant Services_9620000738, 9620000059_RECON.xlsx</t>
  </si>
  <si>
    <t>Atlantic Espresso Tech_9620000063_RECON.xlsx</t>
  </si>
  <si>
    <t>B.E.S.I. Beverage Equipment Service, Inc. (Chariton, IA)_9620000089_Recon.xlsx</t>
  </si>
  <si>
    <t>Bailey and Sons_9620000075_RECON.xlsx</t>
  </si>
  <si>
    <t>Barbers Restaurant Equipment_9620000077_RECON.xlsx</t>
  </si>
  <si>
    <t>Bay State Espresso LLC_9620000078_RECON.xlsx</t>
  </si>
  <si>
    <t>BEAR Services_9620000080_RECON.xlsx</t>
  </si>
  <si>
    <t>Bernard Mechanical_9620000083_RECON.xlsx</t>
  </si>
  <si>
    <t>Best Beverage Equipment Service_9620000084_RECON.xlsx</t>
  </si>
  <si>
    <t>Bev Tech of Hawaii_9620000088_RECON.xlsx</t>
  </si>
  <si>
    <t>Beverage Services Inc_9620000092_RECON.xlsx</t>
  </si>
  <si>
    <t>Beverage Solutions_9620000093_RECON.xlsx</t>
  </si>
  <si>
    <t>Beverage Systems Inc_9620050081_RECON.xlsx</t>
  </si>
  <si>
    <t>Bildon Appliance_9620000100_RECON.xlsx</t>
  </si>
  <si>
    <t>Blocks Commercial Kitchen_9620000106_RECON.xlsx</t>
  </si>
  <si>
    <t>Bush &amp; Ennis_9620000125_RECON.xlsx</t>
  </si>
  <si>
    <t>C &amp; S Coffee Equipment_9620000127_RECON.xlsx</t>
  </si>
  <si>
    <t>Caftec_9620000131_RECON.xlsx</t>
  </si>
  <si>
    <t>Camp Service &amp; Parts, Inc_9620000133_RECON.xlsx</t>
  </si>
  <si>
    <t>Cappuccino Connection_9620000136, 9620000667, 9620000893, 9620000894_RECON.xlsx</t>
  </si>
  <si>
    <t>CMM Services LLC_9620000160_RECON.xlsx</t>
  </si>
  <si>
    <t>Coffee Break Service dba BevTechs Fresno_9620000096, 9620000745_RECON.xlsx</t>
  </si>
  <si>
    <t>Coffee Doctors Inc._9620000167_RECON.xlsx</t>
  </si>
  <si>
    <t>Coffee Express Inc. (WI)_9620000168_RECON.xlsx</t>
  </si>
  <si>
    <t>Coffee Street Sales &amp; Service_9620000172_RECON.xlsx</t>
  </si>
  <si>
    <t>Coffey Refrigeration_9620000174_RECON.xlsx</t>
  </si>
  <si>
    <t>Colorado Coffee Techs_9620000176_RECON.xlsx</t>
  </si>
  <si>
    <t>Commercial Beverage Equipment, Inc_9620000182_RECON.xlsx</t>
  </si>
  <si>
    <t>Commercial Coffee Repairs_9620000183_RECON.xlsx</t>
  </si>
  <si>
    <t>Commercial Cooking Equipment_9620051785_RECON.xlsx</t>
  </si>
  <si>
    <t>Commercial Equipment Services_9620000184_RECON.xlsx</t>
  </si>
  <si>
    <t>Condaxis_9620000186_RECON.xlsx</t>
  </si>
  <si>
    <t>Cora Italian Specialties_9620000192_RECON.xlsx</t>
  </si>
  <si>
    <t>De Lucas_9620000209_RECON.xlsx</t>
  </si>
  <si>
    <t>Decatur Espresso_9620000208_RECON.xlsx</t>
  </si>
  <si>
    <t>Do It All Maintenance Repair_9620035814, 9620056993_RECON.xlsx</t>
  </si>
  <si>
    <t>Duffys AIS_9620000228, 9620000783, 9620000784, 9620000785, 9620004467_RECON.xlsx</t>
  </si>
  <si>
    <t>EMR Services Ltd_9620000246_RECON.xlsx</t>
  </si>
  <si>
    <t>Espresso Express_9620000258_RECON.xlsx</t>
  </si>
  <si>
    <t>Espresso Machine Experts_9620000260_RECON.xlsx</t>
  </si>
  <si>
    <t>Espresso Medic_9620000263_Recon.xlsx</t>
  </si>
  <si>
    <t>Espresso Mio_9620000264_RECON.xlsx</t>
  </si>
  <si>
    <t>Espresso Services Inc._9620000268, 9620000267, 9620054084_RECON.xlsx</t>
  </si>
  <si>
    <t>Espresso Southeast_9620000271_RECON.xlsx</t>
  </si>
  <si>
    <t>EspressoTech Service Company_9620000277_RECON.XLSX</t>
  </si>
  <si>
    <t>EspressoTech Solutions_9620000276, 9620000282_RECON.xlsx</t>
  </si>
  <si>
    <t>Fastcility_9620046935_RECON.xlsx</t>
  </si>
  <si>
    <t>Fix It Now 1 LLC_9620000307_RECON.xlsx</t>
  </si>
  <si>
    <t>Fix-It Commercial Services_9620000308_RECON.xlsx</t>
  </si>
  <si>
    <t>Full Espresso Repair_9620000324_RECON.xlsx</t>
  </si>
  <si>
    <t>Gardner Service_9620048519_RECON.xlsx</t>
  </si>
  <si>
    <t>Garys East Coast Service_9620000329_RECON.xlsx</t>
  </si>
  <si>
    <t>General Parts _9620000331, 9620000807_RECON.xlsx</t>
  </si>
  <si>
    <t>Gold Roast Coffee_9620000337_RECON.xlsx</t>
  </si>
  <si>
    <t>Golden Valley Beverage_9620000339_RECON.xlsx</t>
  </si>
  <si>
    <t>Gulf Ice_9620000349_RECON.xlsx</t>
  </si>
  <si>
    <t>Heritage Foodservice Canada_9620000355_RECON.xlsx</t>
  </si>
  <si>
    <t>Hot Side Service Company_9620048515_RECON.xlsx</t>
  </si>
  <si>
    <t>International Beverage Works_9620000377_RECON.xlsx</t>
  </si>
  <si>
    <t>Isaac Coffee Co LLC dba AAA Espresso Tech_9620000009_Recon.xlsx</t>
  </si>
  <si>
    <t>J &amp; J Coffee Services_9620000382_Recon.xlsx</t>
  </si>
  <si>
    <t>Jaguar Coffee (FLORIDA)_9620000384_Recon.xlsx</t>
  </si>
  <si>
    <t>Jaguar Coffee (Sugarland)_9620000385_RECON.xlsx</t>
  </si>
  <si>
    <t>Jim Duke Services_9620000394_RECON.xlsx</t>
  </si>
  <si>
    <t>Joe Warren &amp; Sons_9620056812, 9620054532_RECON.xlsx</t>
  </si>
  <si>
    <t>Johnson Mechanical_9620000397_RECON.xlsx</t>
  </si>
  <si>
    <t>K &amp; B Beverage_9620000403_RECON.xlsx</t>
  </si>
  <si>
    <t>K &amp; G Equipment Service_9620000405_RECON.xlsx</t>
  </si>
  <si>
    <t>KD Service Group_9620000835, 9620000409, 9620000836_RECON.xlsx</t>
  </si>
  <si>
    <t>Keep It Brewing_9620000410_RECON.xlsx</t>
  </si>
  <si>
    <t>Kens Beverage_9620000837, 9620000838, 9620000414_RECON.xlsx</t>
  </si>
  <si>
    <t>Liquid Ice_9620054012_RECON.xlsx</t>
  </si>
  <si>
    <t>Liquiserve_9620000435, 53718, 53717, 847, 849, 843, 848, 850, 852, 53719, 851, 844, 846, 853, 854_RECON.xlsx</t>
  </si>
  <si>
    <t>Luckys Repairs_9620000443_RECON.xlsx</t>
  </si>
  <si>
    <t>Mask-et_9620000459_RECON.xlsx</t>
  </si>
  <si>
    <t>McCarthy Food Equipment_9620000460_RECON.xlsx</t>
  </si>
  <si>
    <t>Midwest Equipment_9620000467_RECON.xlsx</t>
  </si>
  <si>
    <t>North Coast Service Solutions_9620047085_RECON.xlsx</t>
  </si>
  <si>
    <t>North Star Repair Alberta Ltd_9620000503_RECON.xlsx</t>
  </si>
  <si>
    <t>Opus Espresso Service &amp; Sales_9620000509_RECON.xlsx</t>
  </si>
  <si>
    <t>Perfect Brew_9620000869_Recon.xlsx</t>
  </si>
  <si>
    <t>Phoenix Refrigeration_9620000522_RECON.xlsx</t>
  </si>
  <si>
    <t>Platinum Beverage Services LLC_9620000527_RECON.xlsx</t>
  </si>
  <si>
    <t>PrestigeTechnicalService_9620000535_Recon.xlsx</t>
  </si>
  <si>
    <t>Quality Coffee Services_9620000545_RECON.xlsx</t>
  </si>
  <si>
    <t>Red Fox_9620050814_RECON.xlsx</t>
  </si>
  <si>
    <t>Red Rock_9620000556_RECON.xlsx</t>
  </si>
  <si>
    <t>Reliable Service Company_9620000563_Recon.xlsx</t>
  </si>
  <si>
    <t>Repair Force Corp_9620000567_RECON.xlsx</t>
  </si>
  <si>
    <t>Rice Equipment Services_9620000574_RECON.xlsx</t>
  </si>
  <si>
    <t>Riviera Maintenance_9620000576_RECON.xlsx</t>
  </si>
  <si>
    <t>Russell Hendrix_9620000584, 9620000585_RECON.xlsx</t>
  </si>
  <si>
    <t>Service Associates_9620000601, 9620000882_RECON.xlsx</t>
  </si>
  <si>
    <t>Solutions Espresso Services_9620000614_RECON.xlsx</t>
  </si>
  <si>
    <t>Statewide Services_9620000638_RECON.xlsx</t>
  </si>
  <si>
    <t>Sterling Gourmet_9620000642_RECON.xlsx</t>
  </si>
  <si>
    <t>Stones Throw Coffee &amp; Espresso Repair_9620000644_RECON.xlsx</t>
  </si>
  <si>
    <t>Sullivan Mechanical_9620000646_Recon.xlsx</t>
  </si>
  <si>
    <t>Sunbelt Imports_9620000648_RECON.xlsx</t>
  </si>
  <si>
    <t>Sure Fix Service Group_9620000650_RECON.xlsx</t>
  </si>
  <si>
    <t>Tech One_9620000660_RECON.xlsx</t>
  </si>
  <si>
    <t>TechMasters_9620000661_RECON.xlsx</t>
  </si>
  <si>
    <t>The Bean Doctor_9620000666_RECON.xlsx</t>
  </si>
  <si>
    <t>Tidewater_9620044382_RECON.xlsx</t>
  </si>
  <si>
    <t>TR Coffee Service_9620000682_RECON.xlsx</t>
  </si>
  <si>
    <t>Visions Espresso_9620000702, 9620005803_RECON.xlsx</t>
  </si>
  <si>
    <t>VP Coffee_9620000705_RECON.xlsx</t>
  </si>
  <si>
    <t>Weldon Service _9620047081_RECON.xlsx</t>
  </si>
  <si>
    <t>Woodward Coffee_9620000723_RECON.xlsx</t>
  </si>
  <si>
    <t>2) enter this into PS window:</t>
  </si>
  <si>
    <t>4) Go to PULL UPDATES and do step 6.</t>
  </si>
  <si>
    <t>3) Dump the contents of directory_snapshot.txt in column A, starting at cell A2</t>
  </si>
  <si>
    <t>5) Make sure that the directory in column A has all the reports you want to run macro on</t>
  </si>
  <si>
    <t>Macro Name: CallingMainProcedure</t>
  </si>
  <si>
    <t>Hint: Use column B on this sheet to help you find duplicate recon sheets (if any) or recon sheets not present in Vendor Summary Log</t>
  </si>
  <si>
    <t>6) call the macro CallingMainProcedure</t>
  </si>
  <si>
    <t>Abs &amp; Taylor_9620000012, 9620000731_RECON.xlsx</t>
  </si>
  <si>
    <t>Espresso Tech (Luray, VA)_9620000274_RECON.xlsx</t>
  </si>
  <si>
    <t>Jones Enterprises_WMF_9620000399_Recon.xlsx</t>
  </si>
  <si>
    <t>McLeod Bros Mechanical_9620000462_RECON.xlsx</t>
  </si>
  <si>
    <t>(there should not be any files marked "NOT PRESENT in Vendor Summary Log tab")</t>
  </si>
  <si>
    <t>BEST LLC (Best Equipment Service Technicians)_9620000087_Recon.xlsx</t>
  </si>
  <si>
    <t>Espresso Partners_9620000265, 9620000795, 9620054094, 9620054095_RECON.xlsx</t>
  </si>
  <si>
    <t>Espresso Wrench_9620000279_RECON.xlsx</t>
  </si>
  <si>
    <t>Bev Tek (Albany)_9620000097_RECON.xlsx</t>
  </si>
  <si>
    <t>RESCO (Tulsa)_9620000569_RECON.xlsx</t>
  </si>
  <si>
    <t>Coffee &amp; Tea Works_9620046790_RECON.xlsx</t>
  </si>
  <si>
    <t>DRSS Ottawa_9620000227_RECON.xlsx</t>
  </si>
  <si>
    <t>E.H. Services_9620000233_RECON.xlsx</t>
  </si>
  <si>
    <t>Pride Commerical Appliance Service_9620000536_RECON.xlsx</t>
  </si>
  <si>
    <t>Six Degrees Coffee_9620000611_RECON.xlsx</t>
  </si>
  <si>
    <t>Allens Tri State Mechanical_9620000037_RECON.xlsx</t>
  </si>
  <si>
    <t>Albert-James Company_9620000033_RECON.xlsx</t>
  </si>
  <si>
    <t>RMS Mechanical Services, Inc_9620000577_RECON.xlsx</t>
  </si>
  <si>
    <t>Carolina Beverage Solutions_9620000139_Recon.xlsx</t>
  </si>
  <si>
    <t>Marshall Electric_9620000456_RECON.xlsx</t>
  </si>
  <si>
    <t>Duke Services_9620046925_Recon.xlsx</t>
  </si>
  <si>
    <t>Mikes Electric Inc_9620000468_RECON.xlsx</t>
  </si>
  <si>
    <t>Town Center Inc._9620057283_RECON.xlsx</t>
  </si>
  <si>
    <t>Invoice</t>
  </si>
  <si>
    <t>B&amp;L Equipment Service, LLC_9620000071_RECON.xlsx</t>
  </si>
  <si>
    <t>Beverage Equipment Services, Inc. (Memphis, TN)_9620000090_RECON.xlsx</t>
  </si>
  <si>
    <t>Beverage Techs_9620000094_RECON.xlsx</t>
  </si>
  <si>
    <t>Bluemont Group dba Dunkin Donuts_9620047084_RECON.xlsx</t>
  </si>
  <si>
    <t>CDS Repairs_9620000145_Recon.xlsx</t>
  </si>
  <si>
    <t>Corvis Distributing_9620000194_RECON.xlsx</t>
  </si>
  <si>
    <t>Dolce Neve Inc._9620000224_RECON.xlsx</t>
  </si>
  <si>
    <t>Espresso Coffee Direct_9620000256_Recon.xlsx</t>
  </si>
  <si>
    <t>Espresso Solutions_9620000270, 9620000796, 9620000797_RECON.xlsx</t>
  </si>
  <si>
    <t>FAS Parts &amp; Service_9620000294_RECON.xlsx</t>
  </si>
  <si>
    <t>Goodwin Tucker Group_9620000340, 9620000817_RECON.xlsx</t>
  </si>
  <si>
    <t>Haws Commerical Equip Repair_9620000819_Recon.xlsx</t>
  </si>
  <si>
    <t>Nola Coffee Repairs_9620000498_RECON.xlsx</t>
  </si>
  <si>
    <t>ProCom Enterprises Inc. dba Hot Stuff_9620000365_RECON.xlsx</t>
  </si>
  <si>
    <t>RAMCO Freezer Services &amp; Sales_9620000552_RECON.xlsx</t>
  </si>
  <si>
    <t>Rustinis_9620000586_RECON.xlsx</t>
  </si>
  <si>
    <t>S&amp;S Services Inc_9620000589_RECON.xlsx</t>
  </si>
  <si>
    <t>Sagebrush Repair_9620000590_RECON.xlsx</t>
  </si>
  <si>
    <t>Tri-State Restaurant Supply_9620000683_RECON.xlsx</t>
  </si>
  <si>
    <t>Whitfield Foodservice Equipment_9620000715_RECON.xlsx</t>
  </si>
  <si>
    <t>All Coffee Concepts LLC dba Coffee Werks_9620000034_Recon.xlsx</t>
  </si>
  <si>
    <t>B.A.R.E. Repair_9620000072_RECON.xlsx</t>
  </si>
  <si>
    <t>Burneys Commercial Service Inc_9620000124_RECON.xlsx</t>
  </si>
  <si>
    <t>Coda Coffee Company dba 9 Bar Tech Co_9620044379, 9620045801_RECON.xlsx</t>
  </si>
  <si>
    <t>Dispenser Services_9620000218_RECON.xlsx</t>
  </si>
  <si>
    <t>Espresso ME Services_9620000262_Recon.xlsx</t>
  </si>
  <si>
    <t>Ferolite Electric Inc._9620000300_RECON.xlsx</t>
  </si>
  <si>
    <t>Hawaii Coffee Company dba Paradise Beverages_9620000352, 9620000818_RECON.xlsx</t>
  </si>
  <si>
    <t>Jitter Fix Coffee Services_9620000395_Recon.xlsx</t>
  </si>
  <si>
    <t>T&amp;D Coffee Machine Service_9620000653_Recon.xlsx</t>
  </si>
  <si>
    <t>Espresso Beverage Solutions_9620000254_Recon.xlsx</t>
  </si>
  <si>
    <t>Full City Coffee Roasters_9620000323_Recon.xlsx</t>
  </si>
  <si>
    <t>G&amp;R Equipment Services_9620000326_RECON.xlsx</t>
  </si>
  <si>
    <t>Lunsford Electric_9620051177_RECON.xlsx</t>
  </si>
  <si>
    <t>M &amp; S Refrigeration_9620000447_RECON.xlsx</t>
  </si>
  <si>
    <t>Santos Repairs_9620047083_Recon.xlsx</t>
  </si>
  <si>
    <t>Supramatic_9620000649_Recon.xlsx</t>
  </si>
  <si>
    <t>Tech 24_9620000658_Recon.xlsx</t>
  </si>
  <si>
    <t>Upside Investments Only Inc_9620046963_Recon.xlsx</t>
  </si>
  <si>
    <t>Western Refrigeration &amp; Beverage Equipment Ltd._9620085956_RECON.xlsx</t>
  </si>
  <si>
    <t>Rescue 1 Espresso_9620000570_RECON.xlsx</t>
  </si>
  <si>
    <t>Specialty Beverage Solutions Inc._9620000622_RECON.xlsx</t>
  </si>
  <si>
    <t>Email</t>
  </si>
  <si>
    <t>FESCO_9620000303, 9620000304, 9620000305_RECON.xlsx</t>
  </si>
  <si>
    <t>Whitehead Food Equipment_9620000714_RECON.xlsx</t>
  </si>
  <si>
    <t>Wichman Company_9620000897, 9620000896, 9620000716_RECON.xlsx</t>
  </si>
  <si>
    <t>Diebold Nixdorf_9620056474, 9620054022_RECON.xlsx</t>
  </si>
  <si>
    <t>PineTree Food Equip_ 9620000523_Recon.xlsx</t>
  </si>
  <si>
    <t>Ronnoco Holdings Inc._9620004094_RECON.xlsx</t>
  </si>
  <si>
    <t>Skal East Inc._9620051178_RECON.xlsx</t>
  </si>
  <si>
    <t>FoodService Concepts_9620000804_Recon.xlsx</t>
  </si>
  <si>
    <t>MacDonald Restaurant Repair Service_9620000449_RECON.xlsx</t>
  </si>
  <si>
    <t>get-childitem -Name | Where{$_ -match '\d_RECON*\.xlsx'} &gt;directory_snapshot.txt</t>
  </si>
  <si>
    <t>3Wire LLC_9620000002, 9620033341, 9620033389, 9620004979_RECON.xlsx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</si>
</sst>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mmmm\ d\,\ yyyy;@"/>
    <numFmt numFmtId="166" formatCode="[$-F800]dddd\,\ mmmm\ dd\,\ 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9"/>
      <color rgb="FF7030A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8" borderId="0" applyNumberFormat="0" applyBorder="0" applyAlignment="0" applyProtection="0"/>
    <xf numFmtId="0" fontId="9" fillId="0" borderId="0"/>
    <xf numFmtId="0" fontId="20" fillId="0" borderId="0" applyNumberFormat="0" applyFill="0" applyBorder="0" applyAlignment="0" applyProtection="0"/>
  </cellStyleXfs>
  <cellXfs count="164">
    <xf numFmtId="0" fontId="0" fillId="0" borderId="0" xfId="0"/>
    <xf numFmtId="0" fontId="2" fillId="0" borderId="0" xfId="0" applyFont="1" applyAlignment="1"/>
    <xf numFmtId="0" fontId="2" fillId="0" borderId="0" xfId="0" applyFont="1"/>
    <xf numFmtId="0" fontId="3" fillId="3" borderId="6" xfId="0" applyFont="1" applyFill="1" applyBorder="1" applyAlignment="1"/>
    <xf numFmtId="164" fontId="3" fillId="3" borderId="6" xfId="0" applyNumberFormat="1" applyFont="1" applyFill="1" applyBorder="1" applyAlignment="1">
      <alignment horizontal="center"/>
    </xf>
    <xf numFmtId="0" fontId="3" fillId="3" borderId="6" xfId="0" applyNumberFormat="1" applyFont="1" applyFill="1" applyBorder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44" fontId="2" fillId="0" borderId="0" xfId="2" applyFont="1" applyAlignment="1">
      <alignment horizontal="center"/>
    </xf>
    <xf numFmtId="0" fontId="2" fillId="0" borderId="0" xfId="0" applyFont="1" applyAlignment="1">
      <alignment horizontal="center"/>
    </xf>
    <xf numFmtId="0" fontId="4" fillId="5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64" fontId="4" fillId="5" borderId="1" xfId="1" applyNumberFormat="1" applyFont="1" applyFill="1" applyBorder="1" applyAlignment="1">
      <alignment horizontal="center" vertical="center"/>
    </xf>
    <xf numFmtId="0" fontId="4" fillId="5" borderId="3" xfId="1" applyNumberFormat="1" applyFont="1" applyFill="1" applyBorder="1" applyAlignment="1">
      <alignment horizontal="center" vertical="center"/>
    </xf>
    <xf numFmtId="165" fontId="4" fillId="5" borderId="3" xfId="0" applyNumberFormat="1" applyFont="1" applyFill="1" applyBorder="1" applyAlignment="1">
      <alignment horizontal="center" vertical="center"/>
    </xf>
    <xf numFmtId="44" fontId="4" fillId="6" borderId="3" xfId="2" applyFont="1" applyFill="1" applyBorder="1" applyAlignment="1">
      <alignment horizontal="center" vertical="center"/>
    </xf>
    <xf numFmtId="0" fontId="4" fillId="6" borderId="3" xfId="0" applyNumberFormat="1" applyFont="1" applyFill="1" applyBorder="1" applyAlignment="1">
      <alignment horizontal="center" vertical="center"/>
    </xf>
    <xf numFmtId="164" fontId="4" fillId="7" borderId="3" xfId="2" applyNumberFormat="1" applyFont="1" applyFill="1" applyBorder="1" applyAlignment="1">
      <alignment horizontal="center" vertical="center"/>
    </xf>
    <xf numFmtId="0" fontId="4" fillId="7" borderId="3" xfId="0" applyNumberFormat="1" applyFont="1" applyFill="1" applyBorder="1" applyAlignment="1">
      <alignment horizontal="center" vertical="center"/>
    </xf>
    <xf numFmtId="165" fontId="4" fillId="2" borderId="3" xfId="0" applyNumberFormat="1" applyFont="1" applyFill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4" xfId="0" applyFont="1" applyFill="1" applyBorder="1"/>
    <xf numFmtId="164" fontId="2" fillId="0" borderId="0" xfId="1" applyNumberFormat="1" applyFont="1" applyAlignment="1">
      <alignment horizontal="center" vertical="center"/>
    </xf>
    <xf numFmtId="0" fontId="2" fillId="0" borderId="5" xfId="1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44" fontId="2" fillId="0" borderId="5" xfId="2" applyFont="1" applyBorder="1" applyAlignment="1">
      <alignment horizontal="center" vertical="center"/>
    </xf>
    <xf numFmtId="0" fontId="2" fillId="0" borderId="5" xfId="0" applyNumberFormat="1" applyFont="1" applyBorder="1" applyAlignment="1">
      <alignment horizontal="center" vertical="center"/>
    </xf>
    <xf numFmtId="164" fontId="2" fillId="0" borderId="5" xfId="1" applyNumberFormat="1" applyFont="1" applyBorder="1" applyAlignment="1">
      <alignment horizontal="center" vertical="center"/>
    </xf>
    <xf numFmtId="43" fontId="2" fillId="0" borderId="5" xfId="0" applyNumberFormat="1" applyFont="1" applyBorder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3" borderId="4" xfId="0" applyFont="1" applyFill="1" applyBorder="1" applyAlignment="1"/>
    <xf numFmtId="165" fontId="2" fillId="0" borderId="5" xfId="1" applyNumberFormat="1" applyFont="1" applyBorder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2" fillId="0" borderId="0" xfId="0" applyFont="1" applyFill="1"/>
    <xf numFmtId="164" fontId="2" fillId="0" borderId="0" xfId="1" applyNumberFormat="1" applyFont="1" applyFill="1" applyAlignment="1">
      <alignment horizontal="center" vertical="center"/>
    </xf>
    <xf numFmtId="0" fontId="2" fillId="0" borderId="5" xfId="1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44" fontId="2" fillId="0" borderId="5" xfId="2" applyFont="1" applyFill="1" applyBorder="1" applyAlignment="1">
      <alignment horizontal="center" vertical="center"/>
    </xf>
    <xf numFmtId="0" fontId="2" fillId="0" borderId="5" xfId="0" applyNumberFormat="1" applyFont="1" applyFill="1" applyBorder="1" applyAlignment="1">
      <alignment horizontal="center" vertical="center"/>
    </xf>
    <xf numFmtId="43" fontId="2" fillId="0" borderId="5" xfId="0" applyNumberFormat="1" applyFont="1" applyFill="1" applyBorder="1" applyAlignment="1">
      <alignment vertical="center"/>
    </xf>
    <xf numFmtId="164" fontId="2" fillId="0" borderId="0" xfId="1" applyNumberFormat="1" applyFont="1" applyBorder="1" applyAlignment="1">
      <alignment horizontal="center" vertical="center"/>
    </xf>
    <xf numFmtId="0" fontId="2" fillId="4" borderId="0" xfId="0" applyFont="1" applyFill="1"/>
    <xf numFmtId="0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64" fontId="2" fillId="4" borderId="0" xfId="1" applyNumberFormat="1" applyFont="1" applyFill="1" applyAlignment="1">
      <alignment horizontal="center" vertical="center"/>
    </xf>
    <xf numFmtId="0" fontId="2" fillId="4" borderId="5" xfId="1" applyNumberFormat="1" applyFont="1" applyFill="1" applyBorder="1" applyAlignment="1">
      <alignment horizontal="center" vertical="center"/>
    </xf>
    <xf numFmtId="165" fontId="2" fillId="4" borderId="5" xfId="1" applyNumberFormat="1" applyFont="1" applyFill="1" applyBorder="1" applyAlignment="1">
      <alignment horizontal="center" vertical="center"/>
    </xf>
    <xf numFmtId="44" fontId="2" fillId="4" borderId="5" xfId="2" applyFont="1" applyFill="1" applyBorder="1" applyAlignment="1">
      <alignment horizontal="center" vertical="center"/>
    </xf>
    <xf numFmtId="43" fontId="2" fillId="4" borderId="5" xfId="0" applyNumberFormat="1" applyFont="1" applyFill="1" applyBorder="1" applyAlignment="1">
      <alignment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left"/>
    </xf>
    <xf numFmtId="0" fontId="7" fillId="0" borderId="0" xfId="0" applyFont="1" applyFill="1" applyAlignment="1">
      <alignment horizontal="center"/>
    </xf>
    <xf numFmtId="0" fontId="8" fillId="0" borderId="0" xfId="0" applyFont="1" applyFill="1" applyBorder="1" applyAlignment="1"/>
    <xf numFmtId="0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/>
    <xf numFmtId="0" fontId="7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left" vertical="center" wrapText="1"/>
    </xf>
    <xf numFmtId="0" fontId="7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center" vertical="center"/>
    </xf>
    <xf numFmtId="0" fontId="9" fillId="0" borderId="0" xfId="4" applyNumberFormat="1" applyFont="1" applyFill="1" applyBorder="1" applyAlignment="1"/>
    <xf numFmtId="0" fontId="8" fillId="0" borderId="0" xfId="0" applyFont="1" applyFill="1" applyBorder="1" applyAlignment="1">
      <alignment horizontal="left" vertical="center"/>
    </xf>
    <xf numFmtId="0" fontId="8" fillId="0" borderId="0" xfId="3" applyNumberFormat="1" applyFont="1" applyFill="1" applyBorder="1" applyAlignment="1">
      <alignment horizontal="center" vertical="center"/>
    </xf>
    <xf numFmtId="2" fontId="8" fillId="0" borderId="0" xfId="0" applyNumberFormat="1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10" fillId="3" borderId="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center"/>
    </xf>
    <xf numFmtId="0" fontId="11" fillId="3" borderId="0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Fill="1"/>
    <xf numFmtId="0" fontId="7" fillId="0" borderId="0" xfId="0" applyFont="1" applyFill="1" applyBorder="1"/>
    <xf numFmtId="0" fontId="8" fillId="0" borderId="0" xfId="0" applyFont="1" applyFill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7" fillId="0" borderId="0" xfId="0" applyFont="1" applyFill="1" applyAlignment="1"/>
    <xf numFmtId="0" fontId="8" fillId="0" borderId="0" xfId="3" applyFont="1" applyFill="1" applyBorder="1" applyAlignment="1">
      <alignment horizontal="left" vertical="center"/>
    </xf>
    <xf numFmtId="0" fontId="7" fillId="0" borderId="0" xfId="0" applyFont="1" applyFill="1" applyAlignment="1">
      <alignment horizontal="right"/>
    </xf>
    <xf numFmtId="0" fontId="7" fillId="0" borderId="0" xfId="0" applyFont="1" applyBorder="1"/>
    <xf numFmtId="0" fontId="7" fillId="0" borderId="0" xfId="0" applyNumberFormat="1" applyFont="1" applyFill="1" applyBorder="1" applyAlignment="1">
      <alignment horizontal="center" vertical="center"/>
    </xf>
    <xf numFmtId="0" fontId="9" fillId="0" borderId="0" xfId="4" applyFont="1" applyFill="1" applyBorder="1" applyAlignment="1">
      <alignment horizontal="center" vertical="center"/>
    </xf>
    <xf numFmtId="0" fontId="7" fillId="0" borderId="0" xfId="0" applyFont="1" applyBorder="1" applyAlignment="1">
      <alignment horizontal="left"/>
    </xf>
    <xf numFmtId="0" fontId="12" fillId="9" borderId="15" xfId="0" applyFont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right" vertical="center"/>
    </xf>
    <xf numFmtId="166" fontId="0" fillId="0" borderId="0" xfId="0" applyNumberFormat="1" applyAlignment="1">
      <alignment horizontal="right" vertical="center"/>
    </xf>
    <xf numFmtId="0" fontId="0" fillId="0" borderId="0" xfId="0" applyAlignment="1">
      <alignment horizontal="right"/>
    </xf>
    <xf numFmtId="0" fontId="15" fillId="9" borderId="7" xfId="0" applyFont="1" applyFill="1" applyBorder="1" applyAlignment="1">
      <alignment horizontal="left" vertical="center"/>
    </xf>
    <xf numFmtId="0" fontId="2" fillId="13" borderId="0" xfId="0" applyNumberFormat="1" applyFont="1" applyFill="1" applyBorder="1" applyAlignment="1">
      <alignment horizontal="center" vertical="center"/>
    </xf>
    <xf numFmtId="0" fontId="2" fillId="12" borderId="11" xfId="0" applyFont="1" applyFill="1" applyBorder="1" applyAlignment="1">
      <alignment horizontal="left" vertical="center"/>
    </xf>
    <xf numFmtId="0" fontId="2" fillId="12" borderId="0" xfId="0" applyNumberFormat="1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left" vertical="center"/>
    </xf>
    <xf numFmtId="0" fontId="10" fillId="3" borderId="9" xfId="1" applyNumberFormat="1" applyFont="1" applyFill="1" applyBorder="1" applyAlignment="1">
      <alignment horizontal="center" vertical="center"/>
    </xf>
    <xf numFmtId="0" fontId="10" fillId="10" borderId="9" xfId="0" applyNumberFormat="1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4" fillId="0" borderId="11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16" fillId="15" borderId="7" xfId="0" applyFont="1" applyFill="1" applyBorder="1" applyAlignment="1">
      <alignment horizontal="left" vertical="center"/>
    </xf>
    <xf numFmtId="0" fontId="16" fillId="15" borderId="15" xfId="0" applyFont="1" applyFill="1" applyBorder="1" applyAlignment="1">
      <alignment horizontal="center" vertical="center"/>
    </xf>
    <xf numFmtId="0" fontId="17" fillId="15" borderId="1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left" vertical="center"/>
    </xf>
    <xf numFmtId="0" fontId="18" fillId="15" borderId="13" xfId="0" applyFont="1" applyFill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1" fontId="17" fillId="17" borderId="1" xfId="2" applyNumberFormat="1" applyFont="1" applyFill="1" applyBorder="1" applyAlignment="1">
      <alignment horizontal="center" vertical="center"/>
    </xf>
    <xf numFmtId="1" fontId="17" fillId="3" borderId="1" xfId="2" applyNumberFormat="1" applyFont="1" applyFill="1" applyBorder="1" applyAlignment="1">
      <alignment horizontal="center" vertical="center"/>
    </xf>
    <xf numFmtId="1" fontId="17" fillId="14" borderId="1" xfId="2" applyNumberFormat="1" applyFont="1" applyFill="1" applyBorder="1" applyAlignment="1">
      <alignment horizontal="center" vertical="center"/>
    </xf>
    <xf numFmtId="0" fontId="16" fillId="14" borderId="9" xfId="0" applyNumberFormat="1" applyFont="1" applyFill="1" applyBorder="1" applyAlignment="1">
      <alignment horizontal="center" vertical="center"/>
    </xf>
    <xf numFmtId="1" fontId="17" fillId="10" borderId="1" xfId="2" applyNumberFormat="1" applyFont="1" applyFill="1" applyBorder="1" applyAlignment="1">
      <alignment horizontal="center" vertical="center"/>
    </xf>
    <xf numFmtId="14" fontId="17" fillId="3" borderId="14" xfId="0" applyNumberFormat="1" applyFont="1" applyFill="1" applyBorder="1" applyAlignment="1">
      <alignment horizontal="center" vertical="center"/>
    </xf>
    <xf numFmtId="0" fontId="13" fillId="0" borderId="0" xfId="0" applyFont="1"/>
    <xf numFmtId="0" fontId="16" fillId="17" borderId="9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4" fontId="10" fillId="3" borderId="8" xfId="2" applyNumberFormat="1" applyFont="1" applyFill="1" applyBorder="1" applyAlignment="1">
      <alignment horizontal="center" vertical="center"/>
    </xf>
    <xf numFmtId="4" fontId="17" fillId="3" borderId="1" xfId="2" applyNumberFormat="1" applyFont="1" applyFill="1" applyBorder="1" applyAlignment="1">
      <alignment horizontal="center" vertical="center"/>
    </xf>
    <xf numFmtId="4" fontId="7" fillId="0" borderId="0" xfId="2" applyNumberFormat="1" applyFont="1" applyAlignment="1">
      <alignment horizontal="center" vertical="center"/>
    </xf>
    <xf numFmtId="4" fontId="10" fillId="10" borderId="9" xfId="2" applyNumberFormat="1" applyFont="1" applyFill="1" applyBorder="1" applyAlignment="1">
      <alignment horizontal="center" vertical="center"/>
    </xf>
    <xf numFmtId="4" fontId="17" fillId="10" borderId="1" xfId="2" applyNumberFormat="1" applyFont="1" applyFill="1" applyBorder="1" applyAlignment="1">
      <alignment horizontal="center" vertical="center"/>
    </xf>
    <xf numFmtId="4" fontId="16" fillId="17" borderId="9" xfId="2" applyNumberFormat="1" applyFont="1" applyFill="1" applyBorder="1" applyAlignment="1">
      <alignment horizontal="center" vertical="center"/>
    </xf>
    <xf numFmtId="4" fontId="17" fillId="17" borderId="1" xfId="2" applyNumberFormat="1" applyFont="1" applyFill="1" applyBorder="1" applyAlignment="1">
      <alignment horizontal="center" vertical="center"/>
    </xf>
    <xf numFmtId="165" fontId="10" fillId="3" borderId="7" xfId="0" applyNumberFormat="1" applyFont="1" applyFill="1" applyBorder="1" applyAlignment="1">
      <alignment horizontal="center" vertical="center"/>
    </xf>
    <xf numFmtId="165" fontId="17" fillId="3" borderId="13" xfId="0" applyNumberFormat="1" applyFont="1" applyFill="1" applyBorder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0" fontId="18" fillId="0" borderId="0" xfId="0" applyFont="1" applyFill="1"/>
    <xf numFmtId="0" fontId="18" fillId="16" borderId="0" xfId="0" applyFont="1" applyFill="1"/>
    <xf numFmtId="0" fontId="8" fillId="0" borderId="0" xfId="0" applyFont="1" applyAlignment="1">
      <alignment horizontal="center" vertical="center"/>
    </xf>
    <xf numFmtId="0" fontId="8" fillId="0" borderId="11" xfId="4" applyFont="1" applyBorder="1" applyAlignment="1">
      <alignment horizontal="left" vertical="center"/>
    </xf>
    <xf numFmtId="2" fontId="8" fillId="0" borderId="11" xfId="0" applyNumberFormat="1" applyFont="1" applyBorder="1" applyAlignment="1">
      <alignment horizontal="left"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left" vertical="center" wrapText="1"/>
    </xf>
    <xf numFmtId="165" fontId="8" fillId="0" borderId="11" xfId="0" applyNumberFormat="1" applyFont="1" applyBorder="1" applyAlignment="1">
      <alignment horizontal="center" vertical="center"/>
    </xf>
    <xf numFmtId="4" fontId="8" fillId="0" borderId="4" xfId="2" applyNumberFormat="1" applyFont="1" applyFill="1" applyBorder="1" applyAlignment="1">
      <alignment horizontal="center" vertical="center"/>
    </xf>
    <xf numFmtId="0" fontId="8" fillId="0" borderId="5" xfId="1" applyNumberFormat="1" applyFont="1" applyFill="1" applyBorder="1" applyAlignment="1">
      <alignment horizontal="center" vertical="center"/>
    </xf>
    <xf numFmtId="44" fontId="8" fillId="0" borderId="5" xfId="2" applyFont="1" applyFill="1" applyBorder="1" applyAlignment="1">
      <alignment horizontal="center" vertical="center"/>
    </xf>
    <xf numFmtId="4" fontId="8" fillId="0" borderId="5" xfId="2" applyNumberFormat="1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43" fontId="8" fillId="0" borderId="12" xfId="0" applyNumberFormat="1" applyFont="1" applyBorder="1" applyAlignment="1">
      <alignment horizontal="center" vertical="center"/>
    </xf>
    <xf numFmtId="0" fontId="19" fillId="4" borderId="5" xfId="1" applyNumberFormat="1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4" fontId="8" fillId="0" borderId="4" xfId="2" applyNumberFormat="1" applyFont="1" applyBorder="1" applyAlignment="1">
      <alignment horizontal="center" vertical="center"/>
    </xf>
    <xf numFmtId="0" fontId="8" fillId="0" borderId="5" xfId="1" applyNumberFormat="1" applyFont="1" applyBorder="1" applyAlignment="1">
      <alignment horizontal="center" vertical="center"/>
    </xf>
    <xf numFmtId="4" fontId="8" fillId="0" borderId="5" xfId="2" applyNumberFormat="1" applyFont="1" applyBorder="1" applyAlignment="1">
      <alignment horizontal="center" vertical="center"/>
    </xf>
    <xf numFmtId="165" fontId="8" fillId="0" borderId="11" xfId="1" applyNumberFormat="1" applyFont="1" applyBorder="1" applyAlignment="1">
      <alignment horizontal="center" vertical="center"/>
    </xf>
    <xf numFmtId="14" fontId="8" fillId="0" borderId="12" xfId="0" applyNumberFormat="1" applyFont="1" applyBorder="1" applyAlignment="1">
      <alignment horizontal="center" vertical="center"/>
    </xf>
    <xf numFmtId="165" fontId="8" fillId="0" borderId="11" xfId="1" applyNumberFormat="1" applyFont="1" applyFill="1" applyBorder="1" applyAlignment="1">
      <alignment horizontal="center" vertical="center"/>
    </xf>
    <xf numFmtId="43" fontId="8" fillId="0" borderId="5" xfId="0" applyNumberFormat="1" applyFont="1" applyBorder="1" applyAlignment="1">
      <alignment horizontal="center" vertical="center"/>
    </xf>
    <xf numFmtId="0" fontId="20" fillId="4" borderId="5" xfId="5" applyNumberFormat="1" applyFill="1" applyBorder="1" applyAlignment="1">
      <alignment horizontal="center" vertical="center"/>
    </xf>
    <xf numFmtId="0" fontId="20" fillId="4" borderId="5" xfId="5" applyNumberFormat="1" applyFill="1" applyBorder="1" applyAlignment="1">
      <alignment horizontal="center" vertical="center" wrapText="1"/>
    </xf>
  </cellXfs>
  <cellStyles count="6">
    <cellStyle name="Bad" xfId="3" builtinId="27"/>
    <cellStyle name="Comma" xfId="1" builtinId="3"/>
    <cellStyle name="Currency" xfId="2" builtinId="4"/>
    <cellStyle name="Hyperlink" xfId="5" builtinId="8"/>
    <cellStyle name="Normal" xfId="0" builtinId="0"/>
    <cellStyle name="Normal 2" xfId="4" xr:uid="{4725B997-CD3B-40E4-8434-3AA6BCAB507B}"/>
  </cellStyles>
  <dxfs count="3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5" formatCode="_(* #,##0.00_);_(* \(#,##0.00\);_(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[$-409]mmmm\ d\,\ yyyy;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255249-BAB5-497B-A788-6FD7F131682F}" name="Table32" displayName="Table32" ref="A1:R191" totalsRowShown="0" headerRowDxfId="200" dataDxfId="198" headerRowBorderDxfId="199" tableBorderDxfId="197">
  <autoFilter ref="A1:R191" xr:uid="{4F598620-36C7-430F-9D6A-A4FF1AFCEC0B}"/>
  <sortState xmlns:xlrd2="http://schemas.microsoft.com/office/spreadsheetml/2017/richdata2" ref="A2:R191">
    <sortCondition ref="A1:A191"/>
  </sortState>
  <tableColumns count="18">
    <tableColumn id="1" xr3:uid="{5B57643B-9AF7-4D83-B6D7-2D8BAD322412}" name="Business Partner Name" dataDxfId="196"/>
    <tableColumn id="2" xr3:uid="{73DA0650-C11B-46A3-9FE5-F29D99555F2B}" name="Business Partner" dataDxfId="195"/>
    <tableColumn id="3" xr3:uid="{4BC793FA-51FC-4D7D-8C8C-FACA701F910D}" name="Assigned to :" dataDxfId="194"/>
    <tableColumn id="4" xr3:uid="{F0DE6D24-691A-416D-9463-FA00EB3D15CB}" name="Status" dataDxfId="193"/>
    <tableColumn id="6" xr3:uid="{7B76E02B-4DEB-4FD7-BA8A-D2220FAAD2BB}" name="Statement Date" dataDxfId="192" dataCellStyle="Comma"/>
    <tableColumn id="7" xr3:uid="{C337D19A-12DF-48AD-A54B-4AE250341E84}" name="Vendor Statement $" dataDxfId="191" dataCellStyle="Currency"/>
    <tableColumn id="8" xr3:uid="{9EE8DA05-E7BB-4608-A14D-69357B6BD288}" name="Invoice" dataDxfId="190" dataCellStyle="Comma"/>
    <tableColumn id="9" xr3:uid="{C80EDCAE-F150-4648-85B0-9854D77314EA}" name="Processed $" dataDxfId="189" dataCellStyle="Currency"/>
    <tableColumn id="10" xr3:uid="{3E09045D-1F06-4E91-81F4-928C5791E44E}" name="Processed Invoices" dataDxfId="188" dataCellStyle="Comma"/>
    <tableColumn id="11" xr3:uid="{8562EA5D-F242-4C6E-A317-4BAEB070DF05}" name="Pending $" dataDxfId="187" dataCellStyle="Currency"/>
    <tableColumn id="12" xr3:uid="{EC3EDB6C-1459-44F9-8451-972529670258}" name="Pending No. Invoices" dataDxfId="186"/>
    <tableColumn id="15" xr3:uid="{F9D65B80-548B-45E4-A0A3-B6E5D68EAC46}" name="PM invoices" dataDxfId="185"/>
    <tableColumn id="5" xr3:uid="{563DCA7F-9D1B-4C22-8F20-2188127D7745}" name="Install invoices" dataDxfId="184"/>
    <tableColumn id="18" xr3:uid="{6D92D838-8446-4E5D-898E-12F8523CED54}" name="Tech Support invoices" dataDxfId="183"/>
    <tableColumn id="19" xr3:uid="{BC557102-80DC-438D-85BB-67230D6CD812}" name="Service Calls invoices" dataDxfId="182"/>
    <tableColumn id="17" xr3:uid="{EEAEAD39-0A74-4759-80D6-BB35ECE7B3FB}" name="TBD" dataDxfId="181"/>
    <tableColumn id="14" xr3:uid="{5D089E9C-E38A-47C1-B155-83053A60F3A4}" name="Summary / Comments" dataDxfId="180"/>
    <tableColumn id="13" xr3:uid="{6641E74A-626D-4250-919E-F7AA2D881E3B}" name="Email" dataDxfId="179" dataCellStyle="Comma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566A7-8EC7-4DA0-9F8C-1479A40991B1}">
  <sheetPr codeName="Sheet8">
    <tabColor theme="9" tint="0.59999389629810485"/>
  </sheetPr>
  <dimension ref="A1:R193"/>
  <sheetViews>
    <sheetView tabSelected="1" topLeftCell="I1" zoomScale="90" zoomScaleNormal="90" workbookViewId="0">
      <pane ySplit="1" topLeftCell="A2" activePane="bottomLeft" state="frozen"/>
      <selection pane="bottomLeft" activeCell="R1" sqref="R1"/>
    </sheetView>
  </sheetViews>
  <sheetFormatPr defaultColWidth="9.140625" defaultRowHeight="17.100000000000001" customHeight="1" x14ac:dyDescent="0.25"/>
  <cols>
    <col min="1" max="1" width="40.28515625" style="119" customWidth="1"/>
    <col min="2" max="2" width="23.42578125" style="111" customWidth="1"/>
    <col min="3" max="3" width="17.7109375" style="111" customWidth="1"/>
    <col min="4" max="4" width="14.7109375" style="111" customWidth="1"/>
    <col min="5" max="5" width="18.7109375" style="138" customWidth="1"/>
    <col min="6" max="6" width="21" style="131" customWidth="1"/>
    <col min="7" max="7" width="15" style="113" customWidth="1"/>
    <col min="8" max="8" width="16.7109375" style="131" customWidth="1"/>
    <col min="9" max="9" width="21.85546875" style="111" customWidth="1"/>
    <col min="10" max="10" width="16.28515625" style="131" customWidth="1"/>
    <col min="11" max="12" width="20.28515625" style="113" customWidth="1"/>
    <col min="13" max="16" width="23.85546875" style="113" customWidth="1"/>
    <col min="17" max="17" width="54.42578125" style="111" customWidth="1"/>
    <col min="18" max="18" width="41" style="109" bestFit="1" customWidth="1"/>
    <col min="19" max="16384" width="9.140625" style="109"/>
  </cols>
  <sheetData>
    <row r="1" spans="1:18" s="108" customFormat="1" ht="17.100000000000001" customHeight="1" thickBot="1" x14ac:dyDescent="0.3">
      <c r="A1" s="114" t="s">
        <v>0</v>
      </c>
      <c r="B1" s="115" t="s">
        <v>1</v>
      </c>
      <c r="C1" s="115" t="s">
        <v>425</v>
      </c>
      <c r="D1" s="115" t="s">
        <v>2</v>
      </c>
      <c r="E1" s="136" t="s">
        <v>428</v>
      </c>
      <c r="F1" s="129" t="s">
        <v>426</v>
      </c>
      <c r="G1" s="105" t="s">
        <v>724</v>
      </c>
      <c r="H1" s="132" t="s">
        <v>429</v>
      </c>
      <c r="I1" s="106" t="s">
        <v>536</v>
      </c>
      <c r="J1" s="134" t="s">
        <v>430</v>
      </c>
      <c r="K1" s="127" t="s">
        <v>431</v>
      </c>
      <c r="L1" s="123" t="s">
        <v>575</v>
      </c>
      <c r="M1" s="123" t="s">
        <v>576</v>
      </c>
      <c r="N1" s="123" t="s">
        <v>577</v>
      </c>
      <c r="O1" s="123" t="s">
        <v>578</v>
      </c>
      <c r="P1" s="123" t="s">
        <v>563</v>
      </c>
      <c r="Q1" s="107" t="s">
        <v>3</v>
      </c>
      <c r="R1" s="144" t="s">
        <v>767</v>
      </c>
    </row>
    <row r="2" spans="1:18" s="154" customFormat="1" ht="17.100000000000001" customHeight="1" x14ac:dyDescent="0.25">
      <c r="A2" s="117"/>
      <c r="B2" s="141"/>
      <c r="C2" s="141"/>
      <c r="D2" s="141"/>
      <c r="E2" s="146"/>
      <c r="F2" s="147"/>
      <c r="G2" s="148"/>
      <c r="H2" s="149"/>
      <c r="I2" s="148"/>
      <c r="J2" s="150"/>
      <c r="K2" s="151"/>
      <c r="L2" s="151"/>
      <c r="M2" s="151"/>
      <c r="N2" s="151"/>
      <c r="O2" s="151"/>
      <c r="P2" s="151"/>
      <c r="Q2" s="152"/>
      <c r="R2" s="153"/>
    </row>
    <row r="3" spans="1:18" s="154" customFormat="1" ht="17.100000000000001" customHeight="1" x14ac:dyDescent="0.25">
      <c r="A3" s="117"/>
      <c r="B3" s="141"/>
      <c r="C3" s="141"/>
      <c r="D3" s="141"/>
      <c r="E3" s="146"/>
      <c r="F3" s="155"/>
      <c r="G3" s="156"/>
      <c r="H3" s="149"/>
      <c r="I3" s="148"/>
      <c r="J3" s="157"/>
      <c r="K3" s="151"/>
      <c r="L3" s="151"/>
      <c r="M3" s="151"/>
      <c r="N3" s="151"/>
      <c r="O3" s="151"/>
      <c r="P3" s="151"/>
      <c r="Q3" s="152"/>
      <c r="R3" s="153"/>
    </row>
    <row r="4" spans="1:18" s="154" customFormat="1" ht="17.100000000000001" customHeight="1" x14ac:dyDescent="0.25">
      <c r="A4" s="117"/>
      <c r="B4" s="141"/>
      <c r="C4" s="141"/>
      <c r="D4" s="141"/>
      <c r="E4" s="146"/>
      <c r="F4" s="155"/>
      <c r="G4" s="156"/>
      <c r="H4" s="149"/>
      <c r="I4" s="148"/>
      <c r="J4" s="157"/>
      <c r="K4" s="151"/>
      <c r="L4" s="151"/>
      <c r="M4" s="151"/>
      <c r="N4" s="151"/>
      <c r="O4" s="151"/>
      <c r="P4" s="151"/>
      <c r="Q4" s="152"/>
      <c r="R4" s="162"/>
    </row>
    <row r="5" spans="1:18" s="154" customFormat="1" ht="17.100000000000001" customHeight="1" x14ac:dyDescent="0.25">
      <c r="A5" s="117"/>
      <c r="B5" s="141"/>
      <c r="C5" s="141"/>
      <c r="D5" s="141"/>
      <c r="E5" s="158"/>
      <c r="F5" s="155"/>
      <c r="G5" s="156"/>
      <c r="H5" s="149"/>
      <c r="I5" s="148"/>
      <c r="J5" s="157"/>
      <c r="K5" s="151"/>
      <c r="L5" s="151"/>
      <c r="M5" s="151"/>
      <c r="N5" s="151"/>
      <c r="O5" s="151"/>
      <c r="P5" s="151"/>
      <c r="Q5" s="152"/>
      <c r="R5" s="162"/>
    </row>
    <row r="6" spans="1:18" s="154" customFormat="1" ht="17.100000000000001" customHeight="1" x14ac:dyDescent="0.25">
      <c r="A6" s="117"/>
      <c r="B6" s="141"/>
      <c r="C6" s="141"/>
      <c r="D6" s="141"/>
      <c r="E6" s="146"/>
      <c r="F6" s="155"/>
      <c r="G6" s="156"/>
      <c r="H6" s="149"/>
      <c r="I6" s="148"/>
      <c r="J6" s="155"/>
      <c r="K6" s="156"/>
      <c r="L6" s="151"/>
      <c r="M6" s="151"/>
      <c r="N6" s="151"/>
      <c r="O6" s="151"/>
      <c r="P6" s="151"/>
      <c r="Q6" s="152"/>
      <c r="R6" s="162"/>
    </row>
    <row r="7" spans="1:18" s="154" customFormat="1" ht="17.100000000000001" customHeight="1" x14ac:dyDescent="0.25">
      <c r="A7" s="117"/>
      <c r="B7" s="141"/>
      <c r="C7" s="141"/>
      <c r="D7" s="141"/>
      <c r="E7" s="146"/>
      <c r="F7" s="155"/>
      <c r="G7" s="156"/>
      <c r="H7" s="149"/>
      <c r="I7" s="148"/>
      <c r="J7" s="157"/>
      <c r="K7" s="151"/>
      <c r="L7" s="151"/>
      <c r="M7" s="151"/>
      <c r="N7" s="151"/>
      <c r="O7" s="151"/>
      <c r="P7" s="151"/>
      <c r="Q7" s="152"/>
      <c r="R7" s="162"/>
    </row>
    <row r="8" spans="1:18" s="154" customFormat="1" ht="17.100000000000001" customHeight="1" x14ac:dyDescent="0.25">
      <c r="A8" s="117"/>
      <c r="B8" s="141"/>
      <c r="C8" s="141"/>
      <c r="D8" s="141"/>
      <c r="E8" s="146"/>
      <c r="F8" s="155"/>
      <c r="G8" s="156"/>
      <c r="H8" s="149"/>
      <c r="I8" s="148"/>
      <c r="J8" s="157"/>
      <c r="K8" s="151"/>
      <c r="L8" s="151"/>
      <c r="M8" s="151"/>
      <c r="N8" s="151"/>
      <c r="O8" s="151"/>
      <c r="P8" s="151"/>
      <c r="Q8" s="152"/>
      <c r="R8" s="153"/>
    </row>
    <row r="9" spans="1:18" s="154" customFormat="1" ht="17.100000000000001" customHeight="1" x14ac:dyDescent="0.25">
      <c r="A9" s="117"/>
      <c r="B9" s="141"/>
      <c r="C9" s="141"/>
      <c r="D9" s="141"/>
      <c r="E9" s="158"/>
      <c r="F9" s="155"/>
      <c r="G9" s="156"/>
      <c r="H9" s="149"/>
      <c r="I9" s="148"/>
      <c r="J9" s="157"/>
      <c r="K9" s="151"/>
      <c r="L9" s="151"/>
      <c r="M9" s="151"/>
      <c r="N9" s="151"/>
      <c r="O9" s="151"/>
      <c r="P9" s="151"/>
      <c r="Q9" s="152"/>
      <c r="R9" s="162"/>
    </row>
    <row r="10" spans="1:18" s="154" customFormat="1" ht="17.100000000000001" customHeight="1" x14ac:dyDescent="0.25">
      <c r="A10" s="117"/>
      <c r="B10" s="141"/>
      <c r="C10" s="141"/>
      <c r="D10" s="141"/>
      <c r="E10" s="146"/>
      <c r="F10" s="155"/>
      <c r="G10" s="156"/>
      <c r="H10" s="149"/>
      <c r="I10" s="148"/>
      <c r="J10" s="157"/>
      <c r="K10" s="151"/>
      <c r="L10" s="151"/>
      <c r="M10" s="151"/>
      <c r="N10" s="151"/>
      <c r="O10" s="151"/>
      <c r="P10" s="151"/>
      <c r="Q10" s="152"/>
      <c r="R10" s="163"/>
    </row>
    <row r="11" spans="1:18" s="154" customFormat="1" ht="17.100000000000001" customHeight="1" x14ac:dyDescent="0.25">
      <c r="A11" s="117"/>
      <c r="B11" s="141"/>
      <c r="C11" s="141"/>
      <c r="D11" s="141"/>
      <c r="E11" s="146"/>
      <c r="F11" s="147"/>
      <c r="G11" s="148"/>
      <c r="H11" s="149"/>
      <c r="I11" s="148"/>
      <c r="J11" s="150"/>
      <c r="K11" s="151"/>
      <c r="L11" s="151"/>
      <c r="M11" s="151"/>
      <c r="N11" s="151"/>
      <c r="O11" s="151"/>
      <c r="P11" s="151"/>
      <c r="Q11" s="159"/>
      <c r="R11" s="162"/>
    </row>
    <row r="12" spans="1:18" s="154" customFormat="1" ht="17.100000000000001" customHeight="1" x14ac:dyDescent="0.25">
      <c r="A12" s="117"/>
      <c r="B12" s="141"/>
      <c r="C12" s="141"/>
      <c r="D12" s="141"/>
      <c r="E12" s="146"/>
      <c r="F12" s="155"/>
      <c r="G12" s="156"/>
      <c r="H12" s="149"/>
      <c r="I12" s="148"/>
      <c r="J12" s="157"/>
      <c r="K12" s="151"/>
      <c r="L12" s="151"/>
      <c r="M12" s="151"/>
      <c r="N12" s="151"/>
      <c r="O12" s="151"/>
      <c r="P12" s="151"/>
      <c r="Q12" s="152"/>
      <c r="R12" s="153"/>
    </row>
    <row r="13" spans="1:18" s="154" customFormat="1" ht="17.100000000000001" customHeight="1" x14ac:dyDescent="0.25">
      <c r="A13" s="117"/>
      <c r="B13" s="141"/>
      <c r="C13" s="141"/>
      <c r="D13" s="141"/>
      <c r="E13" s="146"/>
      <c r="F13" s="155"/>
      <c r="G13" s="156"/>
      <c r="H13" s="149"/>
      <c r="I13" s="148"/>
      <c r="J13" s="157"/>
      <c r="K13" s="151"/>
      <c r="L13" s="151"/>
      <c r="M13" s="151"/>
      <c r="N13" s="151"/>
      <c r="O13" s="151"/>
      <c r="P13" s="151"/>
      <c r="Q13" s="152"/>
      <c r="R13" s="162"/>
    </row>
    <row r="14" spans="1:18" s="154" customFormat="1" ht="17.100000000000001" customHeight="1" x14ac:dyDescent="0.25">
      <c r="A14" s="117"/>
      <c r="B14" s="141"/>
      <c r="C14" s="141"/>
      <c r="D14" s="141"/>
      <c r="E14" s="146"/>
      <c r="F14" s="155"/>
      <c r="G14" s="156"/>
      <c r="H14" s="149"/>
      <c r="I14" s="148"/>
      <c r="J14" s="157"/>
      <c r="K14" s="151"/>
      <c r="L14" s="151"/>
      <c r="M14" s="151"/>
      <c r="N14" s="151"/>
      <c r="O14" s="151"/>
      <c r="P14" s="151"/>
      <c r="Q14" s="152"/>
      <c r="R14" s="162"/>
    </row>
    <row r="15" spans="1:18" s="154" customFormat="1" ht="17.100000000000001" customHeight="1" x14ac:dyDescent="0.25">
      <c r="A15" s="117"/>
      <c r="B15" s="141"/>
      <c r="C15" s="141"/>
      <c r="D15" s="141"/>
      <c r="E15" s="146"/>
      <c r="F15" s="147"/>
      <c r="G15" s="148"/>
      <c r="H15" s="149"/>
      <c r="I15" s="148"/>
      <c r="J15" s="150"/>
      <c r="K15" s="151"/>
      <c r="L15" s="151"/>
      <c r="M15" s="151"/>
      <c r="N15" s="151"/>
      <c r="O15" s="151"/>
      <c r="P15" s="151"/>
      <c r="Q15" s="152"/>
      <c r="R15" s="162"/>
    </row>
    <row r="16" spans="1:18" s="154" customFormat="1" ht="17.100000000000001" customHeight="1" x14ac:dyDescent="0.25">
      <c r="A16" s="117"/>
      <c r="B16" s="141"/>
      <c r="C16" s="141"/>
      <c r="D16" s="141"/>
      <c r="E16" s="146"/>
      <c r="F16" s="155"/>
      <c r="G16" s="156"/>
      <c r="H16" s="149"/>
      <c r="I16" s="148"/>
      <c r="J16" s="157"/>
      <c r="K16" s="151"/>
      <c r="L16" s="151"/>
      <c r="M16" s="151"/>
      <c r="N16" s="151"/>
      <c r="O16" s="151"/>
      <c r="P16" s="151"/>
      <c r="Q16" s="152"/>
      <c r="R16" s="162"/>
    </row>
    <row r="17" spans="1:18" s="154" customFormat="1" ht="17.100000000000001" customHeight="1" x14ac:dyDescent="0.25">
      <c r="A17" s="117"/>
      <c r="B17" s="141"/>
      <c r="C17" s="141"/>
      <c r="D17" s="141"/>
      <c r="E17" s="146"/>
      <c r="F17" s="155"/>
      <c r="G17" s="156"/>
      <c r="H17" s="149"/>
      <c r="I17" s="148"/>
      <c r="J17" s="157"/>
      <c r="K17" s="151"/>
      <c r="L17" s="151"/>
      <c r="M17" s="151"/>
      <c r="N17" s="151"/>
      <c r="O17" s="151"/>
      <c r="P17" s="151"/>
      <c r="Q17" s="152"/>
      <c r="R17" s="162"/>
    </row>
    <row r="18" spans="1:18" s="154" customFormat="1" ht="17.100000000000001" customHeight="1" x14ac:dyDescent="0.25">
      <c r="A18" s="117"/>
      <c r="B18" s="141"/>
      <c r="C18" s="141"/>
      <c r="D18" s="141"/>
      <c r="E18" s="146"/>
      <c r="F18" s="147"/>
      <c r="G18" s="148"/>
      <c r="H18" s="149"/>
      <c r="I18" s="148"/>
      <c r="J18" s="150"/>
      <c r="K18" s="151"/>
      <c r="L18" s="151"/>
      <c r="M18" s="151"/>
      <c r="N18" s="151"/>
      <c r="O18" s="151"/>
      <c r="P18" s="151"/>
      <c r="Q18" s="152"/>
      <c r="R18" s="153"/>
    </row>
    <row r="19" spans="1:18" s="154" customFormat="1" ht="17.100000000000001" customHeight="1" x14ac:dyDescent="0.25">
      <c r="A19" s="117"/>
      <c r="B19" s="141"/>
      <c r="C19" s="141"/>
      <c r="D19" s="141"/>
      <c r="E19" s="158"/>
      <c r="F19" s="155"/>
      <c r="G19" s="156"/>
      <c r="H19" s="149"/>
      <c r="I19" s="148"/>
      <c r="J19" s="157"/>
      <c r="K19" s="151"/>
      <c r="L19" s="151"/>
      <c r="M19" s="151"/>
      <c r="N19" s="151"/>
      <c r="O19" s="151"/>
      <c r="P19" s="151"/>
      <c r="Q19" s="152"/>
      <c r="R19" s="153"/>
    </row>
    <row r="20" spans="1:18" s="154" customFormat="1" ht="17.100000000000001" customHeight="1" x14ac:dyDescent="0.25">
      <c r="A20" s="117"/>
      <c r="B20" s="141"/>
      <c r="C20" s="141"/>
      <c r="D20" s="141"/>
      <c r="E20" s="146"/>
      <c r="F20" s="155"/>
      <c r="G20" s="156"/>
      <c r="H20" s="149"/>
      <c r="I20" s="148"/>
      <c r="J20" s="157"/>
      <c r="K20" s="151"/>
      <c r="L20" s="151"/>
      <c r="M20" s="151"/>
      <c r="N20" s="151"/>
      <c r="O20" s="151"/>
      <c r="P20" s="151"/>
      <c r="Q20" s="152"/>
      <c r="R20" s="162"/>
    </row>
    <row r="21" spans="1:18" s="154" customFormat="1" ht="17.100000000000001" customHeight="1" x14ac:dyDescent="0.25">
      <c r="A21" s="117"/>
      <c r="B21" s="141"/>
      <c r="C21" s="141"/>
      <c r="D21" s="141"/>
      <c r="E21" s="146"/>
      <c r="F21" s="155"/>
      <c r="G21" s="156"/>
      <c r="H21" s="149"/>
      <c r="I21" s="148"/>
      <c r="J21" s="157"/>
      <c r="K21" s="151"/>
      <c r="L21" s="151"/>
      <c r="M21" s="151"/>
      <c r="N21" s="151"/>
      <c r="O21" s="151"/>
      <c r="P21" s="151"/>
      <c r="Q21" s="152"/>
      <c r="R21" s="162"/>
    </row>
    <row r="22" spans="1:18" s="154" customFormat="1" ht="17.100000000000001" customHeight="1" x14ac:dyDescent="0.25">
      <c r="A22" s="117"/>
      <c r="B22" s="141"/>
      <c r="C22" s="141"/>
      <c r="D22" s="141"/>
      <c r="E22" s="146"/>
      <c r="F22" s="147"/>
      <c r="G22" s="148"/>
      <c r="H22" s="149"/>
      <c r="I22" s="148"/>
      <c r="J22" s="150"/>
      <c r="K22" s="151"/>
      <c r="L22" s="151"/>
      <c r="M22" s="151"/>
      <c r="N22" s="151"/>
      <c r="O22" s="151"/>
      <c r="P22" s="151"/>
      <c r="Q22" s="152"/>
      <c r="R22" s="162"/>
    </row>
    <row r="23" spans="1:18" s="154" customFormat="1" ht="17.100000000000001" customHeight="1" x14ac:dyDescent="0.25">
      <c r="A23" s="117"/>
      <c r="B23" s="141"/>
      <c r="C23" s="141"/>
      <c r="D23" s="141"/>
      <c r="E23" s="146"/>
      <c r="F23" s="155"/>
      <c r="G23" s="156"/>
      <c r="H23" s="149"/>
      <c r="I23" s="148"/>
      <c r="J23" s="157"/>
      <c r="K23" s="151"/>
      <c r="L23" s="151"/>
      <c r="M23" s="151"/>
      <c r="N23" s="151"/>
      <c r="O23" s="151"/>
      <c r="P23" s="151"/>
      <c r="Q23" s="152"/>
      <c r="R23" s="153"/>
    </row>
    <row r="24" spans="1:18" s="154" customFormat="1" ht="17.100000000000001" customHeight="1" x14ac:dyDescent="0.25">
      <c r="A24" s="117"/>
      <c r="B24" s="141"/>
      <c r="C24" s="141"/>
      <c r="D24" s="141"/>
      <c r="E24" s="146"/>
      <c r="F24" s="155"/>
      <c r="G24" s="156"/>
      <c r="H24" s="149"/>
      <c r="I24" s="148"/>
      <c r="J24" s="157"/>
      <c r="K24" s="151"/>
      <c r="L24" s="151"/>
      <c r="M24" s="151"/>
      <c r="N24" s="151"/>
      <c r="O24" s="151"/>
      <c r="P24" s="151"/>
      <c r="Q24" s="152"/>
      <c r="R24" s="162"/>
    </row>
    <row r="25" spans="1:18" s="154" customFormat="1" ht="17.100000000000001" customHeight="1" x14ac:dyDescent="0.25">
      <c r="A25" s="117"/>
      <c r="B25" s="141"/>
      <c r="C25" s="141"/>
      <c r="D25" s="141"/>
      <c r="E25" s="146"/>
      <c r="F25" s="155"/>
      <c r="G25" s="156"/>
      <c r="H25" s="149"/>
      <c r="I25" s="148"/>
      <c r="J25" s="157"/>
      <c r="K25" s="151"/>
      <c r="L25" s="151"/>
      <c r="M25" s="151"/>
      <c r="N25" s="151"/>
      <c r="O25" s="151"/>
      <c r="P25" s="151"/>
      <c r="Q25" s="152"/>
      <c r="R25" s="162"/>
    </row>
    <row r="26" spans="1:18" s="154" customFormat="1" ht="17.100000000000001" customHeight="1" x14ac:dyDescent="0.25">
      <c r="A26" s="117"/>
      <c r="B26" s="141"/>
      <c r="C26" s="141"/>
      <c r="D26" s="141"/>
      <c r="E26" s="146"/>
      <c r="F26" s="155"/>
      <c r="G26" s="156"/>
      <c r="H26" s="149"/>
      <c r="I26" s="148"/>
      <c r="J26" s="157"/>
      <c r="K26" s="151"/>
      <c r="L26" s="151"/>
      <c r="M26" s="151"/>
      <c r="N26" s="151"/>
      <c r="O26" s="151"/>
      <c r="P26" s="151"/>
      <c r="Q26" s="152"/>
      <c r="R26" s="162"/>
    </row>
    <row r="27" spans="1:18" s="154" customFormat="1" ht="17.100000000000001" customHeight="1" x14ac:dyDescent="0.25">
      <c r="A27" s="117"/>
      <c r="B27" s="141"/>
      <c r="C27" s="141"/>
      <c r="D27" s="141"/>
      <c r="E27" s="146"/>
      <c r="F27" s="155"/>
      <c r="G27" s="156"/>
      <c r="H27" s="149"/>
      <c r="I27" s="148"/>
      <c r="J27" s="157"/>
      <c r="K27" s="151"/>
      <c r="L27" s="151"/>
      <c r="M27" s="151"/>
      <c r="N27" s="151"/>
      <c r="O27" s="151"/>
      <c r="P27" s="151"/>
      <c r="Q27" s="152"/>
      <c r="R27" s="153"/>
    </row>
    <row r="28" spans="1:18" s="154" customFormat="1" ht="17.100000000000001" customHeight="1" x14ac:dyDescent="0.25">
      <c r="A28" s="117"/>
      <c r="B28" s="141"/>
      <c r="C28" s="141"/>
      <c r="D28" s="141"/>
      <c r="E28" s="158"/>
      <c r="F28" s="155"/>
      <c r="G28" s="156"/>
      <c r="H28" s="149"/>
      <c r="I28" s="148"/>
      <c r="J28" s="157"/>
      <c r="K28" s="151"/>
      <c r="L28" s="151"/>
      <c r="M28" s="151"/>
      <c r="N28" s="151"/>
      <c r="O28" s="151"/>
      <c r="P28" s="151"/>
      <c r="Q28" s="152"/>
      <c r="R28" s="153"/>
    </row>
    <row r="29" spans="1:18" s="154" customFormat="1" ht="17.100000000000001" customHeight="1" x14ac:dyDescent="0.25">
      <c r="A29" s="117"/>
      <c r="B29" s="141"/>
      <c r="C29" s="141"/>
      <c r="D29" s="141"/>
      <c r="E29" s="146"/>
      <c r="F29" s="155"/>
      <c r="G29" s="156"/>
      <c r="H29" s="149"/>
      <c r="I29" s="148"/>
      <c r="J29" s="157"/>
      <c r="K29" s="151"/>
      <c r="L29" s="151"/>
      <c r="M29" s="151"/>
      <c r="N29" s="151"/>
      <c r="O29" s="151"/>
      <c r="P29" s="151"/>
      <c r="Q29" s="152"/>
      <c r="R29" s="153"/>
    </row>
    <row r="30" spans="1:18" s="154" customFormat="1" ht="17.100000000000001" customHeight="1" x14ac:dyDescent="0.25">
      <c r="A30" s="117"/>
      <c r="B30" s="141"/>
      <c r="C30" s="141"/>
      <c r="D30" s="141"/>
      <c r="E30" s="146"/>
      <c r="F30" s="155"/>
      <c r="G30" s="156"/>
      <c r="H30" s="149"/>
      <c r="I30" s="148"/>
      <c r="J30" s="157"/>
      <c r="K30" s="151"/>
      <c r="L30" s="151"/>
      <c r="M30" s="151"/>
      <c r="N30" s="151"/>
      <c r="O30" s="151"/>
      <c r="P30" s="151"/>
      <c r="Q30" s="152"/>
      <c r="R30" s="162"/>
    </row>
    <row r="31" spans="1:18" s="154" customFormat="1" ht="17.100000000000001" customHeight="1" x14ac:dyDescent="0.25">
      <c r="A31" s="117"/>
      <c r="B31" s="141"/>
      <c r="C31" s="141"/>
      <c r="D31" s="141"/>
      <c r="E31" s="158"/>
      <c r="F31" s="155"/>
      <c r="G31" s="156"/>
      <c r="H31" s="149"/>
      <c r="I31" s="148"/>
      <c r="J31" s="157"/>
      <c r="K31" s="151"/>
      <c r="L31" s="151"/>
      <c r="M31" s="151"/>
      <c r="N31" s="151"/>
      <c r="O31" s="151"/>
      <c r="P31" s="151"/>
      <c r="Q31" s="152"/>
      <c r="R31" s="153"/>
    </row>
    <row r="32" spans="1:18" s="154" customFormat="1" ht="17.100000000000001" customHeight="1" x14ac:dyDescent="0.25">
      <c r="A32" s="145"/>
      <c r="B32" s="141"/>
      <c r="C32" s="141"/>
      <c r="D32" s="141"/>
      <c r="E32" s="146"/>
      <c r="F32" s="147"/>
      <c r="G32" s="148"/>
      <c r="H32" s="149"/>
      <c r="I32" s="148"/>
      <c r="J32" s="150"/>
      <c r="K32" s="151"/>
      <c r="L32" s="151"/>
      <c r="M32" s="151"/>
      <c r="N32" s="151"/>
      <c r="O32" s="151"/>
      <c r="P32" s="151"/>
      <c r="Q32" s="152"/>
      <c r="R32" s="153"/>
    </row>
    <row r="33" spans="1:18" s="154" customFormat="1" ht="17.100000000000001" customHeight="1" x14ac:dyDescent="0.25">
      <c r="A33" s="145"/>
      <c r="B33" s="141"/>
      <c r="C33" s="141"/>
      <c r="D33" s="141"/>
      <c r="E33" s="146"/>
      <c r="F33" s="155"/>
      <c r="G33" s="156"/>
      <c r="H33" s="149"/>
      <c r="I33" s="148"/>
      <c r="J33" s="157"/>
      <c r="K33" s="151"/>
      <c r="L33" s="151"/>
      <c r="M33" s="151"/>
      <c r="N33" s="151"/>
      <c r="O33" s="151"/>
      <c r="P33" s="151"/>
      <c r="Q33" s="152"/>
      <c r="R33" s="162"/>
    </row>
    <row r="34" spans="1:18" s="154" customFormat="1" ht="17.100000000000001" customHeight="1" x14ac:dyDescent="0.25">
      <c r="A34" s="117"/>
      <c r="B34" s="141"/>
      <c r="C34" s="141"/>
      <c r="D34" s="141"/>
      <c r="E34" s="146"/>
      <c r="F34" s="147"/>
      <c r="G34" s="148"/>
      <c r="H34" s="149"/>
      <c r="I34" s="148"/>
      <c r="J34" s="150"/>
      <c r="K34" s="151"/>
      <c r="L34" s="151"/>
      <c r="M34" s="151"/>
      <c r="N34" s="151"/>
      <c r="O34" s="151"/>
      <c r="P34" s="151"/>
      <c r="Q34" s="152"/>
      <c r="R34" s="162"/>
    </row>
    <row r="35" spans="1:18" s="154" customFormat="1" ht="17.100000000000001" customHeight="1" x14ac:dyDescent="0.25">
      <c r="A35" s="117"/>
      <c r="B35" s="141"/>
      <c r="C35" s="141"/>
      <c r="D35" s="141"/>
      <c r="E35" s="160"/>
      <c r="F35" s="147"/>
      <c r="G35" s="148"/>
      <c r="H35" s="149"/>
      <c r="I35" s="148"/>
      <c r="J35" s="150"/>
      <c r="K35" s="151"/>
      <c r="L35" s="151"/>
      <c r="M35" s="151"/>
      <c r="N35" s="151"/>
      <c r="O35" s="151"/>
      <c r="P35" s="151"/>
      <c r="Q35" s="152"/>
      <c r="R35" s="162"/>
    </row>
    <row r="36" spans="1:18" s="154" customFormat="1" ht="17.100000000000001" customHeight="1" x14ac:dyDescent="0.25">
      <c r="A36" s="117"/>
      <c r="B36" s="141"/>
      <c r="C36" s="141"/>
      <c r="D36" s="141"/>
      <c r="E36" s="146"/>
      <c r="F36" s="155"/>
      <c r="G36" s="156"/>
      <c r="H36" s="149"/>
      <c r="I36" s="148"/>
      <c r="J36" s="157"/>
      <c r="K36" s="151"/>
      <c r="L36" s="151"/>
      <c r="M36" s="151"/>
      <c r="N36" s="151"/>
      <c r="O36" s="151"/>
      <c r="P36" s="151"/>
      <c r="Q36" s="152"/>
      <c r="R36" s="162"/>
    </row>
    <row r="37" spans="1:18" s="154" customFormat="1" ht="17.100000000000001" customHeight="1" x14ac:dyDescent="0.25">
      <c r="A37" s="117"/>
      <c r="B37" s="141"/>
      <c r="C37" s="141"/>
      <c r="D37" s="141"/>
      <c r="E37" s="158"/>
      <c r="F37" s="155"/>
      <c r="G37" s="156"/>
      <c r="H37" s="149"/>
      <c r="I37" s="148"/>
      <c r="J37" s="157"/>
      <c r="K37" s="151"/>
      <c r="L37" s="151"/>
      <c r="M37" s="151"/>
      <c r="N37" s="151"/>
      <c r="O37" s="151"/>
      <c r="P37" s="151"/>
      <c r="Q37" s="152"/>
      <c r="R37" s="162"/>
    </row>
    <row r="38" spans="1:18" s="154" customFormat="1" ht="17.100000000000001" customHeight="1" x14ac:dyDescent="0.25">
      <c r="A38" s="117"/>
      <c r="B38" s="141"/>
      <c r="C38" s="141"/>
      <c r="D38" s="141"/>
      <c r="E38" s="146"/>
      <c r="F38" s="155"/>
      <c r="G38" s="156"/>
      <c r="H38" s="149"/>
      <c r="I38" s="148"/>
      <c r="J38" s="157"/>
      <c r="K38" s="151"/>
      <c r="L38" s="151"/>
      <c r="M38" s="151"/>
      <c r="N38" s="151"/>
      <c r="O38" s="151"/>
      <c r="P38" s="151"/>
      <c r="Q38" s="152"/>
      <c r="R38" s="153"/>
    </row>
    <row r="39" spans="1:18" s="154" customFormat="1" ht="17.100000000000001" customHeight="1" x14ac:dyDescent="0.25">
      <c r="A39" s="117"/>
      <c r="B39" s="141"/>
      <c r="C39" s="141"/>
      <c r="D39" s="141"/>
      <c r="E39" s="146"/>
      <c r="F39" s="155"/>
      <c r="G39" s="156"/>
      <c r="H39" s="149"/>
      <c r="I39" s="148"/>
      <c r="J39" s="157"/>
      <c r="K39" s="151"/>
      <c r="L39" s="151"/>
      <c r="M39" s="151"/>
      <c r="N39" s="151"/>
      <c r="O39" s="151"/>
      <c r="P39" s="151"/>
      <c r="Q39" s="152"/>
      <c r="R39" s="153"/>
    </row>
    <row r="40" spans="1:18" s="154" customFormat="1" ht="17.100000000000001" customHeight="1" x14ac:dyDescent="0.25">
      <c r="A40" s="117"/>
      <c r="B40" s="141"/>
      <c r="C40" s="141"/>
      <c r="D40" s="141"/>
      <c r="E40" s="146"/>
      <c r="F40" s="155"/>
      <c r="G40" s="156"/>
      <c r="H40" s="149"/>
      <c r="I40" s="148"/>
      <c r="J40" s="157"/>
      <c r="K40" s="151"/>
      <c r="L40" s="151"/>
      <c r="M40" s="151"/>
      <c r="N40" s="151"/>
      <c r="O40" s="151"/>
      <c r="P40" s="151"/>
      <c r="Q40" s="152"/>
      <c r="R40" s="153"/>
    </row>
    <row r="41" spans="1:18" s="154" customFormat="1" ht="17.100000000000001" customHeight="1" x14ac:dyDescent="0.25">
      <c r="A41" s="117"/>
      <c r="B41" s="141"/>
      <c r="C41" s="141"/>
      <c r="D41" s="141"/>
      <c r="E41" s="160"/>
      <c r="F41" s="147"/>
      <c r="G41" s="148"/>
      <c r="H41" s="149"/>
      <c r="I41" s="148"/>
      <c r="J41" s="150"/>
      <c r="K41" s="151"/>
      <c r="L41" s="151"/>
      <c r="M41" s="151"/>
      <c r="N41" s="151"/>
      <c r="O41" s="151"/>
      <c r="P41" s="151"/>
      <c r="Q41" s="152"/>
      <c r="R41" s="162"/>
    </row>
    <row r="42" spans="1:18" s="154" customFormat="1" ht="17.100000000000001" customHeight="1" x14ac:dyDescent="0.25">
      <c r="A42" s="142"/>
      <c r="B42" s="141"/>
      <c r="C42" s="141"/>
      <c r="D42" s="141"/>
      <c r="E42" s="146"/>
      <c r="F42" s="155"/>
      <c r="G42" s="156"/>
      <c r="H42" s="149"/>
      <c r="I42" s="148"/>
      <c r="J42" s="157"/>
      <c r="K42" s="151"/>
      <c r="L42" s="151"/>
      <c r="M42" s="151"/>
      <c r="N42" s="151"/>
      <c r="O42" s="151"/>
      <c r="P42" s="151"/>
      <c r="Q42" s="152"/>
      <c r="R42" s="153"/>
    </row>
    <row r="43" spans="1:18" s="154" customFormat="1" ht="17.100000000000001" customHeight="1" x14ac:dyDescent="0.25">
      <c r="A43" s="117"/>
      <c r="B43" s="141"/>
      <c r="C43" s="141"/>
      <c r="D43" s="141"/>
      <c r="E43" s="146"/>
      <c r="F43" s="147"/>
      <c r="G43" s="148"/>
      <c r="H43" s="149"/>
      <c r="I43" s="148"/>
      <c r="J43" s="150"/>
      <c r="K43" s="151"/>
      <c r="L43" s="151"/>
      <c r="M43" s="151"/>
      <c r="N43" s="151"/>
      <c r="O43" s="151"/>
      <c r="P43" s="151"/>
      <c r="Q43" s="152"/>
      <c r="R43" s="153"/>
    </row>
    <row r="44" spans="1:18" s="154" customFormat="1" ht="17.100000000000001" customHeight="1" x14ac:dyDescent="0.25">
      <c r="A44" s="117"/>
      <c r="B44" s="141"/>
      <c r="C44" s="141"/>
      <c r="D44" s="141"/>
      <c r="E44" s="146"/>
      <c r="F44" s="155"/>
      <c r="G44" s="156"/>
      <c r="H44" s="149"/>
      <c r="I44" s="148"/>
      <c r="J44" s="157"/>
      <c r="K44" s="151"/>
      <c r="L44" s="151"/>
      <c r="M44" s="151"/>
      <c r="N44" s="151"/>
      <c r="O44" s="151"/>
      <c r="P44" s="151"/>
      <c r="Q44" s="152"/>
      <c r="R44" s="153"/>
    </row>
    <row r="45" spans="1:18" s="154" customFormat="1" ht="17.100000000000001" customHeight="1" x14ac:dyDescent="0.25">
      <c r="A45" s="117"/>
      <c r="B45" s="141"/>
      <c r="C45" s="141"/>
      <c r="D45" s="141"/>
      <c r="E45" s="160"/>
      <c r="F45" s="147"/>
      <c r="G45" s="148"/>
      <c r="H45" s="149"/>
      <c r="I45" s="148"/>
      <c r="J45" s="150"/>
      <c r="K45" s="151"/>
      <c r="L45" s="151"/>
      <c r="M45" s="151"/>
      <c r="N45" s="151"/>
      <c r="O45" s="151"/>
      <c r="P45" s="151"/>
      <c r="Q45" s="152"/>
      <c r="R45" s="153"/>
    </row>
    <row r="46" spans="1:18" s="154" customFormat="1" ht="17.100000000000001" customHeight="1" x14ac:dyDescent="0.25">
      <c r="A46" s="117"/>
      <c r="B46" s="141"/>
      <c r="C46" s="141"/>
      <c r="D46" s="141"/>
      <c r="E46" s="146"/>
      <c r="F46" s="155"/>
      <c r="G46" s="156"/>
      <c r="H46" s="149"/>
      <c r="I46" s="148"/>
      <c r="J46" s="157"/>
      <c r="K46" s="151"/>
      <c r="L46" s="151"/>
      <c r="M46" s="151"/>
      <c r="N46" s="151"/>
      <c r="O46" s="151"/>
      <c r="P46" s="151"/>
      <c r="Q46" s="152"/>
      <c r="R46" s="153"/>
    </row>
    <row r="47" spans="1:18" s="154" customFormat="1" ht="17.100000000000001" customHeight="1" x14ac:dyDescent="0.25">
      <c r="A47" s="117"/>
      <c r="B47" s="141"/>
      <c r="C47" s="141"/>
      <c r="D47" s="141"/>
      <c r="E47" s="158"/>
      <c r="F47" s="155"/>
      <c r="G47" s="156"/>
      <c r="H47" s="149"/>
      <c r="I47" s="148"/>
      <c r="J47" s="157"/>
      <c r="K47" s="151"/>
      <c r="L47" s="151"/>
      <c r="M47" s="151"/>
      <c r="N47" s="151"/>
      <c r="O47" s="151"/>
      <c r="P47" s="151"/>
      <c r="Q47" s="152"/>
      <c r="R47" s="153"/>
    </row>
    <row r="48" spans="1:18" s="154" customFormat="1" ht="17.100000000000001" customHeight="1" x14ac:dyDescent="0.25">
      <c r="A48" s="117"/>
      <c r="B48" s="141"/>
      <c r="C48" s="141"/>
      <c r="D48" s="141"/>
      <c r="E48" s="146"/>
      <c r="F48" s="155"/>
      <c r="G48" s="156"/>
      <c r="H48" s="149"/>
      <c r="I48" s="148"/>
      <c r="J48" s="157"/>
      <c r="K48" s="151"/>
      <c r="L48" s="151"/>
      <c r="M48" s="151"/>
      <c r="N48" s="151"/>
      <c r="O48" s="151"/>
      <c r="P48" s="151"/>
      <c r="Q48" s="152"/>
      <c r="R48" s="153"/>
    </row>
    <row r="49" spans="1:18" s="154" customFormat="1" ht="17.100000000000001" customHeight="1" x14ac:dyDescent="0.25">
      <c r="A49" s="117"/>
      <c r="B49" s="141"/>
      <c r="C49" s="141"/>
      <c r="D49" s="141"/>
      <c r="E49" s="146"/>
      <c r="F49" s="155"/>
      <c r="G49" s="156"/>
      <c r="H49" s="149"/>
      <c r="I49" s="148"/>
      <c r="J49" s="157"/>
      <c r="K49" s="151"/>
      <c r="L49" s="151"/>
      <c r="M49" s="151"/>
      <c r="N49" s="151"/>
      <c r="O49" s="151"/>
      <c r="P49" s="151"/>
      <c r="Q49" s="152"/>
      <c r="R49" s="153"/>
    </row>
    <row r="50" spans="1:18" s="154" customFormat="1" ht="17.100000000000001" customHeight="1" x14ac:dyDescent="0.25">
      <c r="A50" s="117"/>
      <c r="B50" s="141"/>
      <c r="C50" s="141"/>
      <c r="D50" s="141"/>
      <c r="E50" s="146"/>
      <c r="F50" s="147"/>
      <c r="G50" s="148"/>
      <c r="H50" s="149"/>
      <c r="I50" s="148"/>
      <c r="J50" s="150"/>
      <c r="K50" s="151"/>
      <c r="L50" s="151"/>
      <c r="M50" s="151"/>
      <c r="N50" s="151"/>
      <c r="O50" s="151"/>
      <c r="P50" s="151"/>
      <c r="Q50" s="152"/>
      <c r="R50" s="153"/>
    </row>
    <row r="51" spans="1:18" s="154" customFormat="1" ht="17.100000000000001" customHeight="1" x14ac:dyDescent="0.25">
      <c r="A51" s="117"/>
      <c r="B51" s="141"/>
      <c r="C51" s="141"/>
      <c r="D51" s="141"/>
      <c r="E51" s="146"/>
      <c r="F51" s="155"/>
      <c r="G51" s="156"/>
      <c r="H51" s="149"/>
      <c r="I51" s="148"/>
      <c r="J51" s="157"/>
      <c r="K51" s="151"/>
      <c r="L51" s="151"/>
      <c r="M51" s="151"/>
      <c r="N51" s="151"/>
      <c r="O51" s="151"/>
      <c r="P51" s="151"/>
      <c r="Q51" s="152"/>
      <c r="R51" s="153"/>
    </row>
    <row r="52" spans="1:18" s="154" customFormat="1" ht="17.100000000000001" customHeight="1" x14ac:dyDescent="0.25">
      <c r="A52" s="117"/>
      <c r="B52" s="141"/>
      <c r="C52" s="141"/>
      <c r="D52" s="141"/>
      <c r="E52" s="146"/>
      <c r="F52" s="155"/>
      <c r="G52" s="156"/>
      <c r="H52" s="149"/>
      <c r="I52" s="148"/>
      <c r="J52" s="157"/>
      <c r="K52" s="151"/>
      <c r="L52" s="151"/>
      <c r="M52" s="151"/>
      <c r="N52" s="151"/>
      <c r="O52" s="151"/>
      <c r="P52" s="151"/>
      <c r="Q52" s="152"/>
      <c r="R52" s="153"/>
    </row>
    <row r="53" spans="1:18" s="154" customFormat="1" ht="17.100000000000001" customHeight="1" x14ac:dyDescent="0.25">
      <c r="A53" s="145"/>
      <c r="B53" s="141"/>
      <c r="C53" s="141"/>
      <c r="D53" s="141"/>
      <c r="E53" s="146"/>
      <c r="F53" s="155"/>
      <c r="G53" s="156"/>
      <c r="H53" s="149"/>
      <c r="I53" s="148"/>
      <c r="J53" s="157"/>
      <c r="K53" s="151"/>
      <c r="L53" s="151"/>
      <c r="M53" s="151"/>
      <c r="N53" s="151"/>
      <c r="O53" s="151"/>
      <c r="P53" s="151"/>
      <c r="Q53" s="152"/>
      <c r="R53" s="153"/>
    </row>
    <row r="54" spans="1:18" s="154" customFormat="1" ht="17.100000000000001" customHeight="1" x14ac:dyDescent="0.25">
      <c r="A54" s="117"/>
      <c r="B54" s="141"/>
      <c r="C54" s="141"/>
      <c r="D54" s="141"/>
      <c r="E54" s="146"/>
      <c r="F54" s="155"/>
      <c r="G54" s="156"/>
      <c r="H54" s="149"/>
      <c r="I54" s="148"/>
      <c r="J54" s="157"/>
      <c r="K54" s="151"/>
      <c r="L54" s="151"/>
      <c r="M54" s="151"/>
      <c r="N54" s="151"/>
      <c r="O54" s="151"/>
      <c r="P54" s="151"/>
      <c r="Q54" s="152"/>
      <c r="R54" s="153"/>
    </row>
    <row r="55" spans="1:18" s="154" customFormat="1" ht="17.100000000000001" customHeight="1" x14ac:dyDescent="0.25">
      <c r="A55" s="117"/>
      <c r="B55" s="141"/>
      <c r="C55" s="141"/>
      <c r="D55" s="141"/>
      <c r="E55" s="160"/>
      <c r="F55" s="147"/>
      <c r="G55" s="148"/>
      <c r="H55" s="149"/>
      <c r="I55" s="148"/>
      <c r="J55" s="150"/>
      <c r="K55" s="151"/>
      <c r="L55" s="151"/>
      <c r="M55" s="151"/>
      <c r="N55" s="151"/>
      <c r="O55" s="151"/>
      <c r="P55" s="151"/>
      <c r="Q55" s="152"/>
      <c r="R55" s="153"/>
    </row>
    <row r="56" spans="1:18" s="154" customFormat="1" ht="17.100000000000001" customHeight="1" x14ac:dyDescent="0.25">
      <c r="A56" s="117"/>
      <c r="B56" s="141"/>
      <c r="C56" s="141"/>
      <c r="D56" s="141"/>
      <c r="E56" s="146"/>
      <c r="F56" s="147"/>
      <c r="G56" s="148"/>
      <c r="H56" s="149"/>
      <c r="I56" s="148"/>
      <c r="J56" s="150"/>
      <c r="K56" s="151"/>
      <c r="L56" s="151"/>
      <c r="M56" s="151"/>
      <c r="N56" s="151"/>
      <c r="O56" s="151"/>
      <c r="P56" s="151"/>
      <c r="Q56" s="152"/>
      <c r="R56" s="153"/>
    </row>
    <row r="57" spans="1:18" s="154" customFormat="1" ht="17.100000000000001" customHeight="1" x14ac:dyDescent="0.25">
      <c r="A57" s="117"/>
      <c r="B57" s="141"/>
      <c r="C57" s="141"/>
      <c r="D57" s="141"/>
      <c r="E57" s="160"/>
      <c r="F57" s="147"/>
      <c r="G57" s="148"/>
      <c r="H57" s="149"/>
      <c r="I57" s="148"/>
      <c r="J57" s="150"/>
      <c r="K57" s="151"/>
      <c r="L57" s="151"/>
      <c r="M57" s="151"/>
      <c r="N57" s="151"/>
      <c r="O57" s="151"/>
      <c r="P57" s="151"/>
      <c r="Q57" s="152"/>
      <c r="R57" s="153"/>
    </row>
    <row r="58" spans="1:18" s="154" customFormat="1" ht="17.100000000000001" customHeight="1" x14ac:dyDescent="0.25">
      <c r="A58" s="117"/>
      <c r="B58" s="141"/>
      <c r="C58" s="141"/>
      <c r="D58" s="141"/>
      <c r="E58" s="160"/>
      <c r="F58" s="147"/>
      <c r="G58" s="148"/>
      <c r="H58" s="149"/>
      <c r="I58" s="148"/>
      <c r="J58" s="150"/>
      <c r="K58" s="151"/>
      <c r="L58" s="151"/>
      <c r="M58" s="151"/>
      <c r="N58" s="151"/>
      <c r="O58" s="151"/>
      <c r="P58" s="151"/>
      <c r="Q58" s="152"/>
      <c r="R58" s="153"/>
    </row>
    <row r="59" spans="1:18" s="154" customFormat="1" ht="17.100000000000001" customHeight="1" x14ac:dyDescent="0.25">
      <c r="A59" s="117"/>
      <c r="B59" s="141"/>
      <c r="C59" s="141"/>
      <c r="D59" s="141"/>
      <c r="E59" s="160"/>
      <c r="F59" s="147"/>
      <c r="G59" s="148"/>
      <c r="H59" s="149"/>
      <c r="I59" s="148"/>
      <c r="J59" s="150"/>
      <c r="K59" s="151"/>
      <c r="L59" s="151"/>
      <c r="M59" s="151"/>
      <c r="N59" s="151"/>
      <c r="O59" s="151"/>
      <c r="P59" s="151"/>
      <c r="Q59" s="152"/>
      <c r="R59" s="153"/>
    </row>
    <row r="60" spans="1:18" s="154" customFormat="1" ht="17.100000000000001" customHeight="1" x14ac:dyDescent="0.25">
      <c r="A60" s="117"/>
      <c r="B60" s="141"/>
      <c r="C60" s="141"/>
      <c r="D60" s="141"/>
      <c r="E60" s="146"/>
      <c r="F60" s="147"/>
      <c r="G60" s="148"/>
      <c r="H60" s="149"/>
      <c r="I60" s="148"/>
      <c r="J60" s="150"/>
      <c r="K60" s="151"/>
      <c r="L60" s="151"/>
      <c r="M60" s="151"/>
      <c r="N60" s="151"/>
      <c r="O60" s="151"/>
      <c r="P60" s="151"/>
      <c r="Q60" s="152"/>
      <c r="R60" s="153"/>
    </row>
    <row r="61" spans="1:18" s="154" customFormat="1" ht="17.100000000000001" customHeight="1" x14ac:dyDescent="0.25">
      <c r="A61" s="117"/>
      <c r="B61" s="141"/>
      <c r="C61" s="141"/>
      <c r="D61" s="141"/>
      <c r="E61" s="146"/>
      <c r="F61" s="147"/>
      <c r="G61" s="148"/>
      <c r="H61" s="149"/>
      <c r="I61" s="148"/>
      <c r="J61" s="150"/>
      <c r="K61" s="151"/>
      <c r="L61" s="151"/>
      <c r="M61" s="151"/>
      <c r="N61" s="151"/>
      <c r="O61" s="151"/>
      <c r="P61" s="151"/>
      <c r="Q61" s="152"/>
      <c r="R61" s="153"/>
    </row>
    <row r="62" spans="1:18" s="154" customFormat="1" ht="17.100000000000001" customHeight="1" x14ac:dyDescent="0.25">
      <c r="A62" s="117"/>
      <c r="B62" s="141"/>
      <c r="C62" s="141"/>
      <c r="D62" s="141"/>
      <c r="E62" s="158"/>
      <c r="F62" s="155"/>
      <c r="G62" s="156"/>
      <c r="H62" s="149"/>
      <c r="I62" s="148"/>
      <c r="J62" s="157"/>
      <c r="K62" s="151"/>
      <c r="L62" s="151"/>
      <c r="M62" s="151"/>
      <c r="N62" s="151"/>
      <c r="O62" s="151"/>
      <c r="P62" s="151"/>
      <c r="Q62" s="152"/>
      <c r="R62" s="153"/>
    </row>
    <row r="63" spans="1:18" s="154" customFormat="1" ht="17.100000000000001" customHeight="1" x14ac:dyDescent="0.25">
      <c r="A63" s="117"/>
      <c r="B63" s="141"/>
      <c r="C63" s="141"/>
      <c r="D63" s="141"/>
      <c r="E63" s="146"/>
      <c r="F63" s="147"/>
      <c r="G63" s="148"/>
      <c r="H63" s="149"/>
      <c r="I63" s="148"/>
      <c r="J63" s="150"/>
      <c r="K63" s="151"/>
      <c r="L63" s="151"/>
      <c r="M63" s="151"/>
      <c r="N63" s="151"/>
      <c r="O63" s="151"/>
      <c r="P63" s="151"/>
      <c r="Q63" s="152"/>
      <c r="R63" s="153"/>
    </row>
    <row r="64" spans="1:18" s="154" customFormat="1" ht="17.100000000000001" customHeight="1" x14ac:dyDescent="0.25">
      <c r="A64" s="117"/>
      <c r="B64" s="141"/>
      <c r="C64" s="141"/>
      <c r="D64" s="141"/>
      <c r="E64" s="146"/>
      <c r="F64" s="147"/>
      <c r="G64" s="148"/>
      <c r="H64" s="149"/>
      <c r="I64" s="148"/>
      <c r="J64" s="150"/>
      <c r="K64" s="151"/>
      <c r="L64" s="151"/>
      <c r="M64" s="151"/>
      <c r="N64" s="151"/>
      <c r="O64" s="151"/>
      <c r="P64" s="151"/>
      <c r="Q64" s="152"/>
      <c r="R64" s="153"/>
    </row>
    <row r="65" spans="1:18" s="154" customFormat="1" ht="17.100000000000001" customHeight="1" x14ac:dyDescent="0.25">
      <c r="A65" s="117"/>
      <c r="B65" s="141"/>
      <c r="C65" s="141"/>
      <c r="D65" s="141"/>
      <c r="E65" s="146"/>
      <c r="F65" s="155"/>
      <c r="G65" s="156"/>
      <c r="H65" s="149"/>
      <c r="I65" s="148"/>
      <c r="J65" s="157"/>
      <c r="K65" s="151"/>
      <c r="L65" s="151"/>
      <c r="M65" s="151"/>
      <c r="N65" s="151"/>
      <c r="O65" s="151"/>
      <c r="P65" s="151"/>
      <c r="Q65" s="152"/>
      <c r="R65" s="153"/>
    </row>
    <row r="66" spans="1:18" s="154" customFormat="1" ht="17.100000000000001" customHeight="1" x14ac:dyDescent="0.25">
      <c r="A66" s="117"/>
      <c r="B66" s="141"/>
      <c r="C66" s="141"/>
      <c r="D66" s="141"/>
      <c r="E66" s="146"/>
      <c r="F66" s="147"/>
      <c r="G66" s="148"/>
      <c r="H66" s="149"/>
      <c r="I66" s="148"/>
      <c r="J66" s="150"/>
      <c r="K66" s="151"/>
      <c r="L66" s="151"/>
      <c r="M66" s="151"/>
      <c r="N66" s="151"/>
      <c r="O66" s="151"/>
      <c r="P66" s="151"/>
      <c r="Q66" s="152"/>
      <c r="R66" s="153"/>
    </row>
    <row r="67" spans="1:18" s="154" customFormat="1" ht="17.100000000000001" customHeight="1" x14ac:dyDescent="0.25">
      <c r="A67" s="117"/>
      <c r="B67" s="141"/>
      <c r="C67" s="141"/>
      <c r="D67" s="141"/>
      <c r="E67" s="146"/>
      <c r="F67" s="155"/>
      <c r="G67" s="156"/>
      <c r="H67" s="149"/>
      <c r="I67" s="148"/>
      <c r="J67" s="157"/>
      <c r="K67" s="151"/>
      <c r="L67" s="151"/>
      <c r="M67" s="151"/>
      <c r="N67" s="151"/>
      <c r="O67" s="151"/>
      <c r="P67" s="151"/>
      <c r="Q67" s="152"/>
      <c r="R67" s="153"/>
    </row>
    <row r="68" spans="1:18" s="154" customFormat="1" ht="17.100000000000001" customHeight="1" x14ac:dyDescent="0.25">
      <c r="A68" s="117"/>
      <c r="B68" s="141"/>
      <c r="C68" s="141"/>
      <c r="D68" s="141"/>
      <c r="E68" s="158"/>
      <c r="F68" s="155"/>
      <c r="G68" s="156"/>
      <c r="H68" s="149"/>
      <c r="I68" s="148"/>
      <c r="J68" s="157"/>
      <c r="K68" s="151"/>
      <c r="L68" s="151"/>
      <c r="M68" s="151"/>
      <c r="N68" s="151"/>
      <c r="O68" s="151"/>
      <c r="P68" s="151"/>
      <c r="Q68" s="152"/>
      <c r="R68" s="153"/>
    </row>
    <row r="69" spans="1:18" s="154" customFormat="1" ht="17.100000000000001" customHeight="1" x14ac:dyDescent="0.25">
      <c r="A69" s="117"/>
      <c r="B69" s="141"/>
      <c r="C69" s="141"/>
      <c r="D69" s="141"/>
      <c r="E69" s="160"/>
      <c r="F69" s="147"/>
      <c r="G69" s="148"/>
      <c r="H69" s="149"/>
      <c r="I69" s="148"/>
      <c r="J69" s="150"/>
      <c r="K69" s="151"/>
      <c r="L69" s="151"/>
      <c r="M69" s="151"/>
      <c r="N69" s="151"/>
      <c r="O69" s="151"/>
      <c r="P69" s="151"/>
      <c r="Q69" s="152"/>
      <c r="R69" s="153"/>
    </row>
    <row r="70" spans="1:18" s="154" customFormat="1" ht="17.100000000000001" customHeight="1" x14ac:dyDescent="0.25">
      <c r="A70" s="110"/>
      <c r="B70" s="141"/>
      <c r="C70" s="141"/>
      <c r="D70" s="141"/>
      <c r="E70" s="158"/>
      <c r="F70" s="155"/>
      <c r="G70" s="156"/>
      <c r="H70" s="149"/>
      <c r="I70" s="148"/>
      <c r="J70" s="157"/>
      <c r="K70" s="151"/>
      <c r="L70" s="151"/>
      <c r="M70" s="151"/>
      <c r="N70" s="151"/>
      <c r="O70" s="151"/>
      <c r="P70" s="151"/>
      <c r="Q70" s="152"/>
      <c r="R70" s="153"/>
    </row>
    <row r="71" spans="1:18" s="154" customFormat="1" ht="17.100000000000001" customHeight="1" x14ac:dyDescent="0.25">
      <c r="A71" s="117"/>
      <c r="B71" s="141"/>
      <c r="C71" s="141"/>
      <c r="D71" s="141"/>
      <c r="E71" s="146"/>
      <c r="F71" s="155"/>
      <c r="G71" s="156"/>
      <c r="H71" s="149"/>
      <c r="I71" s="148"/>
      <c r="J71" s="157"/>
      <c r="K71" s="151"/>
      <c r="L71" s="151"/>
      <c r="M71" s="151"/>
      <c r="N71" s="151"/>
      <c r="O71" s="151"/>
      <c r="P71" s="151"/>
      <c r="Q71" s="152"/>
      <c r="R71" s="153"/>
    </row>
    <row r="72" spans="1:18" s="154" customFormat="1" ht="17.100000000000001" customHeight="1" x14ac:dyDescent="0.25">
      <c r="A72" s="117"/>
      <c r="B72" s="141"/>
      <c r="C72" s="141"/>
      <c r="D72" s="141"/>
      <c r="E72" s="160"/>
      <c r="F72" s="147"/>
      <c r="G72" s="148"/>
      <c r="H72" s="149"/>
      <c r="I72" s="148"/>
      <c r="J72" s="150"/>
      <c r="K72" s="151"/>
      <c r="L72" s="151"/>
      <c r="M72" s="151"/>
      <c r="N72" s="151"/>
      <c r="O72" s="151"/>
      <c r="P72" s="151"/>
      <c r="Q72" s="152"/>
      <c r="R72" s="153"/>
    </row>
    <row r="73" spans="1:18" s="154" customFormat="1" ht="17.100000000000001" customHeight="1" x14ac:dyDescent="0.25">
      <c r="A73" s="117"/>
      <c r="B73" s="141"/>
      <c r="C73" s="141"/>
      <c r="D73" s="141"/>
      <c r="E73" s="146"/>
      <c r="F73" s="155"/>
      <c r="G73" s="156"/>
      <c r="H73" s="149"/>
      <c r="I73" s="148"/>
      <c r="J73" s="157"/>
      <c r="K73" s="151"/>
      <c r="L73" s="151"/>
      <c r="M73" s="151"/>
      <c r="N73" s="151"/>
      <c r="O73" s="151"/>
      <c r="P73" s="151"/>
      <c r="Q73" s="152"/>
      <c r="R73" s="153"/>
    </row>
    <row r="74" spans="1:18" s="154" customFormat="1" ht="17.100000000000001" customHeight="1" x14ac:dyDescent="0.25">
      <c r="A74" s="117"/>
      <c r="B74" s="141"/>
      <c r="C74" s="141"/>
      <c r="D74" s="141"/>
      <c r="E74" s="160"/>
      <c r="F74" s="147"/>
      <c r="G74" s="148"/>
      <c r="H74" s="149"/>
      <c r="I74" s="148"/>
      <c r="J74" s="150"/>
      <c r="K74" s="151"/>
      <c r="L74" s="151"/>
      <c r="M74" s="151"/>
      <c r="N74" s="151"/>
      <c r="O74" s="151"/>
      <c r="P74" s="151"/>
      <c r="Q74" s="152"/>
      <c r="R74" s="153"/>
    </row>
    <row r="75" spans="1:18" s="154" customFormat="1" ht="17.100000000000001" customHeight="1" x14ac:dyDescent="0.25">
      <c r="A75" s="117"/>
      <c r="B75" s="141"/>
      <c r="C75" s="141"/>
      <c r="D75" s="141"/>
      <c r="E75" s="146"/>
      <c r="F75" s="147"/>
      <c r="G75" s="148"/>
      <c r="H75" s="149"/>
      <c r="I75" s="148"/>
      <c r="J75" s="150"/>
      <c r="K75" s="151"/>
      <c r="L75" s="151"/>
      <c r="M75" s="151"/>
      <c r="N75" s="151"/>
      <c r="O75" s="151"/>
      <c r="P75" s="151"/>
      <c r="Q75" s="152"/>
      <c r="R75" s="153"/>
    </row>
    <row r="76" spans="1:18" s="154" customFormat="1" ht="17.100000000000001" customHeight="1" x14ac:dyDescent="0.25">
      <c r="A76" s="117"/>
      <c r="B76" s="141"/>
      <c r="C76" s="141"/>
      <c r="D76" s="141"/>
      <c r="E76" s="158"/>
      <c r="F76" s="155"/>
      <c r="G76" s="156"/>
      <c r="H76" s="149"/>
      <c r="I76" s="148"/>
      <c r="J76" s="157"/>
      <c r="K76" s="151"/>
      <c r="L76" s="151"/>
      <c r="M76" s="151"/>
      <c r="N76" s="151"/>
      <c r="O76" s="151"/>
      <c r="P76" s="151"/>
      <c r="Q76" s="152"/>
      <c r="R76" s="153"/>
    </row>
    <row r="77" spans="1:18" s="154" customFormat="1" ht="17.100000000000001" customHeight="1" x14ac:dyDescent="0.25">
      <c r="A77" s="117"/>
      <c r="B77" s="141"/>
      <c r="C77" s="141"/>
      <c r="D77" s="141"/>
      <c r="E77" s="146"/>
      <c r="F77" s="155"/>
      <c r="G77" s="156"/>
      <c r="H77" s="149"/>
      <c r="I77" s="148"/>
      <c r="J77" s="157"/>
      <c r="K77" s="151"/>
      <c r="L77" s="151"/>
      <c r="M77" s="151"/>
      <c r="N77" s="151"/>
      <c r="O77" s="151"/>
      <c r="P77" s="151"/>
      <c r="Q77" s="152"/>
      <c r="R77" s="153"/>
    </row>
    <row r="78" spans="1:18" s="154" customFormat="1" ht="17.100000000000001" customHeight="1" x14ac:dyDescent="0.25">
      <c r="A78" s="117"/>
      <c r="B78" s="141"/>
      <c r="C78" s="141"/>
      <c r="D78" s="141"/>
      <c r="E78" s="146"/>
      <c r="F78" s="147"/>
      <c r="G78" s="148"/>
      <c r="H78" s="149"/>
      <c r="I78" s="148"/>
      <c r="J78" s="150"/>
      <c r="K78" s="151"/>
      <c r="L78" s="151"/>
      <c r="M78" s="151"/>
      <c r="N78" s="151"/>
      <c r="O78" s="151"/>
      <c r="P78" s="151"/>
      <c r="Q78" s="152"/>
      <c r="R78" s="153"/>
    </row>
    <row r="79" spans="1:18" s="154" customFormat="1" ht="17.100000000000001" customHeight="1" x14ac:dyDescent="0.25">
      <c r="A79" s="117"/>
      <c r="B79" s="141"/>
      <c r="C79" s="141"/>
      <c r="D79" s="141"/>
      <c r="E79" s="146"/>
      <c r="F79" s="147"/>
      <c r="G79" s="148"/>
      <c r="H79" s="149"/>
      <c r="I79" s="148"/>
      <c r="J79" s="150"/>
      <c r="K79" s="151"/>
      <c r="L79" s="151"/>
      <c r="M79" s="151"/>
      <c r="N79" s="151"/>
      <c r="O79" s="151"/>
      <c r="P79" s="151"/>
      <c r="Q79" s="152"/>
      <c r="R79" s="153"/>
    </row>
    <row r="80" spans="1:18" s="154" customFormat="1" ht="17.100000000000001" customHeight="1" x14ac:dyDescent="0.25">
      <c r="A80" s="117"/>
      <c r="B80" s="141"/>
      <c r="C80" s="141"/>
      <c r="D80" s="141"/>
      <c r="E80" s="146"/>
      <c r="F80" s="147"/>
      <c r="G80" s="148"/>
      <c r="H80" s="149"/>
      <c r="I80" s="148"/>
      <c r="J80" s="150"/>
      <c r="K80" s="151"/>
      <c r="L80" s="151"/>
      <c r="M80" s="151"/>
      <c r="N80" s="151"/>
      <c r="O80" s="151"/>
      <c r="P80" s="151"/>
      <c r="Q80" s="152"/>
      <c r="R80" s="153"/>
    </row>
    <row r="81" spans="1:18" s="154" customFormat="1" ht="17.100000000000001" customHeight="1" x14ac:dyDescent="0.25">
      <c r="A81" s="117"/>
      <c r="B81" s="141"/>
      <c r="C81" s="141"/>
      <c r="D81" s="141"/>
      <c r="E81" s="146"/>
      <c r="F81" s="147"/>
      <c r="G81" s="148"/>
      <c r="H81" s="149"/>
      <c r="I81" s="148"/>
      <c r="J81" s="150"/>
      <c r="K81" s="148"/>
      <c r="L81" s="151"/>
      <c r="M81" s="151"/>
      <c r="N81" s="151"/>
      <c r="O81" s="151"/>
      <c r="P81" s="151"/>
      <c r="Q81" s="152"/>
      <c r="R81" s="153"/>
    </row>
    <row r="82" spans="1:18" s="154" customFormat="1" ht="17.100000000000001" customHeight="1" x14ac:dyDescent="0.25">
      <c r="A82" s="117"/>
      <c r="B82" s="141"/>
      <c r="C82" s="141"/>
      <c r="D82" s="141"/>
      <c r="E82" s="146"/>
      <c r="F82" s="147"/>
      <c r="G82" s="148"/>
      <c r="H82" s="149"/>
      <c r="I82" s="148"/>
      <c r="J82" s="150"/>
      <c r="K82" s="151"/>
      <c r="L82" s="151"/>
      <c r="M82" s="151"/>
      <c r="N82" s="151"/>
      <c r="O82" s="151"/>
      <c r="P82" s="151"/>
      <c r="Q82" s="152"/>
      <c r="R82" s="153"/>
    </row>
    <row r="83" spans="1:18" s="154" customFormat="1" ht="17.100000000000001" customHeight="1" x14ac:dyDescent="0.25">
      <c r="A83" s="117"/>
      <c r="B83" s="141"/>
      <c r="C83" s="141"/>
      <c r="D83" s="141"/>
      <c r="E83" s="160"/>
      <c r="F83" s="147"/>
      <c r="G83" s="148"/>
      <c r="H83" s="149"/>
      <c r="I83" s="148"/>
      <c r="J83" s="150"/>
      <c r="K83" s="151"/>
      <c r="L83" s="151"/>
      <c r="M83" s="151"/>
      <c r="N83" s="151"/>
      <c r="O83" s="151"/>
      <c r="P83" s="151"/>
      <c r="Q83" s="152"/>
      <c r="R83" s="153"/>
    </row>
    <row r="84" spans="1:18" s="154" customFormat="1" ht="17.100000000000001" customHeight="1" x14ac:dyDescent="0.25">
      <c r="A84" s="142"/>
      <c r="B84" s="141"/>
      <c r="C84" s="141"/>
      <c r="D84" s="141"/>
      <c r="E84" s="158"/>
      <c r="F84" s="155"/>
      <c r="G84" s="156"/>
      <c r="H84" s="149"/>
      <c r="I84" s="148"/>
      <c r="J84" s="157"/>
      <c r="K84" s="151"/>
      <c r="L84" s="151"/>
      <c r="M84" s="151"/>
      <c r="N84" s="151"/>
      <c r="O84" s="151"/>
      <c r="P84" s="151"/>
      <c r="Q84" s="152"/>
      <c r="R84" s="153"/>
    </row>
    <row r="85" spans="1:18" s="154" customFormat="1" ht="17.100000000000001" customHeight="1" x14ac:dyDescent="0.25">
      <c r="A85" s="117"/>
      <c r="B85" s="141"/>
      <c r="C85" s="141"/>
      <c r="D85" s="141"/>
      <c r="E85" s="160"/>
      <c r="F85" s="147"/>
      <c r="G85" s="148"/>
      <c r="H85" s="149"/>
      <c r="I85" s="148"/>
      <c r="J85" s="150"/>
      <c r="K85" s="151"/>
      <c r="L85" s="151"/>
      <c r="M85" s="151"/>
      <c r="N85" s="151"/>
      <c r="O85" s="151"/>
      <c r="P85" s="151"/>
      <c r="Q85" s="152"/>
      <c r="R85" s="153"/>
    </row>
    <row r="86" spans="1:18" s="154" customFormat="1" ht="17.100000000000001" customHeight="1" x14ac:dyDescent="0.25">
      <c r="A86" s="117"/>
      <c r="B86" s="141"/>
      <c r="C86" s="141"/>
      <c r="D86" s="141"/>
      <c r="E86" s="146"/>
      <c r="F86" s="147"/>
      <c r="G86" s="148"/>
      <c r="H86" s="149"/>
      <c r="I86" s="148"/>
      <c r="J86" s="150"/>
      <c r="K86" s="151"/>
      <c r="L86" s="151"/>
      <c r="M86" s="151"/>
      <c r="N86" s="151"/>
      <c r="O86" s="151"/>
      <c r="P86" s="151"/>
      <c r="Q86" s="152"/>
      <c r="R86" s="153"/>
    </row>
    <row r="87" spans="1:18" s="154" customFormat="1" ht="17.100000000000001" customHeight="1" x14ac:dyDescent="0.25">
      <c r="A87" s="117"/>
      <c r="B87" s="141"/>
      <c r="C87" s="141"/>
      <c r="D87" s="141"/>
      <c r="E87" s="146"/>
      <c r="F87" s="147"/>
      <c r="G87" s="148"/>
      <c r="H87" s="149"/>
      <c r="I87" s="148"/>
      <c r="J87" s="150"/>
      <c r="K87" s="151"/>
      <c r="L87" s="151"/>
      <c r="M87" s="151"/>
      <c r="N87" s="151"/>
      <c r="O87" s="151"/>
      <c r="P87" s="151"/>
      <c r="Q87" s="152"/>
      <c r="R87" s="153"/>
    </row>
    <row r="88" spans="1:18" s="154" customFormat="1" ht="17.100000000000001" customHeight="1" x14ac:dyDescent="0.25">
      <c r="A88" s="117"/>
      <c r="B88" s="141"/>
      <c r="C88" s="141"/>
      <c r="D88" s="141"/>
      <c r="E88" s="146"/>
      <c r="F88" s="155"/>
      <c r="G88" s="156"/>
      <c r="H88" s="149"/>
      <c r="I88" s="148"/>
      <c r="J88" s="157"/>
      <c r="K88" s="151"/>
      <c r="L88" s="151"/>
      <c r="M88" s="151"/>
      <c r="N88" s="151"/>
      <c r="O88" s="151"/>
      <c r="P88" s="151"/>
      <c r="Q88" s="152"/>
      <c r="R88" s="153"/>
    </row>
    <row r="89" spans="1:18" s="154" customFormat="1" ht="17.100000000000001" customHeight="1" x14ac:dyDescent="0.25">
      <c r="A89" s="117"/>
      <c r="B89" s="141"/>
      <c r="C89" s="141"/>
      <c r="D89" s="141"/>
      <c r="E89" s="160"/>
      <c r="F89" s="147"/>
      <c r="G89" s="148"/>
      <c r="H89" s="149"/>
      <c r="I89" s="148"/>
      <c r="J89" s="150"/>
      <c r="K89" s="151"/>
      <c r="L89" s="151"/>
      <c r="M89" s="151"/>
      <c r="N89" s="151"/>
      <c r="O89" s="151"/>
      <c r="P89" s="151"/>
      <c r="Q89" s="152"/>
      <c r="R89" s="153"/>
    </row>
    <row r="90" spans="1:18" s="154" customFormat="1" ht="17.100000000000001" customHeight="1" x14ac:dyDescent="0.25">
      <c r="A90" s="117"/>
      <c r="B90" s="141"/>
      <c r="C90" s="141"/>
      <c r="D90" s="141"/>
      <c r="E90" s="146"/>
      <c r="F90" s="155"/>
      <c r="G90" s="156"/>
      <c r="H90" s="149"/>
      <c r="I90" s="148"/>
      <c r="J90" s="157"/>
      <c r="K90" s="151"/>
      <c r="L90" s="151"/>
      <c r="M90" s="151"/>
      <c r="N90" s="151"/>
      <c r="O90" s="151"/>
      <c r="P90" s="151"/>
      <c r="Q90" s="152"/>
      <c r="R90" s="153"/>
    </row>
    <row r="91" spans="1:18" s="154" customFormat="1" ht="17.100000000000001" customHeight="1" x14ac:dyDescent="0.25">
      <c r="A91" s="142"/>
      <c r="B91" s="141"/>
      <c r="C91" s="141"/>
      <c r="D91" s="141"/>
      <c r="E91" s="160"/>
      <c r="F91" s="147"/>
      <c r="G91" s="148"/>
      <c r="H91" s="149"/>
      <c r="I91" s="148"/>
      <c r="J91" s="150"/>
      <c r="K91" s="151"/>
      <c r="L91" s="151"/>
      <c r="M91" s="151"/>
      <c r="N91" s="151"/>
      <c r="O91" s="151"/>
      <c r="P91" s="151"/>
      <c r="Q91" s="152"/>
      <c r="R91" s="153"/>
    </row>
    <row r="92" spans="1:18" s="154" customFormat="1" ht="17.100000000000001" customHeight="1" x14ac:dyDescent="0.25">
      <c r="A92" s="117"/>
      <c r="B92" s="141"/>
      <c r="C92" s="141"/>
      <c r="D92" s="141"/>
      <c r="E92" s="146"/>
      <c r="F92" s="147"/>
      <c r="G92" s="148"/>
      <c r="H92" s="149"/>
      <c r="I92" s="148"/>
      <c r="J92" s="150"/>
      <c r="K92" s="151"/>
      <c r="L92" s="151"/>
      <c r="M92" s="151"/>
      <c r="N92" s="151"/>
      <c r="O92" s="151"/>
      <c r="P92" s="151"/>
      <c r="Q92" s="152"/>
      <c r="R92" s="153"/>
    </row>
    <row r="93" spans="1:18" s="154" customFormat="1" ht="17.100000000000001" customHeight="1" x14ac:dyDescent="0.25">
      <c r="A93" s="117"/>
      <c r="B93" s="141"/>
      <c r="C93" s="141"/>
      <c r="D93" s="141"/>
      <c r="E93" s="146"/>
      <c r="F93" s="147"/>
      <c r="G93" s="148"/>
      <c r="H93" s="149"/>
      <c r="I93" s="148"/>
      <c r="J93" s="150"/>
      <c r="K93" s="151"/>
      <c r="L93" s="151"/>
      <c r="M93" s="151"/>
      <c r="N93" s="151"/>
      <c r="O93" s="151"/>
      <c r="P93" s="151"/>
      <c r="Q93" s="152"/>
      <c r="R93" s="153"/>
    </row>
    <row r="94" spans="1:18" s="154" customFormat="1" ht="17.100000000000001" customHeight="1" x14ac:dyDescent="0.25">
      <c r="A94" s="117"/>
      <c r="B94" s="141"/>
      <c r="C94" s="141"/>
      <c r="D94" s="141"/>
      <c r="E94" s="146"/>
      <c r="F94" s="147"/>
      <c r="G94" s="148"/>
      <c r="H94" s="149"/>
      <c r="I94" s="148"/>
      <c r="J94" s="150"/>
      <c r="K94" s="151"/>
      <c r="L94" s="151"/>
      <c r="M94" s="151"/>
      <c r="N94" s="151"/>
      <c r="O94" s="151"/>
      <c r="P94" s="151"/>
      <c r="Q94" s="152"/>
      <c r="R94" s="153"/>
    </row>
    <row r="95" spans="1:18" s="154" customFormat="1" ht="17.100000000000001" customHeight="1" x14ac:dyDescent="0.25">
      <c r="A95" s="117"/>
      <c r="B95" s="141"/>
      <c r="C95" s="141"/>
      <c r="D95" s="141"/>
      <c r="E95" s="146"/>
      <c r="F95" s="155"/>
      <c r="G95" s="156"/>
      <c r="H95" s="149"/>
      <c r="I95" s="148"/>
      <c r="J95" s="157"/>
      <c r="K95" s="151"/>
      <c r="L95" s="151"/>
      <c r="M95" s="151"/>
      <c r="N95" s="151"/>
      <c r="O95" s="151"/>
      <c r="P95" s="151"/>
      <c r="Q95" s="152"/>
      <c r="R95" s="153"/>
    </row>
    <row r="96" spans="1:18" s="154" customFormat="1" ht="17.100000000000001" customHeight="1" x14ac:dyDescent="0.25">
      <c r="A96" s="117"/>
      <c r="B96" s="141"/>
      <c r="C96" s="141"/>
      <c r="D96" s="141"/>
      <c r="E96" s="146"/>
      <c r="F96" s="150"/>
      <c r="G96" s="148"/>
      <c r="H96" s="149"/>
      <c r="I96" s="148"/>
      <c r="J96" s="150"/>
      <c r="K96" s="151"/>
      <c r="L96" s="151"/>
      <c r="M96" s="151"/>
      <c r="N96" s="151"/>
      <c r="O96" s="151"/>
      <c r="P96" s="151"/>
      <c r="Q96" s="152"/>
      <c r="R96" s="153"/>
    </row>
    <row r="97" spans="1:18" s="154" customFormat="1" ht="17.100000000000001" customHeight="1" x14ac:dyDescent="0.25">
      <c r="A97" s="117"/>
      <c r="B97" s="141"/>
      <c r="C97" s="141"/>
      <c r="D97" s="141"/>
      <c r="E97" s="146"/>
      <c r="F97" s="147"/>
      <c r="G97" s="148"/>
      <c r="H97" s="149"/>
      <c r="I97" s="148"/>
      <c r="J97" s="150"/>
      <c r="K97" s="151"/>
      <c r="L97" s="151"/>
      <c r="M97" s="151"/>
      <c r="N97" s="151"/>
      <c r="O97" s="151"/>
      <c r="P97" s="151"/>
      <c r="Q97" s="152"/>
      <c r="R97" s="153"/>
    </row>
    <row r="98" spans="1:18" s="154" customFormat="1" ht="17.100000000000001" customHeight="1" x14ac:dyDescent="0.25">
      <c r="A98" s="117"/>
      <c r="B98" s="141"/>
      <c r="C98" s="141"/>
      <c r="D98" s="141"/>
      <c r="E98" s="146"/>
      <c r="F98" s="147"/>
      <c r="G98" s="148"/>
      <c r="H98" s="149"/>
      <c r="I98" s="148"/>
      <c r="J98" s="150"/>
      <c r="K98" s="151"/>
      <c r="L98" s="151"/>
      <c r="M98" s="151"/>
      <c r="N98" s="151"/>
      <c r="O98" s="151"/>
      <c r="P98" s="151"/>
      <c r="Q98" s="152"/>
      <c r="R98" s="153"/>
    </row>
    <row r="99" spans="1:18" s="154" customFormat="1" ht="17.100000000000001" customHeight="1" x14ac:dyDescent="0.25">
      <c r="A99" s="117"/>
      <c r="B99" s="141"/>
      <c r="C99" s="141"/>
      <c r="D99" s="141"/>
      <c r="E99" s="146"/>
      <c r="F99" s="147"/>
      <c r="G99" s="148"/>
      <c r="H99" s="149"/>
      <c r="I99" s="148"/>
      <c r="J99" s="150"/>
      <c r="K99" s="151"/>
      <c r="L99" s="151"/>
      <c r="M99" s="151"/>
      <c r="N99" s="151"/>
      <c r="O99" s="151"/>
      <c r="P99" s="151"/>
      <c r="Q99" s="152"/>
      <c r="R99" s="153"/>
    </row>
    <row r="100" spans="1:18" s="154" customFormat="1" ht="17.100000000000001" customHeight="1" x14ac:dyDescent="0.25">
      <c r="A100" s="117"/>
      <c r="B100" s="141"/>
      <c r="C100" s="141"/>
      <c r="D100" s="141"/>
      <c r="E100" s="146"/>
      <c r="F100" s="147"/>
      <c r="G100" s="148"/>
      <c r="H100" s="149"/>
      <c r="I100" s="148"/>
      <c r="J100" s="150"/>
      <c r="K100" s="151"/>
      <c r="L100" s="151"/>
      <c r="M100" s="151"/>
      <c r="N100" s="151"/>
      <c r="O100" s="151"/>
      <c r="P100" s="151"/>
      <c r="Q100" s="152"/>
      <c r="R100" s="153"/>
    </row>
    <row r="101" spans="1:18" s="154" customFormat="1" ht="17.100000000000001" customHeight="1" x14ac:dyDescent="0.25">
      <c r="A101" s="117"/>
      <c r="B101" s="141"/>
      <c r="C101" s="141"/>
      <c r="D101" s="141"/>
      <c r="E101" s="160"/>
      <c r="F101" s="147"/>
      <c r="G101" s="148"/>
      <c r="H101" s="149"/>
      <c r="I101" s="148"/>
      <c r="J101" s="150"/>
      <c r="K101" s="151"/>
      <c r="L101" s="151"/>
      <c r="M101" s="151"/>
      <c r="N101" s="151"/>
      <c r="O101" s="151"/>
      <c r="P101" s="151"/>
      <c r="Q101" s="152"/>
      <c r="R101" s="153"/>
    </row>
    <row r="102" spans="1:18" s="154" customFormat="1" ht="17.100000000000001" customHeight="1" x14ac:dyDescent="0.25">
      <c r="A102" s="117"/>
      <c r="B102" s="141"/>
      <c r="C102" s="141"/>
      <c r="D102" s="141"/>
      <c r="E102" s="146"/>
      <c r="F102" s="155"/>
      <c r="G102" s="156"/>
      <c r="H102" s="149"/>
      <c r="I102" s="148"/>
      <c r="J102" s="157"/>
      <c r="K102" s="151"/>
      <c r="L102" s="151"/>
      <c r="M102" s="151"/>
      <c r="N102" s="151"/>
      <c r="O102" s="151"/>
      <c r="P102" s="151"/>
      <c r="Q102" s="152"/>
      <c r="R102" s="153"/>
    </row>
    <row r="103" spans="1:18" s="154" customFormat="1" ht="17.100000000000001" customHeight="1" x14ac:dyDescent="0.25">
      <c r="A103" s="117"/>
      <c r="B103" s="141"/>
      <c r="C103" s="141"/>
      <c r="D103" s="141"/>
      <c r="E103" s="146"/>
      <c r="F103" s="155"/>
      <c r="G103" s="156"/>
      <c r="H103" s="149"/>
      <c r="I103" s="148"/>
      <c r="J103" s="157"/>
      <c r="K103" s="151"/>
      <c r="L103" s="151"/>
      <c r="M103" s="151"/>
      <c r="N103" s="151"/>
      <c r="O103" s="151"/>
      <c r="P103" s="151"/>
      <c r="Q103" s="152"/>
      <c r="R103" s="153"/>
    </row>
    <row r="104" spans="1:18" s="154" customFormat="1" ht="17.100000000000001" customHeight="1" x14ac:dyDescent="0.25">
      <c r="A104" s="117"/>
      <c r="B104" s="141"/>
      <c r="C104" s="141"/>
      <c r="D104" s="141"/>
      <c r="E104" s="146"/>
      <c r="F104" s="147"/>
      <c r="G104" s="148"/>
      <c r="H104" s="149"/>
      <c r="I104" s="148"/>
      <c r="J104" s="150"/>
      <c r="K104" s="151"/>
      <c r="L104" s="151"/>
      <c r="M104" s="151"/>
      <c r="N104" s="151"/>
      <c r="O104" s="151"/>
      <c r="P104" s="151"/>
      <c r="Q104" s="152"/>
      <c r="R104" s="153"/>
    </row>
    <row r="105" spans="1:18" s="154" customFormat="1" ht="17.100000000000001" customHeight="1" x14ac:dyDescent="0.25">
      <c r="A105" s="117"/>
      <c r="B105" s="141"/>
      <c r="C105" s="141"/>
      <c r="D105" s="141"/>
      <c r="E105" s="146"/>
      <c r="F105" s="155"/>
      <c r="G105" s="156"/>
      <c r="H105" s="149"/>
      <c r="I105" s="148"/>
      <c r="J105" s="157"/>
      <c r="K105" s="151"/>
      <c r="L105" s="151"/>
      <c r="M105" s="151"/>
      <c r="N105" s="151"/>
      <c r="O105" s="151"/>
      <c r="P105" s="151"/>
      <c r="Q105" s="152"/>
      <c r="R105" s="153"/>
    </row>
    <row r="106" spans="1:18" s="154" customFormat="1" ht="17.100000000000001" customHeight="1" x14ac:dyDescent="0.25">
      <c r="A106" s="117"/>
      <c r="B106" s="141"/>
      <c r="C106" s="141"/>
      <c r="D106" s="141"/>
      <c r="E106" s="146"/>
      <c r="F106" s="147"/>
      <c r="G106" s="148"/>
      <c r="H106" s="149"/>
      <c r="I106" s="148"/>
      <c r="J106" s="150"/>
      <c r="K106" s="151"/>
      <c r="L106" s="151"/>
      <c r="M106" s="151"/>
      <c r="N106" s="151"/>
      <c r="O106" s="151"/>
      <c r="P106" s="151"/>
      <c r="Q106" s="152"/>
      <c r="R106" s="153"/>
    </row>
    <row r="107" spans="1:18" s="154" customFormat="1" ht="17.100000000000001" customHeight="1" x14ac:dyDescent="0.25">
      <c r="A107" s="117"/>
      <c r="B107" s="141"/>
      <c r="C107" s="141"/>
      <c r="D107" s="141"/>
      <c r="E107" s="146"/>
      <c r="F107" s="155"/>
      <c r="G107" s="156"/>
      <c r="H107" s="149"/>
      <c r="I107" s="148"/>
      <c r="J107" s="157"/>
      <c r="K107" s="151"/>
      <c r="L107" s="151"/>
      <c r="M107" s="151"/>
      <c r="N107" s="151"/>
      <c r="O107" s="151"/>
      <c r="P107" s="151"/>
      <c r="Q107" s="152"/>
      <c r="R107" s="153"/>
    </row>
    <row r="108" spans="1:18" s="154" customFormat="1" ht="17.100000000000001" customHeight="1" x14ac:dyDescent="0.25">
      <c r="A108" s="117"/>
      <c r="B108" s="141"/>
      <c r="C108" s="141"/>
      <c r="D108" s="141"/>
      <c r="E108" s="158"/>
      <c r="F108" s="155"/>
      <c r="G108" s="156"/>
      <c r="H108" s="149"/>
      <c r="I108" s="148"/>
      <c r="J108" s="157"/>
      <c r="K108" s="151"/>
      <c r="L108" s="151"/>
      <c r="M108" s="151"/>
      <c r="N108" s="151"/>
      <c r="O108" s="151"/>
      <c r="P108" s="151"/>
      <c r="Q108" s="152"/>
      <c r="R108" s="153"/>
    </row>
    <row r="109" spans="1:18" s="154" customFormat="1" ht="17.100000000000001" customHeight="1" x14ac:dyDescent="0.25">
      <c r="A109" s="143"/>
      <c r="B109" s="141"/>
      <c r="C109" s="141"/>
      <c r="D109" s="141"/>
      <c r="E109" s="146"/>
      <c r="F109" s="147"/>
      <c r="G109" s="148"/>
      <c r="H109" s="149"/>
      <c r="I109" s="148"/>
      <c r="J109" s="150"/>
      <c r="K109" s="151"/>
      <c r="L109" s="151"/>
      <c r="M109" s="151"/>
      <c r="N109" s="151"/>
      <c r="O109" s="151"/>
      <c r="P109" s="151"/>
      <c r="Q109" s="152"/>
      <c r="R109" s="153"/>
    </row>
    <row r="110" spans="1:18" s="154" customFormat="1" ht="17.100000000000001" customHeight="1" x14ac:dyDescent="0.25">
      <c r="A110" s="117"/>
      <c r="B110" s="141"/>
      <c r="C110" s="141"/>
      <c r="D110" s="141"/>
      <c r="E110" s="158"/>
      <c r="F110" s="155"/>
      <c r="G110" s="156"/>
      <c r="H110" s="149"/>
      <c r="I110" s="148"/>
      <c r="J110" s="157"/>
      <c r="K110" s="151"/>
      <c r="L110" s="151"/>
      <c r="M110" s="151"/>
      <c r="N110" s="151"/>
      <c r="O110" s="151"/>
      <c r="P110" s="151"/>
      <c r="Q110" s="152"/>
      <c r="R110" s="153"/>
    </row>
    <row r="111" spans="1:18" s="154" customFormat="1" ht="17.100000000000001" customHeight="1" x14ac:dyDescent="0.25">
      <c r="A111" s="117"/>
      <c r="B111" s="141"/>
      <c r="C111" s="141"/>
      <c r="D111" s="141"/>
      <c r="E111" s="146"/>
      <c r="F111" s="155"/>
      <c r="G111" s="156"/>
      <c r="H111" s="149"/>
      <c r="I111" s="148"/>
      <c r="J111" s="157"/>
      <c r="K111" s="151"/>
      <c r="L111" s="151"/>
      <c r="M111" s="151"/>
      <c r="N111" s="151"/>
      <c r="O111" s="151"/>
      <c r="P111" s="151"/>
      <c r="Q111" s="152"/>
      <c r="R111" s="153"/>
    </row>
    <row r="112" spans="1:18" s="154" customFormat="1" ht="17.100000000000001" customHeight="1" x14ac:dyDescent="0.25">
      <c r="A112" s="142"/>
      <c r="B112" s="141"/>
      <c r="C112" s="141"/>
      <c r="D112" s="141"/>
      <c r="E112" s="146"/>
      <c r="F112" s="155"/>
      <c r="G112" s="156"/>
      <c r="H112" s="149"/>
      <c r="I112" s="148"/>
      <c r="J112" s="157"/>
      <c r="K112" s="151"/>
      <c r="L112" s="151"/>
      <c r="M112" s="151"/>
      <c r="N112" s="151"/>
      <c r="O112" s="151"/>
      <c r="P112" s="151"/>
      <c r="Q112" s="152"/>
      <c r="R112" s="153"/>
    </row>
    <row r="113" spans="1:18" s="154" customFormat="1" ht="17.100000000000001" customHeight="1" x14ac:dyDescent="0.25">
      <c r="A113" s="117"/>
      <c r="B113" s="141"/>
      <c r="C113" s="141"/>
      <c r="D113" s="141"/>
      <c r="E113" s="146"/>
      <c r="F113" s="147"/>
      <c r="G113" s="148"/>
      <c r="H113" s="149"/>
      <c r="I113" s="148"/>
      <c r="J113" s="150"/>
      <c r="K113" s="151"/>
      <c r="L113" s="151"/>
      <c r="M113" s="151"/>
      <c r="N113" s="151"/>
      <c r="O113" s="151"/>
      <c r="P113" s="151"/>
      <c r="Q113" s="152"/>
      <c r="R113" s="153"/>
    </row>
    <row r="114" spans="1:18" s="154" customFormat="1" ht="17.100000000000001" customHeight="1" x14ac:dyDescent="0.25">
      <c r="A114" s="117"/>
      <c r="B114" s="141"/>
      <c r="C114" s="141"/>
      <c r="D114" s="141"/>
      <c r="E114" s="146"/>
      <c r="F114" s="155"/>
      <c r="G114" s="156"/>
      <c r="H114" s="149"/>
      <c r="I114" s="148"/>
      <c r="J114" s="157"/>
      <c r="K114" s="151"/>
      <c r="L114" s="151"/>
      <c r="M114" s="151"/>
      <c r="N114" s="151"/>
      <c r="O114" s="151"/>
      <c r="P114" s="151"/>
      <c r="Q114" s="152"/>
      <c r="R114" s="153"/>
    </row>
    <row r="115" spans="1:18" s="154" customFormat="1" ht="17.100000000000001" customHeight="1" x14ac:dyDescent="0.25">
      <c r="A115" s="117"/>
      <c r="B115" s="141"/>
      <c r="C115" s="141"/>
      <c r="D115" s="141"/>
      <c r="E115" s="158"/>
      <c r="F115" s="155"/>
      <c r="G115" s="156"/>
      <c r="H115" s="149"/>
      <c r="I115" s="148"/>
      <c r="J115" s="157"/>
      <c r="K115" s="151"/>
      <c r="L115" s="151"/>
      <c r="M115" s="151"/>
      <c r="N115" s="151"/>
      <c r="O115" s="151"/>
      <c r="P115" s="151"/>
      <c r="Q115" s="152"/>
      <c r="R115" s="153"/>
    </row>
    <row r="116" spans="1:18" s="154" customFormat="1" ht="17.100000000000001" customHeight="1" x14ac:dyDescent="0.25">
      <c r="A116" s="117"/>
      <c r="B116" s="141"/>
      <c r="C116" s="141"/>
      <c r="D116" s="141"/>
      <c r="E116" s="146"/>
      <c r="F116" s="155"/>
      <c r="G116" s="156"/>
      <c r="H116" s="149"/>
      <c r="I116" s="148"/>
      <c r="J116" s="157"/>
      <c r="K116" s="151"/>
      <c r="L116" s="151"/>
      <c r="M116" s="151"/>
      <c r="N116" s="151"/>
      <c r="O116" s="151"/>
      <c r="P116" s="151"/>
      <c r="Q116" s="152"/>
      <c r="R116" s="153"/>
    </row>
    <row r="117" spans="1:18" s="154" customFormat="1" ht="17.100000000000001" customHeight="1" x14ac:dyDescent="0.25">
      <c r="A117" s="117"/>
      <c r="B117" s="141"/>
      <c r="C117" s="141"/>
      <c r="D117" s="141"/>
      <c r="E117" s="158"/>
      <c r="F117" s="155"/>
      <c r="G117" s="156"/>
      <c r="H117" s="149"/>
      <c r="I117" s="148"/>
      <c r="J117" s="157"/>
      <c r="K117" s="151"/>
      <c r="L117" s="151"/>
      <c r="M117" s="151"/>
      <c r="N117" s="151"/>
      <c r="O117" s="151"/>
      <c r="P117" s="151"/>
      <c r="Q117" s="152"/>
      <c r="R117" s="153"/>
    </row>
    <row r="118" spans="1:18" s="154" customFormat="1" ht="17.100000000000001" customHeight="1" x14ac:dyDescent="0.25">
      <c r="A118" s="117"/>
      <c r="B118" s="141"/>
      <c r="C118" s="141"/>
      <c r="D118" s="141"/>
      <c r="E118" s="146"/>
      <c r="F118" s="155"/>
      <c r="G118" s="156"/>
      <c r="H118" s="149"/>
      <c r="I118" s="148"/>
      <c r="J118" s="157"/>
      <c r="K118" s="151"/>
      <c r="L118" s="151"/>
      <c r="M118" s="151"/>
      <c r="N118" s="151"/>
      <c r="O118" s="151"/>
      <c r="P118" s="151"/>
      <c r="Q118" s="152"/>
      <c r="R118" s="153"/>
    </row>
    <row r="119" spans="1:18" s="154" customFormat="1" ht="17.100000000000001" customHeight="1" x14ac:dyDescent="0.25">
      <c r="A119" s="117"/>
      <c r="B119" s="141"/>
      <c r="C119" s="141"/>
      <c r="D119" s="141"/>
      <c r="E119" s="146"/>
      <c r="F119" s="155"/>
      <c r="G119" s="156"/>
      <c r="H119" s="149"/>
      <c r="I119" s="148"/>
      <c r="J119" s="157"/>
      <c r="K119" s="151"/>
      <c r="L119" s="151"/>
      <c r="M119" s="151"/>
      <c r="N119" s="151"/>
      <c r="O119" s="151"/>
      <c r="P119" s="151"/>
      <c r="Q119" s="152"/>
      <c r="R119" s="153"/>
    </row>
    <row r="120" spans="1:18" s="154" customFormat="1" ht="17.100000000000001" customHeight="1" x14ac:dyDescent="0.25">
      <c r="A120" s="117"/>
      <c r="B120" s="141"/>
      <c r="C120" s="141"/>
      <c r="D120" s="141"/>
      <c r="E120" s="146"/>
      <c r="F120" s="155"/>
      <c r="G120" s="156"/>
      <c r="H120" s="149"/>
      <c r="I120" s="148"/>
      <c r="J120" s="157"/>
      <c r="K120" s="151"/>
      <c r="L120" s="151"/>
      <c r="M120" s="151"/>
      <c r="N120" s="151"/>
      <c r="O120" s="151"/>
      <c r="P120" s="151"/>
      <c r="Q120" s="152"/>
      <c r="R120" s="153"/>
    </row>
    <row r="121" spans="1:18" s="154" customFormat="1" ht="17.100000000000001" customHeight="1" x14ac:dyDescent="0.25">
      <c r="A121" s="117"/>
      <c r="B121" s="141"/>
      <c r="C121" s="141"/>
      <c r="D121" s="141"/>
      <c r="E121" s="146"/>
      <c r="F121" s="155"/>
      <c r="G121" s="156"/>
      <c r="H121" s="149"/>
      <c r="I121" s="148"/>
      <c r="J121" s="157"/>
      <c r="K121" s="151"/>
      <c r="L121" s="151"/>
      <c r="M121" s="151"/>
      <c r="N121" s="151"/>
      <c r="O121" s="151"/>
      <c r="P121" s="151"/>
      <c r="Q121" s="152"/>
      <c r="R121" s="153"/>
    </row>
    <row r="122" spans="1:18" s="154" customFormat="1" ht="17.100000000000001" customHeight="1" x14ac:dyDescent="0.25">
      <c r="A122" s="117"/>
      <c r="B122" s="141"/>
      <c r="C122" s="141"/>
      <c r="D122" s="141"/>
      <c r="E122" s="158"/>
      <c r="F122" s="155"/>
      <c r="G122" s="156"/>
      <c r="H122" s="149"/>
      <c r="I122" s="148"/>
      <c r="J122" s="157"/>
      <c r="K122" s="151"/>
      <c r="L122" s="151"/>
      <c r="M122" s="151"/>
      <c r="N122" s="151"/>
      <c r="O122" s="151"/>
      <c r="P122" s="151"/>
      <c r="Q122" s="152"/>
      <c r="R122" s="153"/>
    </row>
    <row r="123" spans="1:18" s="154" customFormat="1" ht="17.100000000000001" customHeight="1" x14ac:dyDescent="0.25">
      <c r="A123" s="117"/>
      <c r="B123" s="141"/>
      <c r="C123" s="141"/>
      <c r="D123" s="141"/>
      <c r="E123" s="158"/>
      <c r="F123" s="155"/>
      <c r="G123" s="156"/>
      <c r="H123" s="149"/>
      <c r="I123" s="148"/>
      <c r="J123" s="157"/>
      <c r="K123" s="151"/>
      <c r="L123" s="151"/>
      <c r="M123" s="151"/>
      <c r="N123" s="151"/>
      <c r="O123" s="151"/>
      <c r="P123" s="151"/>
      <c r="Q123" s="152"/>
      <c r="R123" s="153"/>
    </row>
    <row r="124" spans="1:18" s="154" customFormat="1" ht="17.100000000000001" customHeight="1" x14ac:dyDescent="0.25">
      <c r="A124" s="117"/>
      <c r="B124" s="141"/>
      <c r="C124" s="141"/>
      <c r="D124" s="141"/>
      <c r="E124" s="146"/>
      <c r="F124" s="155"/>
      <c r="G124" s="156"/>
      <c r="H124" s="149"/>
      <c r="I124" s="148"/>
      <c r="J124" s="157"/>
      <c r="K124" s="151"/>
      <c r="L124" s="151"/>
      <c r="M124" s="151"/>
      <c r="N124" s="151"/>
      <c r="O124" s="151"/>
      <c r="P124" s="151"/>
      <c r="Q124" s="152"/>
      <c r="R124" s="153"/>
    </row>
    <row r="125" spans="1:18" s="154" customFormat="1" ht="17.100000000000001" customHeight="1" x14ac:dyDescent="0.25">
      <c r="A125" s="117"/>
      <c r="B125" s="141"/>
      <c r="C125" s="141"/>
      <c r="D125" s="141"/>
      <c r="E125" s="158"/>
      <c r="F125" s="155"/>
      <c r="G125" s="156"/>
      <c r="H125" s="149"/>
      <c r="I125" s="148"/>
      <c r="J125" s="157"/>
      <c r="K125" s="151"/>
      <c r="L125" s="151"/>
      <c r="M125" s="151"/>
      <c r="N125" s="151"/>
      <c r="O125" s="151"/>
      <c r="P125" s="151"/>
      <c r="Q125" s="152"/>
      <c r="R125" s="153"/>
    </row>
    <row r="126" spans="1:18" s="154" customFormat="1" ht="17.100000000000001" customHeight="1" x14ac:dyDescent="0.25">
      <c r="A126" s="117"/>
      <c r="B126" s="141"/>
      <c r="C126" s="141"/>
      <c r="D126" s="141"/>
      <c r="E126" s="146"/>
      <c r="F126" s="155"/>
      <c r="G126" s="156"/>
      <c r="H126" s="149"/>
      <c r="I126" s="148"/>
      <c r="J126" s="157"/>
      <c r="K126" s="151"/>
      <c r="L126" s="151"/>
      <c r="M126" s="151"/>
      <c r="N126" s="151"/>
      <c r="O126" s="151"/>
      <c r="P126" s="151"/>
      <c r="Q126" s="152"/>
      <c r="R126" s="153"/>
    </row>
    <row r="127" spans="1:18" s="154" customFormat="1" ht="17.100000000000001" customHeight="1" x14ac:dyDescent="0.25">
      <c r="A127" s="117"/>
      <c r="B127" s="141"/>
      <c r="C127" s="141"/>
      <c r="D127" s="141"/>
      <c r="E127" s="146"/>
      <c r="F127" s="155"/>
      <c r="G127" s="156"/>
      <c r="H127" s="149"/>
      <c r="I127" s="148"/>
      <c r="J127" s="157"/>
      <c r="K127" s="151"/>
      <c r="L127" s="151"/>
      <c r="M127" s="151"/>
      <c r="N127" s="151"/>
      <c r="O127" s="151"/>
      <c r="P127" s="151"/>
      <c r="Q127" s="152"/>
      <c r="R127" s="153"/>
    </row>
    <row r="128" spans="1:18" s="154" customFormat="1" ht="17.100000000000001" customHeight="1" x14ac:dyDescent="0.25">
      <c r="A128" s="117"/>
      <c r="B128" s="141"/>
      <c r="C128" s="141"/>
      <c r="D128" s="141"/>
      <c r="E128" s="158"/>
      <c r="F128" s="155"/>
      <c r="G128" s="156"/>
      <c r="H128" s="149"/>
      <c r="I128" s="148"/>
      <c r="J128" s="157"/>
      <c r="K128" s="151"/>
      <c r="L128" s="151"/>
      <c r="M128" s="151"/>
      <c r="N128" s="151"/>
      <c r="O128" s="151"/>
      <c r="P128" s="151"/>
      <c r="Q128" s="152"/>
      <c r="R128" s="153"/>
    </row>
    <row r="129" spans="1:18" s="154" customFormat="1" ht="17.100000000000001" customHeight="1" x14ac:dyDescent="0.25">
      <c r="A129" s="117"/>
      <c r="B129" s="141"/>
      <c r="C129" s="141"/>
      <c r="D129" s="141"/>
      <c r="E129" s="146"/>
      <c r="F129" s="147"/>
      <c r="G129" s="148"/>
      <c r="H129" s="149"/>
      <c r="I129" s="148"/>
      <c r="J129" s="150"/>
      <c r="K129" s="151"/>
      <c r="L129" s="151"/>
      <c r="M129" s="151"/>
      <c r="N129" s="151"/>
      <c r="O129" s="151"/>
      <c r="P129" s="151"/>
      <c r="Q129" s="152"/>
      <c r="R129" s="153"/>
    </row>
    <row r="130" spans="1:18" s="154" customFormat="1" ht="17.100000000000001" customHeight="1" x14ac:dyDescent="0.25">
      <c r="A130" s="117"/>
      <c r="B130" s="141"/>
      <c r="C130" s="141"/>
      <c r="D130" s="141"/>
      <c r="E130" s="158"/>
      <c r="F130" s="155"/>
      <c r="G130" s="156"/>
      <c r="H130" s="149"/>
      <c r="I130" s="148"/>
      <c r="J130" s="157"/>
      <c r="K130" s="151"/>
      <c r="L130" s="151"/>
      <c r="M130" s="151"/>
      <c r="N130" s="151"/>
      <c r="O130" s="151"/>
      <c r="P130" s="151"/>
      <c r="Q130" s="152"/>
      <c r="R130" s="153"/>
    </row>
    <row r="131" spans="1:18" s="154" customFormat="1" ht="17.100000000000001" customHeight="1" x14ac:dyDescent="0.25">
      <c r="A131" s="117"/>
      <c r="B131" s="141"/>
      <c r="C131" s="141"/>
      <c r="D131" s="141"/>
      <c r="E131" s="146"/>
      <c r="F131" s="155"/>
      <c r="G131" s="156"/>
      <c r="H131" s="149"/>
      <c r="I131" s="148"/>
      <c r="J131" s="157"/>
      <c r="K131" s="151"/>
      <c r="L131" s="151"/>
      <c r="M131" s="151"/>
      <c r="N131" s="151"/>
      <c r="O131" s="151"/>
      <c r="P131" s="151"/>
      <c r="Q131" s="152"/>
      <c r="R131" s="153"/>
    </row>
    <row r="132" spans="1:18" s="154" customFormat="1" ht="17.100000000000001" customHeight="1" x14ac:dyDescent="0.25">
      <c r="A132" s="117"/>
      <c r="B132" s="141"/>
      <c r="C132" s="141"/>
      <c r="D132" s="141"/>
      <c r="E132" s="146"/>
      <c r="F132" s="147"/>
      <c r="G132" s="148"/>
      <c r="H132" s="149"/>
      <c r="I132" s="148"/>
      <c r="J132" s="150"/>
      <c r="K132" s="151"/>
      <c r="L132" s="151"/>
      <c r="M132" s="151"/>
      <c r="N132" s="151"/>
      <c r="O132" s="151"/>
      <c r="P132" s="151"/>
      <c r="Q132" s="152"/>
      <c r="R132" s="162"/>
    </row>
    <row r="133" spans="1:18" s="154" customFormat="1" ht="17.100000000000001" customHeight="1" x14ac:dyDescent="0.25">
      <c r="A133" s="117"/>
      <c r="B133" s="141"/>
      <c r="C133" s="141"/>
      <c r="D133" s="141"/>
      <c r="E133" s="146"/>
      <c r="F133" s="155"/>
      <c r="G133" s="156"/>
      <c r="H133" s="149"/>
      <c r="I133" s="148"/>
      <c r="J133" s="157"/>
      <c r="K133" s="151"/>
      <c r="L133" s="151"/>
      <c r="M133" s="151"/>
      <c r="N133" s="151"/>
      <c r="O133" s="151"/>
      <c r="P133" s="151"/>
      <c r="Q133" s="152"/>
      <c r="R133" s="162"/>
    </row>
    <row r="134" spans="1:18" s="154" customFormat="1" ht="17.100000000000001" customHeight="1" x14ac:dyDescent="0.25">
      <c r="A134" s="117"/>
      <c r="B134" s="141"/>
      <c r="C134" s="141"/>
      <c r="D134" s="141"/>
      <c r="E134" s="158"/>
      <c r="F134" s="155"/>
      <c r="G134" s="156"/>
      <c r="H134" s="149"/>
      <c r="I134" s="148"/>
      <c r="J134" s="157"/>
      <c r="K134" s="151"/>
      <c r="L134" s="151"/>
      <c r="M134" s="151"/>
      <c r="N134" s="151"/>
      <c r="O134" s="151"/>
      <c r="P134" s="151"/>
      <c r="Q134" s="152"/>
      <c r="R134" s="153"/>
    </row>
    <row r="135" spans="1:18" s="154" customFormat="1" ht="17.100000000000001" customHeight="1" x14ac:dyDescent="0.25">
      <c r="A135" s="117"/>
      <c r="B135" s="141"/>
      <c r="C135" s="141"/>
      <c r="D135" s="141"/>
      <c r="E135" s="146"/>
      <c r="F135" s="147"/>
      <c r="G135" s="148"/>
      <c r="H135" s="149"/>
      <c r="I135" s="148"/>
      <c r="J135" s="150"/>
      <c r="K135" s="151"/>
      <c r="L135" s="151"/>
      <c r="M135" s="151"/>
      <c r="N135" s="151"/>
      <c r="O135" s="151"/>
      <c r="P135" s="151"/>
      <c r="Q135" s="152"/>
      <c r="R135" s="153"/>
    </row>
    <row r="136" spans="1:18" s="154" customFormat="1" ht="17.100000000000001" customHeight="1" x14ac:dyDescent="0.25">
      <c r="A136" s="117"/>
      <c r="B136" s="141"/>
      <c r="C136" s="141"/>
      <c r="D136" s="141"/>
      <c r="E136" s="158"/>
      <c r="F136" s="155"/>
      <c r="G136" s="156"/>
      <c r="H136" s="149"/>
      <c r="I136" s="148"/>
      <c r="J136" s="157"/>
      <c r="K136" s="151"/>
      <c r="L136" s="151"/>
      <c r="M136" s="151"/>
      <c r="N136" s="151"/>
      <c r="O136" s="151"/>
      <c r="P136" s="151"/>
      <c r="Q136" s="152"/>
      <c r="R136" s="153"/>
    </row>
    <row r="137" spans="1:18" s="154" customFormat="1" ht="17.100000000000001" customHeight="1" x14ac:dyDescent="0.25">
      <c r="A137" s="117"/>
      <c r="B137" s="141"/>
      <c r="C137" s="141"/>
      <c r="D137" s="141"/>
      <c r="E137" s="158"/>
      <c r="F137" s="155"/>
      <c r="G137" s="156"/>
      <c r="H137" s="149"/>
      <c r="I137" s="148"/>
      <c r="J137" s="157"/>
      <c r="K137" s="151"/>
      <c r="L137" s="151"/>
      <c r="M137" s="151"/>
      <c r="N137" s="151"/>
      <c r="O137" s="151"/>
      <c r="P137" s="151"/>
      <c r="Q137" s="152"/>
      <c r="R137" s="153"/>
    </row>
    <row r="138" spans="1:18" s="154" customFormat="1" ht="17.100000000000001" customHeight="1" x14ac:dyDescent="0.25">
      <c r="A138" s="117"/>
      <c r="B138" s="141"/>
      <c r="C138" s="141"/>
      <c r="D138" s="141"/>
      <c r="E138" s="146"/>
      <c r="F138" s="155"/>
      <c r="G138" s="156"/>
      <c r="H138" s="149"/>
      <c r="I138" s="148"/>
      <c r="J138" s="157"/>
      <c r="K138" s="151"/>
      <c r="L138" s="151"/>
      <c r="M138" s="151"/>
      <c r="N138" s="151"/>
      <c r="O138" s="151"/>
      <c r="P138" s="151"/>
      <c r="Q138" s="152"/>
      <c r="R138" s="153"/>
    </row>
    <row r="139" spans="1:18" s="154" customFormat="1" ht="17.100000000000001" customHeight="1" x14ac:dyDescent="0.25">
      <c r="A139" s="117"/>
      <c r="B139" s="141"/>
      <c r="C139" s="141"/>
      <c r="D139" s="141"/>
      <c r="E139" s="146"/>
      <c r="F139" s="155"/>
      <c r="G139" s="156"/>
      <c r="H139" s="149"/>
      <c r="I139" s="148"/>
      <c r="J139" s="157"/>
      <c r="K139" s="151"/>
      <c r="L139" s="151"/>
      <c r="M139" s="151"/>
      <c r="N139" s="151"/>
      <c r="O139" s="151"/>
      <c r="P139" s="151"/>
      <c r="Q139" s="152"/>
      <c r="R139" s="153"/>
    </row>
    <row r="140" spans="1:18" s="154" customFormat="1" ht="17.100000000000001" customHeight="1" x14ac:dyDescent="0.25">
      <c r="A140" s="117"/>
      <c r="B140" s="141"/>
      <c r="C140" s="141"/>
      <c r="D140" s="141"/>
      <c r="E140" s="158"/>
      <c r="F140" s="155"/>
      <c r="G140" s="156"/>
      <c r="H140" s="149"/>
      <c r="I140" s="148"/>
      <c r="J140" s="157"/>
      <c r="K140" s="151"/>
      <c r="L140" s="151"/>
      <c r="M140" s="151"/>
      <c r="N140" s="151"/>
      <c r="O140" s="151"/>
      <c r="P140" s="151"/>
      <c r="Q140" s="152"/>
      <c r="R140" s="153"/>
    </row>
    <row r="141" spans="1:18" s="154" customFormat="1" ht="17.100000000000001" customHeight="1" x14ac:dyDescent="0.25">
      <c r="A141" s="117"/>
      <c r="B141" s="141"/>
      <c r="C141" s="141"/>
      <c r="D141" s="141"/>
      <c r="E141" s="146"/>
      <c r="F141" s="155"/>
      <c r="G141" s="156"/>
      <c r="H141" s="149"/>
      <c r="I141" s="148"/>
      <c r="J141" s="157"/>
      <c r="K141" s="151"/>
      <c r="L141" s="151"/>
      <c r="M141" s="151"/>
      <c r="N141" s="151"/>
      <c r="O141" s="151"/>
      <c r="P141" s="151"/>
      <c r="Q141" s="152"/>
      <c r="R141" s="153"/>
    </row>
    <row r="142" spans="1:18" s="154" customFormat="1" ht="17.100000000000001" customHeight="1" x14ac:dyDescent="0.25">
      <c r="A142" s="117"/>
      <c r="B142" s="141"/>
      <c r="C142" s="141"/>
      <c r="D142" s="141"/>
      <c r="E142" s="146"/>
      <c r="F142" s="155"/>
      <c r="G142" s="156"/>
      <c r="H142" s="149"/>
      <c r="I142" s="148"/>
      <c r="J142" s="157"/>
      <c r="K142" s="151"/>
      <c r="L142" s="151"/>
      <c r="M142" s="151"/>
      <c r="N142" s="151"/>
      <c r="O142" s="151"/>
      <c r="P142" s="151"/>
      <c r="Q142" s="152"/>
      <c r="R142" s="153"/>
    </row>
    <row r="143" spans="1:18" s="154" customFormat="1" ht="17.100000000000001" customHeight="1" x14ac:dyDescent="0.25">
      <c r="A143" s="117"/>
      <c r="B143" s="141"/>
      <c r="C143" s="141"/>
      <c r="D143" s="141"/>
      <c r="E143" s="146"/>
      <c r="F143" s="150"/>
      <c r="G143" s="148"/>
      <c r="H143" s="149"/>
      <c r="I143" s="148"/>
      <c r="J143" s="150"/>
      <c r="K143" s="151"/>
      <c r="L143" s="151"/>
      <c r="M143" s="151"/>
      <c r="N143" s="151"/>
      <c r="O143" s="151"/>
      <c r="P143" s="151"/>
      <c r="Q143" s="152"/>
      <c r="R143" s="153"/>
    </row>
    <row r="144" spans="1:18" s="154" customFormat="1" ht="17.100000000000001" customHeight="1" x14ac:dyDescent="0.25">
      <c r="A144" s="117"/>
      <c r="B144" s="141"/>
      <c r="C144" s="141"/>
      <c r="D144" s="141"/>
      <c r="E144" s="146"/>
      <c r="F144" s="157"/>
      <c r="G144" s="156"/>
      <c r="H144" s="149"/>
      <c r="I144" s="148"/>
      <c r="J144" s="157"/>
      <c r="K144" s="151"/>
      <c r="L144" s="151"/>
      <c r="M144" s="151"/>
      <c r="N144" s="151"/>
      <c r="O144" s="151"/>
      <c r="P144" s="151"/>
      <c r="Q144" s="152"/>
      <c r="R144" s="153"/>
    </row>
    <row r="145" spans="1:18" s="154" customFormat="1" ht="17.100000000000001" customHeight="1" x14ac:dyDescent="0.25">
      <c r="A145" s="117"/>
      <c r="B145" s="141"/>
      <c r="C145" s="141"/>
      <c r="D145" s="141"/>
      <c r="E145" s="146"/>
      <c r="F145" s="150"/>
      <c r="G145" s="148"/>
      <c r="H145" s="149"/>
      <c r="I145" s="148"/>
      <c r="J145" s="150"/>
      <c r="K145" s="151"/>
      <c r="L145" s="151"/>
      <c r="M145" s="151"/>
      <c r="N145" s="151"/>
      <c r="O145" s="151"/>
      <c r="P145" s="151"/>
      <c r="Q145" s="152"/>
      <c r="R145" s="153"/>
    </row>
    <row r="146" spans="1:18" s="154" customFormat="1" ht="17.100000000000001" customHeight="1" x14ac:dyDescent="0.25">
      <c r="A146" s="117"/>
      <c r="B146" s="141"/>
      <c r="C146" s="141"/>
      <c r="D146" s="141"/>
      <c r="E146" s="146"/>
      <c r="F146" s="157"/>
      <c r="G146" s="156"/>
      <c r="H146" s="149"/>
      <c r="I146" s="148"/>
      <c r="J146" s="157"/>
      <c r="K146" s="151"/>
      <c r="L146" s="151"/>
      <c r="M146" s="151"/>
      <c r="N146" s="151"/>
      <c r="O146" s="151"/>
      <c r="P146" s="151"/>
      <c r="Q146" s="152"/>
      <c r="R146" s="153"/>
    </row>
    <row r="147" spans="1:18" s="154" customFormat="1" ht="17.100000000000001" customHeight="1" x14ac:dyDescent="0.25">
      <c r="A147" s="117"/>
      <c r="B147" s="141"/>
      <c r="C147" s="141"/>
      <c r="D147" s="141"/>
      <c r="E147" s="146"/>
      <c r="F147" s="157"/>
      <c r="G147" s="156"/>
      <c r="H147" s="149"/>
      <c r="I147" s="148"/>
      <c r="J147" s="157"/>
      <c r="K147" s="151"/>
      <c r="L147" s="151"/>
      <c r="M147" s="151"/>
      <c r="N147" s="151"/>
      <c r="O147" s="151"/>
      <c r="P147" s="151"/>
      <c r="Q147" s="152"/>
      <c r="R147" s="153"/>
    </row>
    <row r="148" spans="1:18" s="154" customFormat="1" ht="17.100000000000001" customHeight="1" x14ac:dyDescent="0.25">
      <c r="A148" s="117"/>
      <c r="B148" s="141"/>
      <c r="C148" s="141"/>
      <c r="D148" s="141"/>
      <c r="E148" s="146"/>
      <c r="F148" s="157"/>
      <c r="G148" s="156"/>
      <c r="H148" s="149"/>
      <c r="I148" s="148"/>
      <c r="J148" s="157"/>
      <c r="K148" s="151"/>
      <c r="L148" s="151"/>
      <c r="M148" s="151"/>
      <c r="N148" s="151"/>
      <c r="O148" s="151"/>
      <c r="P148" s="151"/>
      <c r="Q148" s="152"/>
      <c r="R148" s="153"/>
    </row>
    <row r="149" spans="1:18" s="154" customFormat="1" ht="17.100000000000001" customHeight="1" x14ac:dyDescent="0.25">
      <c r="A149" s="117"/>
      <c r="B149" s="141"/>
      <c r="C149" s="141"/>
      <c r="D149" s="141"/>
      <c r="E149" s="158"/>
      <c r="F149" s="157"/>
      <c r="G149" s="156"/>
      <c r="H149" s="149"/>
      <c r="I149" s="148"/>
      <c r="J149" s="157"/>
      <c r="K149" s="151"/>
      <c r="L149" s="151"/>
      <c r="M149" s="151"/>
      <c r="N149" s="151"/>
      <c r="O149" s="151"/>
      <c r="P149" s="151"/>
      <c r="Q149" s="152"/>
      <c r="R149" s="153"/>
    </row>
    <row r="150" spans="1:18" s="154" customFormat="1" ht="17.100000000000001" customHeight="1" x14ac:dyDescent="0.25">
      <c r="A150" s="117"/>
      <c r="B150" s="141"/>
      <c r="C150" s="141"/>
      <c r="D150" s="141"/>
      <c r="E150" s="158"/>
      <c r="F150" s="157"/>
      <c r="G150" s="156"/>
      <c r="H150" s="149"/>
      <c r="I150" s="148"/>
      <c r="J150" s="157"/>
      <c r="K150" s="151"/>
      <c r="L150" s="151"/>
      <c r="M150" s="151"/>
      <c r="N150" s="151"/>
      <c r="O150" s="151"/>
      <c r="P150" s="151"/>
      <c r="Q150" s="152"/>
      <c r="R150" s="153"/>
    </row>
    <row r="151" spans="1:18" s="154" customFormat="1" ht="17.100000000000001" customHeight="1" x14ac:dyDescent="0.25">
      <c r="A151" s="117"/>
      <c r="B151" s="141"/>
      <c r="C151" s="141"/>
      <c r="D151" s="141"/>
      <c r="E151" s="146"/>
      <c r="F151" s="157"/>
      <c r="G151" s="156"/>
      <c r="H151" s="149"/>
      <c r="I151" s="148"/>
      <c r="J151" s="157"/>
      <c r="K151" s="151"/>
      <c r="L151" s="151"/>
      <c r="M151" s="151"/>
      <c r="N151" s="151"/>
      <c r="O151" s="151"/>
      <c r="P151" s="151"/>
      <c r="Q151" s="152"/>
      <c r="R151" s="153"/>
    </row>
    <row r="152" spans="1:18" s="154" customFormat="1" ht="17.100000000000001" customHeight="1" x14ac:dyDescent="0.25">
      <c r="A152" s="117"/>
      <c r="B152" s="141"/>
      <c r="C152" s="141"/>
      <c r="D152" s="141"/>
      <c r="E152" s="146"/>
      <c r="F152" s="157"/>
      <c r="G152" s="156"/>
      <c r="H152" s="149"/>
      <c r="I152" s="148"/>
      <c r="J152" s="157"/>
      <c r="K152" s="151"/>
      <c r="L152" s="151"/>
      <c r="M152" s="151"/>
      <c r="N152" s="151"/>
      <c r="O152" s="151"/>
      <c r="P152" s="151"/>
      <c r="Q152" s="152"/>
      <c r="R152" s="153"/>
    </row>
    <row r="153" spans="1:18" s="154" customFormat="1" ht="17.100000000000001" customHeight="1" x14ac:dyDescent="0.25">
      <c r="A153" s="117"/>
      <c r="B153" s="141"/>
      <c r="C153" s="141"/>
      <c r="D153" s="141"/>
      <c r="E153" s="158"/>
      <c r="F153" s="157"/>
      <c r="G153" s="156"/>
      <c r="H153" s="149"/>
      <c r="I153" s="148"/>
      <c r="J153" s="157"/>
      <c r="K153" s="151"/>
      <c r="L153" s="151"/>
      <c r="M153" s="151"/>
      <c r="N153" s="151"/>
      <c r="O153" s="151"/>
      <c r="P153" s="151"/>
      <c r="Q153" s="152"/>
      <c r="R153" s="153"/>
    </row>
    <row r="154" spans="1:18" s="154" customFormat="1" ht="17.100000000000001" customHeight="1" x14ac:dyDescent="0.25">
      <c r="A154" s="117"/>
      <c r="B154" s="141"/>
      <c r="C154" s="141"/>
      <c r="D154" s="141"/>
      <c r="E154" s="146"/>
      <c r="F154" s="157"/>
      <c r="G154" s="156"/>
      <c r="H154" s="149"/>
      <c r="I154" s="148"/>
      <c r="J154" s="157"/>
      <c r="K154" s="151"/>
      <c r="L154" s="151"/>
      <c r="M154" s="151"/>
      <c r="N154" s="151"/>
      <c r="O154" s="151"/>
      <c r="P154" s="151"/>
      <c r="Q154" s="152"/>
      <c r="R154" s="153"/>
    </row>
    <row r="155" spans="1:18" s="154" customFormat="1" ht="17.100000000000001" customHeight="1" x14ac:dyDescent="0.25">
      <c r="A155" s="117"/>
      <c r="B155" s="141"/>
      <c r="C155" s="141"/>
      <c r="D155" s="141"/>
      <c r="E155" s="146"/>
      <c r="F155" s="157"/>
      <c r="G155" s="156"/>
      <c r="H155" s="149"/>
      <c r="I155" s="148"/>
      <c r="J155" s="157"/>
      <c r="K155" s="151"/>
      <c r="L155" s="151"/>
      <c r="M155" s="151"/>
      <c r="N155" s="151"/>
      <c r="O155" s="151"/>
      <c r="P155" s="151"/>
      <c r="Q155" s="152"/>
      <c r="R155" s="153"/>
    </row>
    <row r="156" spans="1:18" s="154" customFormat="1" ht="17.100000000000001" customHeight="1" x14ac:dyDescent="0.25">
      <c r="A156" s="117"/>
      <c r="B156" s="141"/>
      <c r="C156" s="141"/>
      <c r="D156" s="141"/>
      <c r="E156" s="146"/>
      <c r="F156" s="157"/>
      <c r="G156" s="156"/>
      <c r="H156" s="149"/>
      <c r="I156" s="148"/>
      <c r="J156" s="157"/>
      <c r="K156" s="151"/>
      <c r="L156" s="151"/>
      <c r="M156" s="151"/>
      <c r="N156" s="151"/>
      <c r="O156" s="151"/>
      <c r="P156" s="151"/>
      <c r="Q156" s="152"/>
      <c r="R156" s="153"/>
    </row>
    <row r="157" spans="1:18" s="154" customFormat="1" ht="17.100000000000001" customHeight="1" x14ac:dyDescent="0.25">
      <c r="A157" s="117"/>
      <c r="B157" s="141"/>
      <c r="C157" s="141"/>
      <c r="D157" s="141"/>
      <c r="E157" s="146"/>
      <c r="F157" s="157"/>
      <c r="G157" s="156"/>
      <c r="H157" s="149"/>
      <c r="I157" s="148"/>
      <c r="J157" s="157"/>
      <c r="K157" s="151"/>
      <c r="L157" s="151"/>
      <c r="M157" s="151"/>
      <c r="N157" s="151"/>
      <c r="O157" s="151"/>
      <c r="P157" s="151"/>
      <c r="Q157" s="152"/>
      <c r="R157" s="153"/>
    </row>
    <row r="158" spans="1:18" s="154" customFormat="1" ht="17.100000000000001" customHeight="1" x14ac:dyDescent="0.25">
      <c r="A158" s="117"/>
      <c r="B158" s="141"/>
      <c r="C158" s="141"/>
      <c r="D158" s="141"/>
      <c r="E158" s="146"/>
      <c r="F158" s="150"/>
      <c r="G158" s="148"/>
      <c r="H158" s="149"/>
      <c r="I158" s="148"/>
      <c r="J158" s="150"/>
      <c r="K158" s="151"/>
      <c r="L158" s="151"/>
      <c r="M158" s="151"/>
      <c r="N158" s="151"/>
      <c r="O158" s="151"/>
      <c r="P158" s="151"/>
      <c r="Q158" s="152"/>
      <c r="R158" s="153"/>
    </row>
    <row r="159" spans="1:18" s="154" customFormat="1" ht="17.100000000000001" customHeight="1" x14ac:dyDescent="0.25">
      <c r="A159" s="117"/>
      <c r="B159" s="141"/>
      <c r="C159" s="141"/>
      <c r="D159" s="141"/>
      <c r="E159" s="146"/>
      <c r="F159" s="157"/>
      <c r="G159" s="156"/>
      <c r="H159" s="149"/>
      <c r="I159" s="148"/>
      <c r="J159" s="157"/>
      <c r="K159" s="151"/>
      <c r="L159" s="151"/>
      <c r="M159" s="151"/>
      <c r="N159" s="151"/>
      <c r="O159" s="151"/>
      <c r="P159" s="151"/>
      <c r="Q159" s="152"/>
      <c r="R159" s="153"/>
    </row>
    <row r="160" spans="1:18" s="154" customFormat="1" ht="17.100000000000001" customHeight="1" x14ac:dyDescent="0.25">
      <c r="A160" s="117"/>
      <c r="B160" s="141"/>
      <c r="C160" s="141"/>
      <c r="D160" s="141"/>
      <c r="E160" s="146"/>
      <c r="F160" s="157"/>
      <c r="G160" s="156"/>
      <c r="H160" s="149"/>
      <c r="I160" s="148"/>
      <c r="J160" s="157"/>
      <c r="K160" s="151"/>
      <c r="L160" s="151"/>
      <c r="M160" s="151"/>
      <c r="N160" s="151"/>
      <c r="O160" s="151"/>
      <c r="P160" s="151"/>
      <c r="Q160" s="152"/>
      <c r="R160" s="153"/>
    </row>
    <row r="161" spans="1:18" s="154" customFormat="1" ht="17.100000000000001" customHeight="1" x14ac:dyDescent="0.25">
      <c r="A161" s="117"/>
      <c r="B161" s="141"/>
      <c r="C161" s="141"/>
      <c r="D161" s="141"/>
      <c r="E161" s="160"/>
      <c r="F161" s="150"/>
      <c r="G161" s="148"/>
      <c r="H161" s="149"/>
      <c r="I161" s="148"/>
      <c r="J161" s="150"/>
      <c r="K161" s="151"/>
      <c r="L161" s="151"/>
      <c r="M161" s="151"/>
      <c r="N161" s="151"/>
      <c r="O161" s="151"/>
      <c r="P161" s="151"/>
      <c r="Q161" s="152"/>
      <c r="R161" s="153"/>
    </row>
    <row r="162" spans="1:18" s="154" customFormat="1" ht="17.100000000000001" customHeight="1" x14ac:dyDescent="0.25">
      <c r="A162" s="117"/>
      <c r="B162" s="141"/>
      <c r="C162" s="141"/>
      <c r="D162" s="141"/>
      <c r="E162" s="158"/>
      <c r="F162" s="157"/>
      <c r="G162" s="156"/>
      <c r="H162" s="149"/>
      <c r="I162" s="148"/>
      <c r="J162" s="157"/>
      <c r="K162" s="151"/>
      <c r="L162" s="151"/>
      <c r="M162" s="151"/>
      <c r="N162" s="151"/>
      <c r="O162" s="151"/>
      <c r="P162" s="151"/>
      <c r="Q162" s="152"/>
      <c r="R162" s="153"/>
    </row>
    <row r="163" spans="1:18" s="154" customFormat="1" ht="17.100000000000001" customHeight="1" x14ac:dyDescent="0.25">
      <c r="A163" s="117"/>
      <c r="B163" s="141"/>
      <c r="C163" s="141"/>
      <c r="D163" s="141"/>
      <c r="E163" s="146"/>
      <c r="F163" s="157"/>
      <c r="G163" s="156"/>
      <c r="H163" s="149"/>
      <c r="I163" s="148"/>
      <c r="J163" s="157"/>
      <c r="K163" s="151"/>
      <c r="L163" s="151"/>
      <c r="M163" s="151"/>
      <c r="N163" s="151"/>
      <c r="O163" s="151"/>
      <c r="P163" s="151"/>
      <c r="Q163" s="152"/>
      <c r="R163" s="153"/>
    </row>
    <row r="164" spans="1:18" s="154" customFormat="1" ht="17.100000000000001" customHeight="1" x14ac:dyDescent="0.25">
      <c r="A164" s="117"/>
      <c r="B164" s="141"/>
      <c r="C164" s="141"/>
      <c r="D164" s="141"/>
      <c r="E164" s="158"/>
      <c r="F164" s="157"/>
      <c r="G164" s="156"/>
      <c r="H164" s="149"/>
      <c r="I164" s="148"/>
      <c r="J164" s="157"/>
      <c r="K164" s="151"/>
      <c r="L164" s="151"/>
      <c r="M164" s="151"/>
      <c r="N164" s="151"/>
      <c r="O164" s="151"/>
      <c r="P164" s="151"/>
      <c r="Q164" s="152"/>
      <c r="R164" s="153"/>
    </row>
    <row r="165" spans="1:18" s="154" customFormat="1" ht="17.100000000000001" customHeight="1" x14ac:dyDescent="0.25">
      <c r="A165" s="117"/>
      <c r="B165" s="141"/>
      <c r="C165" s="141"/>
      <c r="D165" s="141"/>
      <c r="E165" s="146"/>
      <c r="F165" s="157"/>
      <c r="G165" s="156"/>
      <c r="H165" s="149"/>
      <c r="I165" s="148"/>
      <c r="J165" s="157"/>
      <c r="K165" s="151"/>
      <c r="L165" s="151"/>
      <c r="M165" s="151"/>
      <c r="N165" s="151"/>
      <c r="O165" s="151"/>
      <c r="P165" s="151"/>
      <c r="Q165" s="152"/>
      <c r="R165" s="153"/>
    </row>
    <row r="166" spans="1:18" s="154" customFormat="1" ht="17.100000000000001" customHeight="1" x14ac:dyDescent="0.25">
      <c r="A166" s="117"/>
      <c r="B166" s="141"/>
      <c r="C166" s="141"/>
      <c r="D166" s="141"/>
      <c r="E166" s="146"/>
      <c r="F166" s="157"/>
      <c r="G166" s="156"/>
      <c r="H166" s="149"/>
      <c r="I166" s="148"/>
      <c r="J166" s="157"/>
      <c r="K166" s="151"/>
      <c r="L166" s="151"/>
      <c r="M166" s="151"/>
      <c r="N166" s="151"/>
      <c r="O166" s="151"/>
      <c r="P166" s="151"/>
      <c r="Q166" s="152"/>
      <c r="R166" s="153"/>
    </row>
    <row r="167" spans="1:18" s="154" customFormat="1" ht="17.100000000000001" customHeight="1" x14ac:dyDescent="0.25">
      <c r="A167" s="117"/>
      <c r="B167" s="141"/>
      <c r="C167" s="141"/>
      <c r="D167" s="141"/>
      <c r="E167" s="158"/>
      <c r="F167" s="157"/>
      <c r="G167" s="156"/>
      <c r="H167" s="149"/>
      <c r="I167" s="148"/>
      <c r="J167" s="157"/>
      <c r="K167" s="151"/>
      <c r="L167" s="151"/>
      <c r="M167" s="151"/>
      <c r="N167" s="151"/>
      <c r="O167" s="151"/>
      <c r="P167" s="151"/>
      <c r="Q167" s="152"/>
      <c r="R167" s="153"/>
    </row>
    <row r="168" spans="1:18" s="154" customFormat="1" ht="17.100000000000001" customHeight="1" x14ac:dyDescent="0.25">
      <c r="A168" s="117"/>
      <c r="B168" s="141"/>
      <c r="C168" s="141"/>
      <c r="D168" s="141"/>
      <c r="E168" s="158"/>
      <c r="F168" s="157"/>
      <c r="G168" s="156"/>
      <c r="H168" s="149"/>
      <c r="I168" s="148"/>
      <c r="J168" s="157"/>
      <c r="K168" s="151"/>
      <c r="L168" s="151"/>
      <c r="M168" s="151"/>
      <c r="N168" s="151"/>
      <c r="O168" s="151"/>
      <c r="P168" s="151"/>
      <c r="Q168" s="152"/>
      <c r="R168" s="153"/>
    </row>
    <row r="169" spans="1:18" s="154" customFormat="1" ht="17.100000000000001" customHeight="1" x14ac:dyDescent="0.25">
      <c r="A169" s="117"/>
      <c r="B169" s="141"/>
      <c r="C169" s="141"/>
      <c r="D169" s="141"/>
      <c r="E169" s="146"/>
      <c r="F169" s="157"/>
      <c r="G169" s="156"/>
      <c r="H169" s="149"/>
      <c r="I169" s="148"/>
      <c r="J169" s="157"/>
      <c r="K169" s="151"/>
      <c r="L169" s="151"/>
      <c r="M169" s="151"/>
      <c r="N169" s="151"/>
      <c r="O169" s="151"/>
      <c r="P169" s="151"/>
      <c r="Q169" s="152"/>
      <c r="R169" s="153"/>
    </row>
    <row r="170" spans="1:18" s="154" customFormat="1" ht="17.100000000000001" customHeight="1" x14ac:dyDescent="0.25">
      <c r="A170" s="117"/>
      <c r="B170" s="141"/>
      <c r="C170" s="141"/>
      <c r="D170" s="141"/>
      <c r="E170" s="158"/>
      <c r="F170" s="157"/>
      <c r="G170" s="156"/>
      <c r="H170" s="149"/>
      <c r="I170" s="148"/>
      <c r="J170" s="157"/>
      <c r="K170" s="151"/>
      <c r="L170" s="151"/>
      <c r="M170" s="151"/>
      <c r="N170" s="151"/>
      <c r="O170" s="151"/>
      <c r="P170" s="151"/>
      <c r="Q170" s="152"/>
      <c r="R170" s="153"/>
    </row>
    <row r="171" spans="1:18" s="154" customFormat="1" ht="17.100000000000001" customHeight="1" x14ac:dyDescent="0.25">
      <c r="A171" s="117"/>
      <c r="B171" s="141"/>
      <c r="C171" s="141"/>
      <c r="D171" s="141"/>
      <c r="E171" s="146"/>
      <c r="F171" s="157"/>
      <c r="G171" s="156"/>
      <c r="H171" s="149"/>
      <c r="I171" s="148"/>
      <c r="J171" s="157"/>
      <c r="K171" s="151"/>
      <c r="L171" s="151"/>
      <c r="M171" s="151"/>
      <c r="N171" s="151"/>
      <c r="O171" s="151"/>
      <c r="P171" s="151"/>
      <c r="Q171" s="152"/>
      <c r="R171" s="153"/>
    </row>
    <row r="172" spans="1:18" s="154" customFormat="1" ht="17.100000000000001" customHeight="1" x14ac:dyDescent="0.25">
      <c r="A172" s="117"/>
      <c r="B172" s="141"/>
      <c r="C172" s="141"/>
      <c r="D172" s="141"/>
      <c r="E172" s="146"/>
      <c r="F172" s="150"/>
      <c r="G172" s="148"/>
      <c r="H172" s="149"/>
      <c r="I172" s="148"/>
      <c r="J172" s="150"/>
      <c r="K172" s="151"/>
      <c r="L172" s="151"/>
      <c r="M172" s="151"/>
      <c r="N172" s="151"/>
      <c r="O172" s="151"/>
      <c r="P172" s="151"/>
      <c r="Q172" s="161"/>
      <c r="R172" s="153"/>
    </row>
    <row r="173" spans="1:18" s="154" customFormat="1" ht="17.100000000000001" customHeight="1" x14ac:dyDescent="0.25">
      <c r="A173" s="117"/>
      <c r="B173" s="141"/>
      <c r="C173" s="141"/>
      <c r="D173" s="141"/>
      <c r="E173" s="146"/>
      <c r="F173" s="157"/>
      <c r="G173" s="156"/>
      <c r="H173" s="149"/>
      <c r="I173" s="148"/>
      <c r="J173" s="157"/>
      <c r="K173" s="151"/>
      <c r="L173" s="151"/>
      <c r="M173" s="151"/>
      <c r="N173" s="151"/>
      <c r="O173" s="151"/>
      <c r="P173" s="151"/>
      <c r="Q173" s="161"/>
      <c r="R173" s="153"/>
    </row>
    <row r="174" spans="1:18" s="154" customFormat="1" ht="17.100000000000001" customHeight="1" x14ac:dyDescent="0.25">
      <c r="A174" s="117"/>
      <c r="B174" s="141"/>
      <c r="C174" s="141"/>
      <c r="D174" s="141"/>
      <c r="E174" s="158"/>
      <c r="F174" s="157"/>
      <c r="G174" s="156"/>
      <c r="H174" s="149"/>
      <c r="I174" s="148"/>
      <c r="J174" s="157"/>
      <c r="K174" s="151"/>
      <c r="L174" s="151"/>
      <c r="M174" s="151"/>
      <c r="N174" s="151"/>
      <c r="O174" s="151"/>
      <c r="P174" s="151"/>
      <c r="Q174" s="161"/>
      <c r="R174" s="153"/>
    </row>
    <row r="175" spans="1:18" s="154" customFormat="1" ht="17.100000000000001" customHeight="1" x14ac:dyDescent="0.25">
      <c r="A175" s="117"/>
      <c r="B175" s="141"/>
      <c r="C175" s="141"/>
      <c r="D175" s="141"/>
      <c r="E175" s="158"/>
      <c r="F175" s="157"/>
      <c r="G175" s="156"/>
      <c r="H175" s="149"/>
      <c r="I175" s="148"/>
      <c r="J175" s="157"/>
      <c r="K175" s="151"/>
      <c r="L175" s="151"/>
      <c r="M175" s="151"/>
      <c r="N175" s="151"/>
      <c r="O175" s="151"/>
      <c r="P175" s="151"/>
      <c r="Q175" s="161"/>
      <c r="R175" s="153"/>
    </row>
    <row r="176" spans="1:18" s="154" customFormat="1" ht="17.100000000000001" customHeight="1" x14ac:dyDescent="0.25">
      <c r="A176" s="117"/>
      <c r="B176" s="141"/>
      <c r="C176" s="141"/>
      <c r="D176" s="141"/>
      <c r="E176" s="146"/>
      <c r="F176" s="157"/>
      <c r="G176" s="156"/>
      <c r="H176" s="149"/>
      <c r="I176" s="148"/>
      <c r="J176" s="157"/>
      <c r="K176" s="151"/>
      <c r="L176" s="151"/>
      <c r="M176" s="151"/>
      <c r="N176" s="151"/>
      <c r="O176" s="151"/>
      <c r="P176" s="151"/>
      <c r="Q176" s="161"/>
      <c r="R176" s="153"/>
    </row>
    <row r="177" spans="1:18" s="154" customFormat="1" ht="17.100000000000001" customHeight="1" x14ac:dyDescent="0.25">
      <c r="A177" s="117"/>
      <c r="B177" s="141"/>
      <c r="C177" s="141"/>
      <c r="D177" s="141"/>
      <c r="E177" s="158"/>
      <c r="F177" s="157"/>
      <c r="G177" s="156"/>
      <c r="H177" s="149"/>
      <c r="I177" s="148"/>
      <c r="J177" s="157"/>
      <c r="K177" s="151"/>
      <c r="L177" s="151"/>
      <c r="M177" s="151"/>
      <c r="N177" s="151"/>
      <c r="O177" s="151"/>
      <c r="P177" s="151"/>
      <c r="Q177" s="161"/>
      <c r="R177" s="153"/>
    </row>
    <row r="178" spans="1:18" s="154" customFormat="1" ht="17.100000000000001" customHeight="1" x14ac:dyDescent="0.25">
      <c r="A178" s="117"/>
      <c r="B178" s="141"/>
      <c r="C178" s="141"/>
      <c r="D178" s="141"/>
      <c r="E178" s="158"/>
      <c r="F178" s="157"/>
      <c r="G178" s="156"/>
      <c r="H178" s="149"/>
      <c r="I178" s="148"/>
      <c r="J178" s="157"/>
      <c r="K178" s="151"/>
      <c r="L178" s="151"/>
      <c r="M178" s="151"/>
      <c r="N178" s="151"/>
      <c r="O178" s="151"/>
      <c r="P178" s="151"/>
      <c r="Q178" s="161"/>
      <c r="R178" s="153"/>
    </row>
    <row r="179" spans="1:18" s="154" customFormat="1" ht="17.100000000000001" customHeight="1" x14ac:dyDescent="0.25">
      <c r="A179" s="117"/>
      <c r="B179" s="141"/>
      <c r="C179" s="141"/>
      <c r="D179" s="141"/>
      <c r="E179" s="146"/>
      <c r="F179" s="150"/>
      <c r="G179" s="148"/>
      <c r="H179" s="149"/>
      <c r="I179" s="148"/>
      <c r="J179" s="150"/>
      <c r="K179" s="151"/>
      <c r="L179" s="151"/>
      <c r="M179" s="151"/>
      <c r="N179" s="151"/>
      <c r="O179" s="151"/>
      <c r="P179" s="151"/>
      <c r="Q179" s="161"/>
      <c r="R179" s="153"/>
    </row>
    <row r="180" spans="1:18" s="154" customFormat="1" ht="17.100000000000001" customHeight="1" x14ac:dyDescent="0.25">
      <c r="A180" s="117"/>
      <c r="B180" s="141"/>
      <c r="C180" s="141"/>
      <c r="D180" s="141"/>
      <c r="E180" s="158"/>
      <c r="F180" s="157"/>
      <c r="G180" s="156"/>
      <c r="H180" s="149"/>
      <c r="I180" s="148"/>
      <c r="J180" s="157"/>
      <c r="K180" s="151"/>
      <c r="L180" s="151"/>
      <c r="M180" s="151"/>
      <c r="N180" s="151"/>
      <c r="O180" s="151"/>
      <c r="P180" s="151"/>
      <c r="Q180" s="161"/>
      <c r="R180" s="153"/>
    </row>
    <row r="181" spans="1:18" s="154" customFormat="1" ht="17.100000000000001" customHeight="1" x14ac:dyDescent="0.25">
      <c r="A181" s="117"/>
      <c r="B181" s="141"/>
      <c r="C181" s="141"/>
      <c r="D181" s="141"/>
      <c r="E181" s="158"/>
      <c r="F181" s="157"/>
      <c r="G181" s="156"/>
      <c r="H181" s="149"/>
      <c r="I181" s="148"/>
      <c r="J181" s="157"/>
      <c r="K181" s="151"/>
      <c r="L181" s="151"/>
      <c r="M181" s="151"/>
      <c r="N181" s="151"/>
      <c r="O181" s="151"/>
      <c r="P181" s="151"/>
      <c r="Q181" s="161"/>
      <c r="R181" s="153"/>
    </row>
    <row r="182" spans="1:18" s="154" customFormat="1" ht="17.100000000000001" customHeight="1" x14ac:dyDescent="0.25">
      <c r="A182" s="117"/>
      <c r="B182" s="141"/>
      <c r="C182" s="141"/>
      <c r="D182" s="141"/>
      <c r="E182" s="146"/>
      <c r="F182" s="157"/>
      <c r="G182" s="156"/>
      <c r="H182" s="149"/>
      <c r="I182" s="148"/>
      <c r="J182" s="157"/>
      <c r="K182" s="151"/>
      <c r="L182" s="151"/>
      <c r="M182" s="151"/>
      <c r="N182" s="151"/>
      <c r="O182" s="151"/>
      <c r="P182" s="151"/>
      <c r="Q182" s="161"/>
      <c r="R182" s="153"/>
    </row>
    <row r="183" spans="1:18" s="154" customFormat="1" ht="17.100000000000001" customHeight="1" x14ac:dyDescent="0.25">
      <c r="A183" s="117"/>
      <c r="B183" s="141"/>
      <c r="C183" s="141"/>
      <c r="D183" s="141"/>
      <c r="E183" s="158"/>
      <c r="F183" s="157"/>
      <c r="G183" s="156"/>
      <c r="H183" s="149"/>
      <c r="I183" s="148"/>
      <c r="J183" s="157"/>
      <c r="K183" s="151"/>
      <c r="L183" s="151"/>
      <c r="M183" s="151"/>
      <c r="N183" s="151"/>
      <c r="O183" s="151"/>
      <c r="P183" s="151"/>
      <c r="Q183" s="161"/>
      <c r="R183" s="153"/>
    </row>
    <row r="184" spans="1:18" s="154" customFormat="1" ht="17.100000000000001" customHeight="1" x14ac:dyDescent="0.25">
      <c r="A184" s="117"/>
      <c r="B184" s="141"/>
      <c r="C184" s="141"/>
      <c r="D184" s="141"/>
      <c r="E184" s="158"/>
      <c r="F184" s="157"/>
      <c r="G184" s="156"/>
      <c r="H184" s="149"/>
      <c r="I184" s="148"/>
      <c r="J184" s="157"/>
      <c r="K184" s="151"/>
      <c r="L184" s="151"/>
      <c r="M184" s="151"/>
      <c r="N184" s="151"/>
      <c r="O184" s="151"/>
      <c r="P184" s="151"/>
      <c r="Q184" s="161"/>
      <c r="R184" s="153"/>
    </row>
    <row r="185" spans="1:18" s="154" customFormat="1" ht="17.100000000000001" customHeight="1" x14ac:dyDescent="0.25">
      <c r="A185" s="119"/>
      <c r="B185" s="141"/>
      <c r="C185" s="141"/>
      <c r="D185" s="141"/>
      <c r="E185" s="158"/>
      <c r="F185" s="157"/>
      <c r="G185" s="156"/>
      <c r="H185" s="149"/>
      <c r="I185" s="148"/>
      <c r="J185" s="157"/>
      <c r="K185" s="151"/>
      <c r="L185" s="151"/>
      <c r="M185" s="151"/>
      <c r="N185" s="151"/>
      <c r="O185" s="151"/>
      <c r="P185" s="151"/>
      <c r="Q185" s="161"/>
      <c r="R185" s="153"/>
    </row>
    <row r="186" spans="1:18" s="154" customFormat="1" ht="17.100000000000001" customHeight="1" x14ac:dyDescent="0.25">
      <c r="A186" s="119"/>
      <c r="B186" s="141"/>
      <c r="C186" s="141"/>
      <c r="D186" s="141"/>
      <c r="E186" s="146"/>
      <c r="F186" s="157"/>
      <c r="G186" s="156"/>
      <c r="H186" s="149"/>
      <c r="I186" s="148"/>
      <c r="J186" s="157"/>
      <c r="K186" s="151"/>
      <c r="L186" s="151"/>
      <c r="M186" s="151"/>
      <c r="N186" s="151"/>
      <c r="O186" s="151"/>
      <c r="P186" s="151"/>
      <c r="Q186" s="161"/>
      <c r="R186" s="153"/>
    </row>
    <row r="187" spans="1:18" s="154" customFormat="1" ht="17.100000000000001" customHeight="1" x14ac:dyDescent="0.25">
      <c r="A187" s="119"/>
      <c r="B187" s="141"/>
      <c r="C187" s="141"/>
      <c r="D187" s="141"/>
      <c r="E187" s="146"/>
      <c r="F187" s="157"/>
      <c r="G187" s="156"/>
      <c r="H187" s="149"/>
      <c r="I187" s="148"/>
      <c r="J187" s="157"/>
      <c r="K187" s="151"/>
      <c r="L187" s="151"/>
      <c r="M187" s="151"/>
      <c r="N187" s="151"/>
      <c r="O187" s="151"/>
      <c r="P187" s="151"/>
      <c r="Q187" s="161"/>
      <c r="R187" s="153"/>
    </row>
    <row r="188" spans="1:18" s="154" customFormat="1" ht="17.100000000000001" customHeight="1" x14ac:dyDescent="0.25">
      <c r="A188" s="119"/>
      <c r="B188" s="141"/>
      <c r="C188" s="141"/>
      <c r="D188" s="141"/>
      <c r="E188" s="146"/>
      <c r="F188" s="157"/>
      <c r="G188" s="156"/>
      <c r="H188" s="149"/>
      <c r="I188" s="148"/>
      <c r="J188" s="157"/>
      <c r="K188" s="151"/>
      <c r="L188" s="151"/>
      <c r="M188" s="151"/>
      <c r="N188" s="151"/>
      <c r="O188" s="151"/>
      <c r="P188" s="151"/>
      <c r="Q188" s="161"/>
      <c r="R188" s="153"/>
    </row>
    <row r="189" spans="1:18" s="154" customFormat="1" ht="17.100000000000001" customHeight="1" x14ac:dyDescent="0.25">
      <c r="A189" s="119"/>
      <c r="B189" s="141"/>
      <c r="C189" s="141"/>
      <c r="D189" s="141"/>
      <c r="E189" s="146"/>
      <c r="F189" s="157"/>
      <c r="G189" s="156"/>
      <c r="H189" s="149"/>
      <c r="I189" s="148"/>
      <c r="J189" s="157"/>
      <c r="K189" s="151"/>
      <c r="L189" s="151"/>
      <c r="M189" s="151"/>
      <c r="N189" s="151"/>
      <c r="O189" s="151"/>
      <c r="P189" s="151"/>
      <c r="Q189" s="161"/>
      <c r="R189" s="153"/>
    </row>
    <row r="190" spans="1:18" s="154" customFormat="1" ht="17.100000000000001" customHeight="1" x14ac:dyDescent="0.25">
      <c r="A190" s="117"/>
      <c r="B190" s="141"/>
      <c r="C190" s="141"/>
      <c r="D190" s="141"/>
      <c r="E190" s="146"/>
      <c r="F190" s="157"/>
      <c r="G190" s="156"/>
      <c r="H190" s="149"/>
      <c r="I190" s="148"/>
      <c r="J190" s="157"/>
      <c r="K190" s="151"/>
      <c r="L190" s="151"/>
      <c r="M190" s="151"/>
      <c r="N190" s="151"/>
      <c r="O190" s="151"/>
      <c r="P190" s="151"/>
      <c r="Q190" s="161"/>
      <c r="R190" s="153"/>
    </row>
    <row r="191" spans="1:18" s="154" customFormat="1" ht="17.100000000000001" customHeight="1" x14ac:dyDescent="0.25">
      <c r="A191" s="119"/>
      <c r="B191" s="141"/>
      <c r="C191" s="141"/>
      <c r="D191" s="141"/>
      <c r="E191" s="146"/>
      <c r="F191" s="157"/>
      <c r="G191" s="156"/>
      <c r="H191" s="149"/>
      <c r="I191" s="148"/>
      <c r="J191" s="157"/>
      <c r="K191" s="151"/>
      <c r="L191" s="151"/>
      <c r="M191" s="151"/>
      <c r="N191" s="151"/>
      <c r="O191" s="151"/>
      <c r="P191" s="151"/>
      <c r="Q191" s="161"/>
      <c r="R191" s="153"/>
    </row>
    <row r="192" spans="1:18" ht="17.100000000000001" customHeight="1" thickBot="1" x14ac:dyDescent="0.3">
      <c r="A192" s="118"/>
      <c r="B192" s="116"/>
      <c r="C192" s="116"/>
      <c r="D192" s="116"/>
      <c r="E192" s="137"/>
      <c r="F192" s="130"/>
      <c r="G192" s="121"/>
      <c r="H192" s="133"/>
      <c r="I192" s="124"/>
      <c r="J192" s="135"/>
      <c r="K192" s="120"/>
      <c r="L192" s="122"/>
      <c r="M192" s="122"/>
      <c r="N192" s="122"/>
      <c r="O192" s="122"/>
      <c r="P192" s="122"/>
      <c r="Q192" s="125"/>
    </row>
    <row r="193" spans="7:7" ht="17.100000000000001" customHeight="1" x14ac:dyDescent="0.25">
      <c r="G193" s="112"/>
    </row>
  </sheetData>
  <conditionalFormatting sqref="B1">
    <cfRule type="duplicateValues" dxfId="360" priority="1255"/>
  </conditionalFormatting>
  <conditionalFormatting sqref="A192:A1048576 A1">
    <cfRule type="duplicateValues" dxfId="359" priority="1254"/>
  </conditionalFormatting>
  <conditionalFormatting sqref="E1:E1048576">
    <cfRule type="cellIs" dxfId="358" priority="309" operator="equal">
      <formula>"1/0/1900"</formula>
    </cfRule>
  </conditionalFormatting>
  <conditionalFormatting sqref="F1:K1048576">
    <cfRule type="cellIs" dxfId="357" priority="306" operator="lessThan">
      <formula>0</formula>
    </cfRule>
  </conditionalFormatting>
  <conditionalFormatting sqref="B116">
    <cfRule type="duplicateValues" dxfId="356" priority="96"/>
  </conditionalFormatting>
  <conditionalFormatting sqref="A116">
    <cfRule type="duplicateValues" dxfId="355" priority="95"/>
  </conditionalFormatting>
  <conditionalFormatting sqref="A117">
    <cfRule type="duplicateValues" dxfId="354" priority="93"/>
  </conditionalFormatting>
  <conditionalFormatting sqref="B117">
    <cfRule type="duplicateValues" dxfId="353" priority="94"/>
  </conditionalFormatting>
  <conditionalFormatting sqref="A86">
    <cfRule type="duplicateValues" dxfId="352" priority="60"/>
  </conditionalFormatting>
  <conditionalFormatting sqref="B86">
    <cfRule type="duplicateValues" dxfId="351" priority="61"/>
  </conditionalFormatting>
  <conditionalFormatting sqref="B94">
    <cfRule type="duplicateValues" dxfId="350" priority="48"/>
  </conditionalFormatting>
  <conditionalFormatting sqref="A134 A101:A132">
    <cfRule type="duplicateValues" dxfId="349" priority="113"/>
  </conditionalFormatting>
  <conditionalFormatting sqref="A114:B120 A101:B103">
    <cfRule type="duplicateValues" dxfId="348" priority="110"/>
  </conditionalFormatting>
  <conditionalFormatting sqref="A114:A120 A101:A103">
    <cfRule type="duplicateValues" dxfId="347" priority="111"/>
  </conditionalFormatting>
  <conditionalFormatting sqref="B114:B120 B101:B103">
    <cfRule type="duplicateValues" dxfId="346" priority="112"/>
  </conditionalFormatting>
  <conditionalFormatting sqref="A118:B120 A101:B103">
    <cfRule type="duplicateValues" dxfId="345" priority="109"/>
  </conditionalFormatting>
  <conditionalFormatting sqref="B104">
    <cfRule type="duplicateValues" dxfId="344" priority="108"/>
  </conditionalFormatting>
  <conditionalFormatting sqref="A109:B109">
    <cfRule type="duplicateValues" dxfId="343" priority="105"/>
  </conditionalFormatting>
  <conditionalFormatting sqref="A109">
    <cfRule type="duplicateValues" dxfId="342" priority="104"/>
  </conditionalFormatting>
  <conditionalFormatting sqref="B109">
    <cfRule type="duplicateValues" dxfId="341" priority="103"/>
  </conditionalFormatting>
  <conditionalFormatting sqref="A109">
    <cfRule type="duplicateValues" dxfId="340" priority="106"/>
  </conditionalFormatting>
  <conditionalFormatting sqref="B109">
    <cfRule type="duplicateValues" dxfId="339" priority="107"/>
  </conditionalFormatting>
  <conditionalFormatting sqref="B113">
    <cfRule type="duplicateValues" dxfId="338" priority="102"/>
  </conditionalFormatting>
  <conditionalFormatting sqref="A113">
    <cfRule type="duplicateValues" dxfId="337" priority="101"/>
  </conditionalFormatting>
  <conditionalFormatting sqref="A114">
    <cfRule type="duplicateValues" dxfId="336" priority="99"/>
  </conditionalFormatting>
  <conditionalFormatting sqref="B114">
    <cfRule type="duplicateValues" dxfId="335" priority="100"/>
  </conditionalFormatting>
  <conditionalFormatting sqref="B115">
    <cfRule type="duplicateValues" dxfId="334" priority="98"/>
  </conditionalFormatting>
  <conditionalFormatting sqref="A115">
    <cfRule type="duplicateValues" dxfId="333" priority="97"/>
  </conditionalFormatting>
  <conditionalFormatting sqref="B124 B121:B122">
    <cfRule type="duplicateValues" dxfId="332" priority="92"/>
  </conditionalFormatting>
  <conditionalFormatting sqref="B124">
    <cfRule type="duplicateValues" dxfId="331" priority="91"/>
  </conditionalFormatting>
  <conditionalFormatting sqref="A124">
    <cfRule type="duplicateValues" dxfId="330" priority="90"/>
  </conditionalFormatting>
  <conditionalFormatting sqref="A123:B123">
    <cfRule type="duplicateValues" dxfId="329" priority="85"/>
  </conditionalFormatting>
  <conditionalFormatting sqref="A123">
    <cfRule type="duplicateValues" dxfId="328" priority="86"/>
  </conditionalFormatting>
  <conditionalFormatting sqref="B123">
    <cfRule type="duplicateValues" dxfId="327" priority="87"/>
  </conditionalFormatting>
  <conditionalFormatting sqref="B123">
    <cfRule type="duplicateValues" dxfId="326" priority="88"/>
  </conditionalFormatting>
  <conditionalFormatting sqref="A123">
    <cfRule type="duplicateValues" dxfId="325" priority="89"/>
  </conditionalFormatting>
  <conditionalFormatting sqref="B123">
    <cfRule type="duplicateValues" dxfId="324" priority="84"/>
  </conditionalFormatting>
  <conditionalFormatting sqref="B123">
    <cfRule type="duplicateValues" dxfId="323" priority="83"/>
  </conditionalFormatting>
  <conditionalFormatting sqref="B123">
    <cfRule type="duplicateValues" dxfId="322" priority="82"/>
  </conditionalFormatting>
  <conditionalFormatting sqref="B125:B126">
    <cfRule type="duplicateValues" dxfId="321" priority="81"/>
  </conditionalFormatting>
  <conditionalFormatting sqref="A125:A126">
    <cfRule type="duplicateValues" dxfId="320" priority="80"/>
  </conditionalFormatting>
  <conditionalFormatting sqref="B127:B130">
    <cfRule type="duplicateValues" dxfId="319" priority="78"/>
  </conditionalFormatting>
  <conditionalFormatting sqref="A127:A130">
    <cfRule type="duplicateValues" dxfId="318" priority="79"/>
  </conditionalFormatting>
  <conditionalFormatting sqref="A134 A131:A132">
    <cfRule type="duplicateValues" dxfId="317" priority="76"/>
    <cfRule type="duplicateValues" dxfId="316" priority="77"/>
  </conditionalFormatting>
  <conditionalFormatting sqref="B133">
    <cfRule type="duplicateValues" dxfId="315" priority="75"/>
  </conditionalFormatting>
  <conditionalFormatting sqref="B134">
    <cfRule type="duplicateValues" dxfId="314" priority="74"/>
  </conditionalFormatting>
  <conditionalFormatting sqref="B135">
    <cfRule type="duplicateValues" dxfId="313" priority="73"/>
  </conditionalFormatting>
  <conditionalFormatting sqref="B136">
    <cfRule type="duplicateValues" dxfId="312" priority="72"/>
  </conditionalFormatting>
  <conditionalFormatting sqref="B110:B112 B108">
    <cfRule type="duplicateValues" dxfId="311" priority="114"/>
  </conditionalFormatting>
  <conditionalFormatting sqref="A110:A112 A108">
    <cfRule type="duplicateValues" dxfId="310" priority="115"/>
  </conditionalFormatting>
  <conditionalFormatting sqref="B110:B112">
    <cfRule type="duplicateValues" dxfId="309" priority="116"/>
  </conditionalFormatting>
  <conditionalFormatting sqref="B101:B103">
    <cfRule type="duplicateValues" dxfId="308" priority="117"/>
  </conditionalFormatting>
  <conditionalFormatting sqref="A101:A103">
    <cfRule type="duplicateValues" dxfId="307" priority="118"/>
  </conditionalFormatting>
  <conditionalFormatting sqref="B70">
    <cfRule type="duplicateValues" dxfId="306" priority="36"/>
  </conditionalFormatting>
  <conditionalFormatting sqref="A89:B89 A52:B69 A71:B83 A70">
    <cfRule type="duplicateValues" dxfId="305" priority="68"/>
  </conditionalFormatting>
  <conditionalFormatting sqref="A83">
    <cfRule type="duplicateValues" dxfId="304" priority="66"/>
  </conditionalFormatting>
  <conditionalFormatting sqref="B83">
    <cfRule type="duplicateValues" dxfId="303" priority="67"/>
  </conditionalFormatting>
  <conditionalFormatting sqref="A84">
    <cfRule type="duplicateValues" dxfId="302" priority="64"/>
  </conditionalFormatting>
  <conditionalFormatting sqref="B84">
    <cfRule type="duplicateValues" dxfId="301" priority="65"/>
  </conditionalFormatting>
  <conditionalFormatting sqref="A85">
    <cfRule type="duplicateValues" dxfId="300" priority="62"/>
  </conditionalFormatting>
  <conditionalFormatting sqref="B85">
    <cfRule type="duplicateValues" dxfId="299" priority="63"/>
  </conditionalFormatting>
  <conditionalFormatting sqref="B88">
    <cfRule type="duplicateValues" dxfId="298" priority="59"/>
  </conditionalFormatting>
  <conditionalFormatting sqref="A87:A88">
    <cfRule type="duplicateValues" dxfId="297" priority="58"/>
  </conditionalFormatting>
  <conditionalFormatting sqref="B90">
    <cfRule type="duplicateValues" dxfId="296" priority="57"/>
  </conditionalFormatting>
  <conditionalFormatting sqref="A90">
    <cfRule type="duplicateValues" dxfId="295" priority="56"/>
  </conditionalFormatting>
  <conditionalFormatting sqref="A93">
    <cfRule type="duplicateValues" dxfId="294" priority="55"/>
  </conditionalFormatting>
  <conditionalFormatting sqref="A91">
    <cfRule type="duplicateValues" dxfId="293" priority="53"/>
  </conditionalFormatting>
  <conditionalFormatting sqref="B91">
    <cfRule type="duplicateValues" dxfId="292" priority="54"/>
  </conditionalFormatting>
  <conditionalFormatting sqref="A92">
    <cfRule type="duplicateValues" dxfId="291" priority="51"/>
  </conditionalFormatting>
  <conditionalFormatting sqref="B92">
    <cfRule type="duplicateValues" dxfId="290" priority="52"/>
  </conditionalFormatting>
  <conditionalFormatting sqref="B93">
    <cfRule type="duplicateValues" dxfId="289" priority="50"/>
  </conditionalFormatting>
  <conditionalFormatting sqref="A94">
    <cfRule type="duplicateValues" dxfId="288" priority="49"/>
  </conditionalFormatting>
  <conditionalFormatting sqref="B95">
    <cfRule type="duplicateValues" dxfId="287" priority="47"/>
  </conditionalFormatting>
  <conditionalFormatting sqref="A95">
    <cfRule type="duplicateValues" dxfId="286" priority="46"/>
  </conditionalFormatting>
  <conditionalFormatting sqref="A96">
    <cfRule type="duplicateValues" dxfId="285" priority="44"/>
  </conditionalFormatting>
  <conditionalFormatting sqref="B96">
    <cfRule type="duplicateValues" dxfId="284" priority="45"/>
  </conditionalFormatting>
  <conditionalFormatting sqref="A73:A74">
    <cfRule type="duplicateValues" dxfId="283" priority="42"/>
    <cfRule type="duplicateValues" dxfId="282" priority="43"/>
  </conditionalFormatting>
  <conditionalFormatting sqref="B70">
    <cfRule type="duplicateValues" dxfId="281" priority="38"/>
  </conditionalFormatting>
  <conditionalFormatting sqref="B70">
    <cfRule type="duplicateValues" dxfId="280" priority="37"/>
  </conditionalFormatting>
  <conditionalFormatting sqref="B70">
    <cfRule type="duplicateValues" dxfId="279" priority="39"/>
    <cfRule type="duplicateValues" dxfId="278" priority="40"/>
  </conditionalFormatting>
  <conditionalFormatting sqref="B70">
    <cfRule type="duplicateValues" dxfId="277" priority="41"/>
  </conditionalFormatting>
  <conditionalFormatting sqref="B87">
    <cfRule type="duplicateValues" dxfId="276" priority="32"/>
  </conditionalFormatting>
  <conditionalFormatting sqref="B87">
    <cfRule type="duplicateValues" dxfId="275" priority="31"/>
  </conditionalFormatting>
  <conditionalFormatting sqref="B87">
    <cfRule type="duplicateValues" dxfId="274" priority="33"/>
    <cfRule type="duplicateValues" dxfId="273" priority="34"/>
  </conditionalFormatting>
  <conditionalFormatting sqref="B87">
    <cfRule type="duplicateValues" dxfId="272" priority="35"/>
  </conditionalFormatting>
  <conditionalFormatting sqref="B31">
    <cfRule type="duplicateValues" dxfId="271" priority="69"/>
  </conditionalFormatting>
  <conditionalFormatting sqref="B31">
    <cfRule type="duplicateValues" dxfId="270" priority="70"/>
    <cfRule type="duplicateValues" dxfId="269" priority="71"/>
  </conditionalFormatting>
  <conditionalFormatting sqref="B100">
    <cfRule type="duplicateValues" dxfId="268" priority="23"/>
  </conditionalFormatting>
  <conditionalFormatting sqref="A100">
    <cfRule type="duplicateValues" dxfId="267" priority="22"/>
  </conditionalFormatting>
  <conditionalFormatting sqref="A100:B100">
    <cfRule type="duplicateValues" dxfId="266" priority="19"/>
  </conditionalFormatting>
  <conditionalFormatting sqref="A100">
    <cfRule type="duplicateValues" dxfId="265" priority="20"/>
  </conditionalFormatting>
  <conditionalFormatting sqref="B100">
    <cfRule type="duplicateValues" dxfId="264" priority="21"/>
  </conditionalFormatting>
  <conditionalFormatting sqref="A100:B100">
    <cfRule type="duplicateValues" dxfId="263" priority="18"/>
  </conditionalFormatting>
  <conditionalFormatting sqref="A100">
    <cfRule type="duplicateValues" dxfId="262" priority="17"/>
  </conditionalFormatting>
  <conditionalFormatting sqref="B100">
    <cfRule type="duplicateValues" dxfId="261" priority="24"/>
    <cfRule type="duplicateValues" dxfId="260" priority="25"/>
  </conditionalFormatting>
  <conditionalFormatting sqref="B100">
    <cfRule type="duplicateValues" dxfId="259" priority="26"/>
    <cfRule type="duplicateValues" dxfId="258" priority="27"/>
  </conditionalFormatting>
  <conditionalFormatting sqref="B100">
    <cfRule type="duplicateValues" dxfId="257" priority="28"/>
  </conditionalFormatting>
  <conditionalFormatting sqref="B100">
    <cfRule type="duplicateValues" dxfId="256" priority="29"/>
  </conditionalFormatting>
  <conditionalFormatting sqref="A100">
    <cfRule type="duplicateValues" dxfId="255" priority="30"/>
  </conditionalFormatting>
  <conditionalFormatting sqref="A184">
    <cfRule type="duplicateValues" dxfId="254" priority="15"/>
  </conditionalFormatting>
  <conditionalFormatting sqref="B184">
    <cfRule type="duplicateValues" dxfId="253" priority="16"/>
  </conditionalFormatting>
  <conditionalFormatting sqref="A183">
    <cfRule type="duplicateValues" dxfId="252" priority="13"/>
  </conditionalFormatting>
  <conditionalFormatting sqref="B183">
    <cfRule type="duplicateValues" dxfId="251" priority="14"/>
  </conditionalFormatting>
  <conditionalFormatting sqref="A97:B99">
    <cfRule type="duplicateValues" dxfId="250" priority="119"/>
  </conditionalFormatting>
  <conditionalFormatting sqref="B97:B99">
    <cfRule type="duplicateValues" dxfId="249" priority="120"/>
  </conditionalFormatting>
  <conditionalFormatting sqref="A97:A99">
    <cfRule type="duplicateValues" dxfId="248" priority="121"/>
  </conditionalFormatting>
  <conditionalFormatting sqref="A91:B99">
    <cfRule type="duplicateValues" dxfId="247" priority="122"/>
  </conditionalFormatting>
  <conditionalFormatting sqref="A91:A99">
    <cfRule type="duplicateValues" dxfId="246" priority="123"/>
  </conditionalFormatting>
  <conditionalFormatting sqref="B91:B99">
    <cfRule type="duplicateValues" dxfId="245" priority="124"/>
  </conditionalFormatting>
  <conditionalFormatting sqref="B91:B99">
    <cfRule type="duplicateValues" dxfId="244" priority="125"/>
    <cfRule type="duplicateValues" dxfId="243" priority="126"/>
  </conditionalFormatting>
  <conditionalFormatting sqref="B88:B99 B71:B86 B2:B30 B32:B69">
    <cfRule type="duplicateValues" dxfId="242" priority="127"/>
  </conditionalFormatting>
  <conditionalFormatting sqref="B88:B99 B71:B86 B2:B30 B32:B69">
    <cfRule type="duplicateValues" dxfId="241" priority="128"/>
    <cfRule type="duplicateValues" dxfId="240" priority="129"/>
  </conditionalFormatting>
  <conditionalFormatting sqref="A176:A182">
    <cfRule type="duplicateValues" dxfId="239" priority="130"/>
  </conditionalFormatting>
  <conditionalFormatting sqref="B176:B182">
    <cfRule type="duplicateValues" dxfId="238" priority="131"/>
  </conditionalFormatting>
  <conditionalFormatting sqref="A185">
    <cfRule type="duplicateValues" dxfId="237" priority="11"/>
  </conditionalFormatting>
  <conditionalFormatting sqref="B185">
    <cfRule type="duplicateValues" dxfId="236" priority="12"/>
  </conditionalFormatting>
  <conditionalFormatting sqref="A187">
    <cfRule type="duplicateValues" dxfId="235" priority="9"/>
  </conditionalFormatting>
  <conditionalFormatting sqref="B187">
    <cfRule type="duplicateValues" dxfId="234" priority="10"/>
  </conditionalFormatting>
  <conditionalFormatting sqref="B131:B132 B101:B126">
    <cfRule type="duplicateValues" dxfId="233" priority="132"/>
  </conditionalFormatting>
  <conditionalFormatting sqref="B131:B132">
    <cfRule type="duplicateValues" dxfId="232" priority="133"/>
  </conditionalFormatting>
  <conditionalFormatting sqref="B104:B106">
    <cfRule type="duplicateValues" dxfId="231" priority="134"/>
  </conditionalFormatting>
  <conditionalFormatting sqref="A104:A106">
    <cfRule type="duplicateValues" dxfId="230" priority="135"/>
  </conditionalFormatting>
  <conditionalFormatting sqref="B156:B168 B146:B154 B137:B144">
    <cfRule type="duplicateValues" dxfId="229" priority="136"/>
  </conditionalFormatting>
  <conditionalFormatting sqref="B121:B122">
    <cfRule type="duplicateValues" dxfId="228" priority="137"/>
  </conditionalFormatting>
  <conditionalFormatting sqref="A121:A122">
    <cfRule type="duplicateValues" dxfId="227" priority="138"/>
  </conditionalFormatting>
  <conditionalFormatting sqref="B71:B81 B52:B69">
    <cfRule type="duplicateValues" dxfId="226" priority="139"/>
  </conditionalFormatting>
  <conditionalFormatting sqref="B2:B30">
    <cfRule type="duplicateValues" dxfId="225" priority="140"/>
  </conditionalFormatting>
  <conditionalFormatting sqref="B107">
    <cfRule type="duplicateValues" dxfId="224" priority="141"/>
  </conditionalFormatting>
  <conditionalFormatting sqref="A107">
    <cfRule type="duplicateValues" dxfId="223" priority="142"/>
  </conditionalFormatting>
  <conditionalFormatting sqref="B104:B107">
    <cfRule type="duplicateValues" dxfId="222" priority="143"/>
  </conditionalFormatting>
  <conditionalFormatting sqref="B101:B124">
    <cfRule type="duplicateValues" dxfId="221" priority="144"/>
    <cfRule type="duplicateValues" dxfId="220" priority="145"/>
  </conditionalFormatting>
  <conditionalFormatting sqref="B101:B132">
    <cfRule type="duplicateValues" dxfId="219" priority="146"/>
    <cfRule type="duplicateValues" dxfId="218" priority="147"/>
  </conditionalFormatting>
  <conditionalFormatting sqref="B101:B136">
    <cfRule type="duplicateValues" dxfId="217" priority="148"/>
  </conditionalFormatting>
  <conditionalFormatting sqref="A156:A168 A146:A154 A101:A144">
    <cfRule type="duplicateValues" dxfId="216" priority="149"/>
  </conditionalFormatting>
  <conditionalFormatting sqref="B145">
    <cfRule type="duplicateValues" dxfId="215" priority="7"/>
  </conditionalFormatting>
  <conditionalFormatting sqref="A145">
    <cfRule type="duplicateValues" dxfId="214" priority="8"/>
  </conditionalFormatting>
  <conditionalFormatting sqref="B155">
    <cfRule type="duplicateValues" dxfId="213" priority="5"/>
  </conditionalFormatting>
  <conditionalFormatting sqref="A155">
    <cfRule type="duplicateValues" dxfId="212" priority="6"/>
  </conditionalFormatting>
  <conditionalFormatting sqref="A169:A175">
    <cfRule type="duplicateValues" dxfId="211" priority="150"/>
  </conditionalFormatting>
  <conditionalFormatting sqref="B169:B175">
    <cfRule type="duplicateValues" dxfId="210" priority="151"/>
  </conditionalFormatting>
  <conditionalFormatting sqref="A188">
    <cfRule type="duplicateValues" dxfId="209" priority="3"/>
  </conditionalFormatting>
  <conditionalFormatting sqref="B188">
    <cfRule type="duplicateValues" dxfId="208" priority="4"/>
  </conditionalFormatting>
  <conditionalFormatting sqref="A190">
    <cfRule type="duplicateValues" dxfId="207" priority="1"/>
  </conditionalFormatting>
  <conditionalFormatting sqref="B190">
    <cfRule type="duplicateValues" dxfId="206" priority="2"/>
  </conditionalFormatting>
  <conditionalFormatting sqref="B32:B51 B2:B30">
    <cfRule type="duplicateValues" dxfId="205" priority="152"/>
  </conditionalFormatting>
  <conditionalFormatting sqref="A2:A51">
    <cfRule type="duplicateValues" dxfId="204" priority="153"/>
    <cfRule type="duplicateValues" dxfId="203" priority="154"/>
  </conditionalFormatting>
  <conditionalFormatting sqref="A52:A81">
    <cfRule type="duplicateValues" dxfId="202" priority="155"/>
  </conditionalFormatting>
  <conditionalFormatting sqref="A2:A99">
    <cfRule type="duplicateValues" dxfId="201" priority="156"/>
  </conditionalFormatting>
  <pageMargins left="0.7" right="0.7" top="0.75" bottom="0.75" header="0.3" footer="0.3"/>
  <pageSetup orientation="portrait" r:id="rId1"/>
  <customProperties>
    <customPr name="_pios_id" r:id="rId2"/>
  </customProperties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D87AD-584A-4166-A134-351190D93931}">
  <sheetPr codeName="Sheet2"/>
  <dimension ref="A1:F191"/>
  <sheetViews>
    <sheetView zoomScale="85" zoomScaleNormal="85" workbookViewId="0"/>
  </sheetViews>
  <sheetFormatPr defaultRowHeight="15" x14ac:dyDescent="0.25"/>
  <cols>
    <col min="1" max="1" width="119.140625" bestFit="1" customWidth="1"/>
    <col min="2" max="2" width="39.28515625" bestFit="1" customWidth="1"/>
    <col min="6" max="6" width="121" bestFit="1" customWidth="1"/>
  </cols>
  <sheetData>
    <row r="1" spans="1:6" s="93" customFormat="1" x14ac:dyDescent="0.25">
      <c r="A1" s="93" t="s">
        <v>573</v>
      </c>
      <c r="B1" s="93" t="s">
        <v>574</v>
      </c>
    </row>
    <row r="2" spans="1:6" x14ac:dyDescent="0.25">
      <c r="A2" t="s">
        <v>778</v>
      </c>
      <c r="B2" t="str">
        <f>IF(ISERROR(VLOOKUP(A2, PULL_UPDATES!A:A, 1, FALSE)), "NOT PRESENT in Vendor Summary Log tab", "Present in Vendor Summary Log tab")</f>
        <v>NOT PRESENT in Vendor Summary Log tab</v>
      </c>
      <c r="F2" s="126" t="s">
        <v>567</v>
      </c>
    </row>
    <row r="3" spans="1:6" x14ac:dyDescent="0.25">
      <c r="A3" t="s">
        <v>579</v>
      </c>
      <c r="B3" s="93" t="str">
        <f>IF(ISERROR(VLOOKUP(A3, PULL_UPDATES!A:A, 1, FALSE)), "NOT PRESENT in Vendor Summary Log tab", "Present in Vendor Summary Log tab")</f>
        <v>NOT PRESENT in Vendor Summary Log tab</v>
      </c>
      <c r="F3" t="s">
        <v>565</v>
      </c>
    </row>
    <row r="4" spans="1:6" x14ac:dyDescent="0.25">
      <c r="A4" t="s">
        <v>701</v>
      </c>
      <c r="B4" s="93" t="str">
        <f>IF(ISERROR(VLOOKUP(A4, PULL_UPDATES!A:A, 1, FALSE)), "NOT PRESENT in Vendor Summary Log tab", "Present in Vendor Summary Log tab")</f>
        <v>NOT PRESENT in Vendor Summary Log tab</v>
      </c>
      <c r="F4" t="s">
        <v>566</v>
      </c>
    </row>
    <row r="5" spans="1:6" x14ac:dyDescent="0.25">
      <c r="A5" t="s">
        <v>580</v>
      </c>
      <c r="B5" s="93" t="str">
        <f>IF(ISERROR(VLOOKUP(A5, PULL_UPDATES!A:A, 1, FALSE)), "NOT PRESENT in Vendor Summary Log tab", "Present in Vendor Summary Log tab")</f>
        <v>NOT PRESENT in Vendor Summary Log tab</v>
      </c>
      <c r="F5" t="s">
        <v>694</v>
      </c>
    </row>
    <row r="6" spans="1:6" x14ac:dyDescent="0.25">
      <c r="A6" t="s">
        <v>581</v>
      </c>
      <c r="B6" s="93" t="str">
        <f>IF(ISERROR(VLOOKUP(A6, PULL_UPDATES!A:A, 1, FALSE)), "NOT PRESENT in Vendor Summary Log tab", "Present in Vendor Summary Log tab")</f>
        <v>NOT PRESENT in Vendor Summary Log tab</v>
      </c>
      <c r="F6" s="128" t="s">
        <v>777</v>
      </c>
    </row>
    <row r="7" spans="1:6" x14ac:dyDescent="0.25">
      <c r="A7" t="s">
        <v>582</v>
      </c>
      <c r="B7" s="93" t="str">
        <f>IF(ISERROR(VLOOKUP(A7, PULL_UPDATES!A:A, 1, FALSE)), "NOT PRESENT in Vendor Summary Log tab", "Present in Vendor Summary Log tab")</f>
        <v>NOT PRESENT in Vendor Summary Log tab</v>
      </c>
      <c r="F7" t="s">
        <v>696</v>
      </c>
    </row>
    <row r="8" spans="1:6" x14ac:dyDescent="0.25">
      <c r="A8" t="s">
        <v>583</v>
      </c>
      <c r="B8" s="93" t="str">
        <f>IF(ISERROR(VLOOKUP(A8, PULL_UPDATES!A:A, 1, FALSE)), "NOT PRESENT in Vendor Summary Log tab", "Present in Vendor Summary Log tab")</f>
        <v>NOT PRESENT in Vendor Summary Log tab</v>
      </c>
      <c r="F8" t="s">
        <v>695</v>
      </c>
    </row>
    <row r="9" spans="1:6" x14ac:dyDescent="0.25">
      <c r="A9" t="s">
        <v>717</v>
      </c>
      <c r="B9" s="93" t="str">
        <f>IF(ISERROR(VLOOKUP(A9, PULL_UPDATES!A:A, 1, FALSE)), "NOT PRESENT in Vendor Summary Log tab", "Present in Vendor Summary Log tab")</f>
        <v>NOT PRESENT in Vendor Summary Log tab</v>
      </c>
    </row>
    <row r="10" spans="1:6" x14ac:dyDescent="0.25">
      <c r="A10" t="s">
        <v>745</v>
      </c>
      <c r="B10" s="93" t="str">
        <f>IF(ISERROR(VLOOKUP(A10, PULL_UPDATES!A:A, 1, FALSE)), "NOT PRESENT in Vendor Summary Log tab", "Present in Vendor Summary Log tab")</f>
        <v>NOT PRESENT in Vendor Summary Log tab</v>
      </c>
      <c r="F10" t="s">
        <v>568</v>
      </c>
    </row>
    <row r="11" spans="1:6" x14ac:dyDescent="0.25">
      <c r="A11" t="s">
        <v>584</v>
      </c>
      <c r="B11" s="93" t="str">
        <f>IF(ISERROR(VLOOKUP(A11, PULL_UPDATES!A:A, 1, FALSE)), "NOT PRESENT in Vendor Summary Log tab", "Present in Vendor Summary Log tab")</f>
        <v>NOT PRESENT in Vendor Summary Log tab</v>
      </c>
      <c r="F11" t="s">
        <v>569</v>
      </c>
    </row>
    <row r="12" spans="1:6" x14ac:dyDescent="0.25">
      <c r="A12" t="s">
        <v>716</v>
      </c>
      <c r="B12" s="93" t="str">
        <f>IF(ISERROR(VLOOKUP(A12, PULL_UPDATES!A:A, 1, FALSE)), "NOT PRESENT in Vendor Summary Log tab", "Present in Vendor Summary Log tab")</f>
        <v>NOT PRESENT in Vendor Summary Log tab</v>
      </c>
      <c r="F12" t="s">
        <v>570</v>
      </c>
    </row>
    <row r="13" spans="1:6" x14ac:dyDescent="0.25">
      <c r="A13" s="139" t="s">
        <v>585</v>
      </c>
      <c r="B13" s="93" t="str">
        <f>IF(ISERROR(VLOOKUP(A13, PULL_UPDATES!A:A, 1, FALSE)), "NOT PRESENT in Vendor Summary Log tab", "Present in Vendor Summary Log tab")</f>
        <v>NOT PRESENT in Vendor Summary Log tab</v>
      </c>
      <c r="F13" t="s">
        <v>571</v>
      </c>
    </row>
    <row r="14" spans="1:6" x14ac:dyDescent="0.25">
      <c r="A14" s="139" t="s">
        <v>586</v>
      </c>
      <c r="B14" s="93" t="str">
        <f>IF(ISERROR(VLOOKUP(A14, PULL_UPDATES!A:A, 1, FALSE)), "NOT PRESENT in Vendor Summary Log tab", "Present in Vendor Summary Log tab")</f>
        <v>NOT PRESENT in Vendor Summary Log tab</v>
      </c>
    </row>
    <row r="15" spans="1:6" x14ac:dyDescent="0.25">
      <c r="A15" s="139" t="s">
        <v>725</v>
      </c>
      <c r="B15" s="93" t="str">
        <f>IF(ISERROR(VLOOKUP(A15, PULL_UPDATES!A:A, 1, FALSE)), "NOT PRESENT in Vendor Summary Log tab", "Present in Vendor Summary Log tab")</f>
        <v>NOT PRESENT in Vendor Summary Log tab</v>
      </c>
      <c r="F15" s="126" t="s">
        <v>699</v>
      </c>
    </row>
    <row r="16" spans="1:6" x14ac:dyDescent="0.25">
      <c r="A16" s="139" t="s">
        <v>746</v>
      </c>
      <c r="B16" s="93" t="str">
        <f>IF(ISERROR(VLOOKUP(A16, PULL_UPDATES!A:A, 1, FALSE)), "NOT PRESENT in Vendor Summary Log tab", "Present in Vendor Summary Log tab")</f>
        <v>NOT PRESENT in Vendor Summary Log tab</v>
      </c>
      <c r="F16" s="126" t="s">
        <v>705</v>
      </c>
    </row>
    <row r="17" spans="1:2" x14ac:dyDescent="0.25">
      <c r="A17" s="139" t="s">
        <v>587</v>
      </c>
      <c r="B17" s="93" t="str">
        <f>IF(ISERROR(VLOOKUP(A17, PULL_UPDATES!A:A, 1, FALSE)), "NOT PRESENT in Vendor Summary Log tab", "Present in Vendor Summary Log tab")</f>
        <v>NOT PRESENT in Vendor Summary Log tab</v>
      </c>
    </row>
    <row r="18" spans="1:2" x14ac:dyDescent="0.25">
      <c r="A18" s="139" t="s">
        <v>588</v>
      </c>
      <c r="B18" s="93" t="str">
        <f>IF(ISERROR(VLOOKUP(A18, PULL_UPDATES!A:A, 1, FALSE)), "NOT PRESENT in Vendor Summary Log tab", "Present in Vendor Summary Log tab")</f>
        <v>NOT PRESENT in Vendor Summary Log tab</v>
      </c>
    </row>
    <row r="19" spans="1:2" x14ac:dyDescent="0.25">
      <c r="A19" s="139" t="s">
        <v>589</v>
      </c>
      <c r="B19" s="93" t="str">
        <f>IF(ISERROR(VLOOKUP(A19, PULL_UPDATES!A:A, 1, FALSE)), "NOT PRESENT in Vendor Summary Log tab", "Present in Vendor Summary Log tab")</f>
        <v>NOT PRESENT in Vendor Summary Log tab</v>
      </c>
    </row>
    <row r="20" spans="1:2" x14ac:dyDescent="0.25">
      <c r="A20" s="139" t="s">
        <v>590</v>
      </c>
      <c r="B20" s="93" t="str">
        <f>IF(ISERROR(VLOOKUP(A20, PULL_UPDATES!A:A, 1, FALSE)), "NOT PRESENT in Vendor Summary Log tab", "Present in Vendor Summary Log tab")</f>
        <v>NOT PRESENT in Vendor Summary Log tab</v>
      </c>
    </row>
    <row r="21" spans="1:2" x14ac:dyDescent="0.25">
      <c r="A21" s="139" t="s">
        <v>591</v>
      </c>
      <c r="B21" s="93" t="str">
        <f>IF(ISERROR(VLOOKUP(A21, PULL_UPDATES!A:A, 1, FALSE)), "NOT PRESENT in Vendor Summary Log tab", "Present in Vendor Summary Log tab")</f>
        <v>NOT PRESENT in Vendor Summary Log tab</v>
      </c>
    </row>
    <row r="22" spans="1:2" x14ac:dyDescent="0.25">
      <c r="A22" s="139" t="s">
        <v>592</v>
      </c>
      <c r="B22" s="93" t="str">
        <f>IF(ISERROR(VLOOKUP(A22, PULL_UPDATES!A:A, 1, FALSE)), "NOT PRESENT in Vendor Summary Log tab", "Present in Vendor Summary Log tab")</f>
        <v>NOT PRESENT in Vendor Summary Log tab</v>
      </c>
    </row>
    <row r="23" spans="1:2" x14ac:dyDescent="0.25">
      <c r="A23" s="139" t="s">
        <v>593</v>
      </c>
      <c r="B23" s="93" t="str">
        <f>IF(ISERROR(VLOOKUP(A23, PULL_UPDATES!A:A, 1, FALSE)), "NOT PRESENT in Vendor Summary Log tab", "Present in Vendor Summary Log tab")</f>
        <v>NOT PRESENT in Vendor Summary Log tab</v>
      </c>
    </row>
    <row r="24" spans="1:2" x14ac:dyDescent="0.25">
      <c r="A24" s="139" t="s">
        <v>706</v>
      </c>
      <c r="B24" s="93" t="str">
        <f>IF(ISERROR(VLOOKUP(A24, PULL_UPDATES!A:A, 1, FALSE)), "NOT PRESENT in Vendor Summary Log tab", "Present in Vendor Summary Log tab")</f>
        <v>NOT PRESENT in Vendor Summary Log tab</v>
      </c>
    </row>
    <row r="25" spans="1:2" x14ac:dyDescent="0.25">
      <c r="A25" s="139" t="s">
        <v>594</v>
      </c>
      <c r="B25" s="93" t="str">
        <f>IF(ISERROR(VLOOKUP(A25, PULL_UPDATES!A:A, 1, FALSE)), "NOT PRESENT in Vendor Summary Log tab", "Present in Vendor Summary Log tab")</f>
        <v>NOT PRESENT in Vendor Summary Log tab</v>
      </c>
    </row>
    <row r="26" spans="1:2" x14ac:dyDescent="0.25">
      <c r="A26" s="139" t="s">
        <v>709</v>
      </c>
      <c r="B26" s="93" t="str">
        <f>IF(ISERROR(VLOOKUP(A26, PULL_UPDATES!A:A, 1, FALSE)), "NOT PRESENT in Vendor Summary Log tab", "Present in Vendor Summary Log tab")</f>
        <v>NOT PRESENT in Vendor Summary Log tab</v>
      </c>
    </row>
    <row r="27" spans="1:2" x14ac:dyDescent="0.25">
      <c r="A27" s="139" t="s">
        <v>726</v>
      </c>
      <c r="B27" s="93" t="str">
        <f>IF(ISERROR(VLOOKUP(A27, PULL_UPDATES!A:A, 1, FALSE)), "NOT PRESENT in Vendor Summary Log tab", "Present in Vendor Summary Log tab")</f>
        <v>NOT PRESENT in Vendor Summary Log tab</v>
      </c>
    </row>
    <row r="28" spans="1:2" x14ac:dyDescent="0.25">
      <c r="A28" s="139" t="s">
        <v>595</v>
      </c>
      <c r="B28" s="93" t="str">
        <f>IF(ISERROR(VLOOKUP(A28, PULL_UPDATES!A:A, 1, FALSE)), "NOT PRESENT in Vendor Summary Log tab", "Present in Vendor Summary Log tab")</f>
        <v>NOT PRESENT in Vendor Summary Log tab</v>
      </c>
    </row>
    <row r="29" spans="1:2" x14ac:dyDescent="0.25">
      <c r="A29" s="139" t="s">
        <v>596</v>
      </c>
      <c r="B29" s="93" t="str">
        <f>IF(ISERROR(VLOOKUP(A29, PULL_UPDATES!A:A, 1, FALSE)), "NOT PRESENT in Vendor Summary Log tab", "Present in Vendor Summary Log tab")</f>
        <v>NOT PRESENT in Vendor Summary Log tab</v>
      </c>
    </row>
    <row r="30" spans="1:2" x14ac:dyDescent="0.25">
      <c r="A30" s="139" t="s">
        <v>597</v>
      </c>
      <c r="B30" s="93" t="str">
        <f>IF(ISERROR(VLOOKUP(A30, PULL_UPDATES!A:A, 1, FALSE)), "NOT PRESENT in Vendor Summary Log tab", "Present in Vendor Summary Log tab")</f>
        <v>NOT PRESENT in Vendor Summary Log tab</v>
      </c>
    </row>
    <row r="31" spans="1:2" x14ac:dyDescent="0.25">
      <c r="A31" s="139" t="s">
        <v>727</v>
      </c>
      <c r="B31" s="93" t="str">
        <f>IF(ISERROR(VLOOKUP(A31, PULL_UPDATES!A:A, 1, FALSE)), "NOT PRESENT in Vendor Summary Log tab", "Present in Vendor Summary Log tab")</f>
        <v>NOT PRESENT in Vendor Summary Log tab</v>
      </c>
    </row>
    <row r="32" spans="1:2" x14ac:dyDescent="0.25">
      <c r="A32" s="139" t="s">
        <v>598</v>
      </c>
      <c r="B32" s="93" t="str">
        <f>IF(ISERROR(VLOOKUP(A32, PULL_UPDATES!A:A, 1, FALSE)), "NOT PRESENT in Vendor Summary Log tab", "Present in Vendor Summary Log tab")</f>
        <v>NOT PRESENT in Vendor Summary Log tab</v>
      </c>
    </row>
    <row r="33" spans="1:2" x14ac:dyDescent="0.25">
      <c r="A33" s="139" t="s">
        <v>599</v>
      </c>
      <c r="B33" s="93" t="str">
        <f>IF(ISERROR(VLOOKUP(A33, PULL_UPDATES!A:A, 1, FALSE)), "NOT PRESENT in Vendor Summary Log tab", "Present in Vendor Summary Log tab")</f>
        <v>NOT PRESENT in Vendor Summary Log tab</v>
      </c>
    </row>
    <row r="34" spans="1:2" x14ac:dyDescent="0.25">
      <c r="A34" s="139" t="s">
        <v>728</v>
      </c>
      <c r="B34" s="93" t="str">
        <f>IF(ISERROR(VLOOKUP(A34, PULL_UPDATES!A:A, 1, FALSE)), "NOT PRESENT in Vendor Summary Log tab", "Present in Vendor Summary Log tab")</f>
        <v>NOT PRESENT in Vendor Summary Log tab</v>
      </c>
    </row>
    <row r="35" spans="1:2" x14ac:dyDescent="0.25">
      <c r="A35" s="139" t="s">
        <v>747</v>
      </c>
      <c r="B35" s="93" t="str">
        <f>IF(ISERROR(VLOOKUP(A35, PULL_UPDATES!A:A, 1, FALSE)), "NOT PRESENT in Vendor Summary Log tab", "Present in Vendor Summary Log tab")</f>
        <v>NOT PRESENT in Vendor Summary Log tab</v>
      </c>
    </row>
    <row r="36" spans="1:2" x14ac:dyDescent="0.25">
      <c r="A36" s="139" t="s">
        <v>600</v>
      </c>
      <c r="B36" s="93" t="str">
        <f>IF(ISERROR(VLOOKUP(A36, PULL_UPDATES!A:A, 1, FALSE)), "NOT PRESENT in Vendor Summary Log tab", "Present in Vendor Summary Log tab")</f>
        <v>NOT PRESENT in Vendor Summary Log tab</v>
      </c>
    </row>
    <row r="37" spans="1:2" x14ac:dyDescent="0.25">
      <c r="A37" s="139" t="s">
        <v>601</v>
      </c>
      <c r="B37" s="93" t="str">
        <f>IF(ISERROR(VLOOKUP(A37, PULL_UPDATES!A:A, 1, FALSE)), "NOT PRESENT in Vendor Summary Log tab", "Present in Vendor Summary Log tab")</f>
        <v>NOT PRESENT in Vendor Summary Log tab</v>
      </c>
    </row>
    <row r="38" spans="1:2" x14ac:dyDescent="0.25">
      <c r="A38" s="139" t="s">
        <v>602</v>
      </c>
      <c r="B38" s="93" t="str">
        <f>IF(ISERROR(VLOOKUP(A38, PULL_UPDATES!A:A, 1, FALSE)), "NOT PRESENT in Vendor Summary Log tab", "Present in Vendor Summary Log tab")</f>
        <v>NOT PRESENT in Vendor Summary Log tab</v>
      </c>
    </row>
    <row r="39" spans="1:2" x14ac:dyDescent="0.25">
      <c r="A39" s="139" t="s">
        <v>603</v>
      </c>
      <c r="B39" s="93" t="str">
        <f>IF(ISERROR(VLOOKUP(A39, PULL_UPDATES!A:A, 1, FALSE)), "NOT PRESENT in Vendor Summary Log tab", "Present in Vendor Summary Log tab")</f>
        <v>NOT PRESENT in Vendor Summary Log tab</v>
      </c>
    </row>
    <row r="40" spans="1:2" x14ac:dyDescent="0.25">
      <c r="A40" s="139" t="s">
        <v>604</v>
      </c>
      <c r="B40" s="93" t="str">
        <f>IF(ISERROR(VLOOKUP(A40, PULL_UPDATES!A:A, 1, FALSE)), "NOT PRESENT in Vendor Summary Log tab", "Present in Vendor Summary Log tab")</f>
        <v>NOT PRESENT in Vendor Summary Log tab</v>
      </c>
    </row>
    <row r="41" spans="1:2" x14ac:dyDescent="0.25">
      <c r="A41" s="139" t="s">
        <v>719</v>
      </c>
      <c r="B41" s="93" t="str">
        <f>IF(ISERROR(VLOOKUP(A41, PULL_UPDATES!A:A, 1, FALSE)), "NOT PRESENT in Vendor Summary Log tab", "Present in Vendor Summary Log tab")</f>
        <v>NOT PRESENT in Vendor Summary Log tab</v>
      </c>
    </row>
    <row r="42" spans="1:2" x14ac:dyDescent="0.25">
      <c r="A42" s="139" t="s">
        <v>729</v>
      </c>
      <c r="B42" s="93" t="str">
        <f>IF(ISERROR(VLOOKUP(A42, PULL_UPDATES!A:A, 1, FALSE)), "NOT PRESENT in Vendor Summary Log tab", "Present in Vendor Summary Log tab")</f>
        <v>NOT PRESENT in Vendor Summary Log tab</v>
      </c>
    </row>
    <row r="43" spans="1:2" x14ac:dyDescent="0.25">
      <c r="A43" s="139" t="s">
        <v>605</v>
      </c>
      <c r="B43" s="93" t="str">
        <f>IF(ISERROR(VLOOKUP(A43, PULL_UPDATES!A:A, 1, FALSE)), "NOT PRESENT in Vendor Summary Log tab", "Present in Vendor Summary Log tab")</f>
        <v>NOT PRESENT in Vendor Summary Log tab</v>
      </c>
    </row>
    <row r="44" spans="1:2" x14ac:dyDescent="0.25">
      <c r="A44" s="139" t="s">
        <v>748</v>
      </c>
      <c r="B44" s="93" t="str">
        <f>IF(ISERROR(VLOOKUP(A44, PULL_UPDATES!A:A, 1, FALSE)), "NOT PRESENT in Vendor Summary Log tab", "Present in Vendor Summary Log tab")</f>
        <v>NOT PRESENT in Vendor Summary Log tab</v>
      </c>
    </row>
    <row r="45" spans="1:2" x14ac:dyDescent="0.25">
      <c r="A45" s="139" t="s">
        <v>711</v>
      </c>
      <c r="B45" s="93" t="str">
        <f>IF(ISERROR(VLOOKUP(A45, PULL_UPDATES!A:A, 1, FALSE)), "NOT PRESENT in Vendor Summary Log tab", "Present in Vendor Summary Log tab")</f>
        <v>NOT PRESENT in Vendor Summary Log tab</v>
      </c>
    </row>
    <row r="46" spans="1:2" x14ac:dyDescent="0.25">
      <c r="A46" s="139" t="s">
        <v>606</v>
      </c>
      <c r="B46" s="93" t="str">
        <f>IF(ISERROR(VLOOKUP(A46, PULL_UPDATES!A:A, 1, FALSE)), "NOT PRESENT in Vendor Summary Log tab", "Present in Vendor Summary Log tab")</f>
        <v>NOT PRESENT in Vendor Summary Log tab</v>
      </c>
    </row>
    <row r="47" spans="1:2" x14ac:dyDescent="0.25">
      <c r="A47" s="139" t="s">
        <v>607</v>
      </c>
      <c r="B47" s="93" t="str">
        <f>IF(ISERROR(VLOOKUP(A47, PULL_UPDATES!A:A, 1, FALSE)), "NOT PRESENT in Vendor Summary Log tab", "Present in Vendor Summary Log tab")</f>
        <v>NOT PRESENT in Vendor Summary Log tab</v>
      </c>
    </row>
    <row r="48" spans="1:2" x14ac:dyDescent="0.25">
      <c r="A48" s="139" t="s">
        <v>608</v>
      </c>
      <c r="B48" s="93" t="str">
        <f>IF(ISERROR(VLOOKUP(A48, PULL_UPDATES!A:A, 1, FALSE)), "NOT PRESENT in Vendor Summary Log tab", "Present in Vendor Summary Log tab")</f>
        <v>NOT PRESENT in Vendor Summary Log tab</v>
      </c>
    </row>
    <row r="49" spans="1:2" x14ac:dyDescent="0.25">
      <c r="A49" s="139" t="s">
        <v>609</v>
      </c>
      <c r="B49" s="93" t="str">
        <f>IF(ISERROR(VLOOKUP(A49, PULL_UPDATES!A:A, 1, FALSE)), "NOT PRESENT in Vendor Summary Log tab", "Present in Vendor Summary Log tab")</f>
        <v>NOT PRESENT in Vendor Summary Log tab</v>
      </c>
    </row>
    <row r="50" spans="1:2" x14ac:dyDescent="0.25">
      <c r="A50" s="139" t="s">
        <v>610</v>
      </c>
      <c r="B50" s="93" t="str">
        <f>IF(ISERROR(VLOOKUP(A50, PULL_UPDATES!A:A, 1, FALSE)), "NOT PRESENT in Vendor Summary Log tab", "Present in Vendor Summary Log tab")</f>
        <v>NOT PRESENT in Vendor Summary Log tab</v>
      </c>
    </row>
    <row r="51" spans="1:2" x14ac:dyDescent="0.25">
      <c r="A51" s="139" t="s">
        <v>611</v>
      </c>
      <c r="B51" s="93" t="str">
        <f>IF(ISERROR(VLOOKUP(A51, PULL_UPDATES!A:A, 1, FALSE)), "NOT PRESENT in Vendor Summary Log tab", "Present in Vendor Summary Log tab")</f>
        <v>NOT PRESENT in Vendor Summary Log tab</v>
      </c>
    </row>
    <row r="52" spans="1:2" x14ac:dyDescent="0.25">
      <c r="A52" s="139" t="s">
        <v>612</v>
      </c>
      <c r="B52" s="93" t="str">
        <f>IF(ISERROR(VLOOKUP(A52, PULL_UPDATES!A:A, 1, FALSE)), "NOT PRESENT in Vendor Summary Log tab", "Present in Vendor Summary Log tab")</f>
        <v>NOT PRESENT in Vendor Summary Log tab</v>
      </c>
    </row>
    <row r="53" spans="1:2" x14ac:dyDescent="0.25">
      <c r="A53" s="139" t="s">
        <v>613</v>
      </c>
      <c r="B53" s="93" t="str">
        <f>IF(ISERROR(VLOOKUP(A53, PULL_UPDATES!A:A, 1, FALSE)), "NOT PRESENT in Vendor Summary Log tab", "Present in Vendor Summary Log tab")</f>
        <v>NOT PRESENT in Vendor Summary Log tab</v>
      </c>
    </row>
    <row r="54" spans="1:2" x14ac:dyDescent="0.25">
      <c r="A54" s="139" t="s">
        <v>614</v>
      </c>
      <c r="B54" s="93" t="str">
        <f>IF(ISERROR(VLOOKUP(A54, PULL_UPDATES!A:A, 1, FALSE)), "NOT PRESENT in Vendor Summary Log tab", "Present in Vendor Summary Log tab")</f>
        <v>NOT PRESENT in Vendor Summary Log tab</v>
      </c>
    </row>
    <row r="55" spans="1:2" x14ac:dyDescent="0.25">
      <c r="A55" s="139" t="s">
        <v>615</v>
      </c>
      <c r="B55" s="93" t="str">
        <f>IF(ISERROR(VLOOKUP(A55, PULL_UPDATES!A:A, 1, FALSE)), "NOT PRESENT in Vendor Summary Log tab", "Present in Vendor Summary Log tab")</f>
        <v>NOT PRESENT in Vendor Summary Log tab</v>
      </c>
    </row>
    <row r="56" spans="1:2" x14ac:dyDescent="0.25">
      <c r="A56" s="139" t="s">
        <v>616</v>
      </c>
      <c r="B56" s="93" t="str">
        <f>IF(ISERROR(VLOOKUP(A56, PULL_UPDATES!A:A, 1, FALSE)), "NOT PRESENT in Vendor Summary Log tab", "Present in Vendor Summary Log tab")</f>
        <v>NOT PRESENT in Vendor Summary Log tab</v>
      </c>
    </row>
    <row r="57" spans="1:2" x14ac:dyDescent="0.25">
      <c r="A57" s="139" t="s">
        <v>617</v>
      </c>
      <c r="B57" s="93" t="str">
        <f>IF(ISERROR(VLOOKUP(A57, PULL_UPDATES!A:A, 1, FALSE)), "NOT PRESENT in Vendor Summary Log tab", "Present in Vendor Summary Log tab")</f>
        <v>NOT PRESENT in Vendor Summary Log tab</v>
      </c>
    </row>
    <row r="58" spans="1:2" x14ac:dyDescent="0.25">
      <c r="A58" s="139" t="s">
        <v>730</v>
      </c>
      <c r="B58" s="93" t="str">
        <f>IF(ISERROR(VLOOKUP(A58, PULL_UPDATES!A:A, 1, FALSE)), "NOT PRESENT in Vendor Summary Log tab", "Present in Vendor Summary Log tab")</f>
        <v>NOT PRESENT in Vendor Summary Log tab</v>
      </c>
    </row>
    <row r="59" spans="1:2" x14ac:dyDescent="0.25">
      <c r="A59" s="139" t="s">
        <v>618</v>
      </c>
      <c r="B59" s="93" t="str">
        <f>IF(ISERROR(VLOOKUP(A59, PULL_UPDATES!A:A, 1, FALSE)), "NOT PRESENT in Vendor Summary Log tab", "Present in Vendor Summary Log tab")</f>
        <v>NOT PRESENT in Vendor Summary Log tab</v>
      </c>
    </row>
    <row r="60" spans="1:2" x14ac:dyDescent="0.25">
      <c r="A60" s="139" t="s">
        <v>619</v>
      </c>
      <c r="B60" s="93" t="str">
        <f>IF(ISERROR(VLOOKUP(A60, PULL_UPDATES!A:A, 1, FALSE)), "NOT PRESENT in Vendor Summary Log tab", "Present in Vendor Summary Log tab")</f>
        <v>NOT PRESENT in Vendor Summary Log tab</v>
      </c>
    </row>
    <row r="61" spans="1:2" x14ac:dyDescent="0.25">
      <c r="A61" s="139" t="s">
        <v>771</v>
      </c>
      <c r="B61" s="93" t="str">
        <f>IF(ISERROR(VLOOKUP(A61, PULL_UPDATES!A:A, 1, FALSE)), "NOT PRESENT in Vendor Summary Log tab", "Present in Vendor Summary Log tab")</f>
        <v>NOT PRESENT in Vendor Summary Log tab</v>
      </c>
    </row>
    <row r="62" spans="1:2" x14ac:dyDescent="0.25">
      <c r="A62" s="139" t="s">
        <v>749</v>
      </c>
      <c r="B62" s="93" t="str">
        <f>IF(ISERROR(VLOOKUP(A62, PULL_UPDATES!A:A, 1, FALSE)), "NOT PRESENT in Vendor Summary Log tab", "Present in Vendor Summary Log tab")</f>
        <v>NOT PRESENT in Vendor Summary Log tab</v>
      </c>
    </row>
    <row r="63" spans="1:2" x14ac:dyDescent="0.25">
      <c r="A63" s="139" t="s">
        <v>620</v>
      </c>
      <c r="B63" s="93" t="str">
        <f>IF(ISERROR(VLOOKUP(A63, PULL_UPDATES!A:A, 1, FALSE)), "NOT PRESENT in Vendor Summary Log tab", "Present in Vendor Summary Log tab")</f>
        <v>NOT PRESENT in Vendor Summary Log tab</v>
      </c>
    </row>
    <row r="64" spans="1:2" x14ac:dyDescent="0.25">
      <c r="A64" s="139" t="s">
        <v>731</v>
      </c>
      <c r="B64" s="93" t="str">
        <f>IF(ISERROR(VLOOKUP(A64, PULL_UPDATES!A:A, 1, FALSE)), "NOT PRESENT in Vendor Summary Log tab", "Present in Vendor Summary Log tab")</f>
        <v>NOT PRESENT in Vendor Summary Log tab</v>
      </c>
    </row>
    <row r="65" spans="1:2" x14ac:dyDescent="0.25">
      <c r="A65" s="139" t="s">
        <v>712</v>
      </c>
      <c r="B65" s="93" t="str">
        <f>IF(ISERROR(VLOOKUP(A65, PULL_UPDATES!A:A, 1, FALSE)), "NOT PRESENT in Vendor Summary Log tab", "Present in Vendor Summary Log tab")</f>
        <v>NOT PRESENT in Vendor Summary Log tab</v>
      </c>
    </row>
    <row r="66" spans="1:2" x14ac:dyDescent="0.25">
      <c r="A66" s="139" t="s">
        <v>621</v>
      </c>
      <c r="B66" s="93" t="str">
        <f>IF(ISERROR(VLOOKUP(A66, PULL_UPDATES!A:A, 1, FALSE)), "NOT PRESENT in Vendor Summary Log tab", "Present in Vendor Summary Log tab")</f>
        <v>NOT PRESENT in Vendor Summary Log tab</v>
      </c>
    </row>
    <row r="67" spans="1:2" x14ac:dyDescent="0.25">
      <c r="A67" s="139" t="s">
        <v>721</v>
      </c>
      <c r="B67" s="93" t="str">
        <f>IF(ISERROR(VLOOKUP(A67, PULL_UPDATES!A:A, 1, FALSE)), "NOT PRESENT in Vendor Summary Log tab", "Present in Vendor Summary Log tab")</f>
        <v>NOT PRESENT in Vendor Summary Log tab</v>
      </c>
    </row>
    <row r="68" spans="1:2" x14ac:dyDescent="0.25">
      <c r="A68" s="139" t="s">
        <v>713</v>
      </c>
      <c r="B68" s="93" t="str">
        <f>IF(ISERROR(VLOOKUP(A68, PULL_UPDATES!A:A, 1, FALSE)), "NOT PRESENT in Vendor Summary Log tab", "Present in Vendor Summary Log tab")</f>
        <v>NOT PRESENT in Vendor Summary Log tab</v>
      </c>
    </row>
    <row r="69" spans="1:2" x14ac:dyDescent="0.25">
      <c r="A69" s="139" t="s">
        <v>622</v>
      </c>
      <c r="B69" s="93" t="str">
        <f>IF(ISERROR(VLOOKUP(A69, PULL_UPDATES!A:A, 1, FALSE)), "NOT PRESENT in Vendor Summary Log tab", "Present in Vendor Summary Log tab")</f>
        <v>NOT PRESENT in Vendor Summary Log tab</v>
      </c>
    </row>
    <row r="70" spans="1:2" x14ac:dyDescent="0.25">
      <c r="A70" s="139" t="s">
        <v>755</v>
      </c>
      <c r="B70" s="93" t="str">
        <f>IF(ISERROR(VLOOKUP(A70, PULL_UPDATES!A:A, 1, FALSE)), "NOT PRESENT in Vendor Summary Log tab", "Present in Vendor Summary Log tab")</f>
        <v>NOT PRESENT in Vendor Summary Log tab</v>
      </c>
    </row>
    <row r="71" spans="1:2" x14ac:dyDescent="0.25">
      <c r="A71" s="139" t="s">
        <v>732</v>
      </c>
      <c r="B71" s="93" t="str">
        <f>IF(ISERROR(VLOOKUP(A71, PULL_UPDATES!A:A, 1, FALSE)), "NOT PRESENT in Vendor Summary Log tab", "Present in Vendor Summary Log tab")</f>
        <v>NOT PRESENT in Vendor Summary Log tab</v>
      </c>
    </row>
    <row r="72" spans="1:2" x14ac:dyDescent="0.25">
      <c r="A72" s="139" t="s">
        <v>623</v>
      </c>
      <c r="B72" s="93" t="str">
        <f>IF(ISERROR(VLOOKUP(A72, PULL_UPDATES!A:A, 1, FALSE)), "NOT PRESENT in Vendor Summary Log tab", "Present in Vendor Summary Log tab")</f>
        <v>NOT PRESENT in Vendor Summary Log tab</v>
      </c>
    </row>
    <row r="73" spans="1:2" x14ac:dyDescent="0.25">
      <c r="A73" s="139" t="s">
        <v>624</v>
      </c>
      <c r="B73" s="93" t="str">
        <f>IF(ISERROR(VLOOKUP(A73, PULL_UPDATES!A:A, 1, FALSE)), "NOT PRESENT in Vendor Summary Log tab", "Present in Vendor Summary Log tab")</f>
        <v>NOT PRESENT in Vendor Summary Log tab</v>
      </c>
    </row>
    <row r="74" spans="1:2" x14ac:dyDescent="0.25">
      <c r="A74" s="139" t="s">
        <v>750</v>
      </c>
      <c r="B74" s="93" t="str">
        <f>IF(ISERROR(VLOOKUP(A74, PULL_UPDATES!A:A, 1, FALSE)), "NOT PRESENT in Vendor Summary Log tab", "Present in Vendor Summary Log tab")</f>
        <v>NOT PRESENT in Vendor Summary Log tab</v>
      </c>
    </row>
    <row r="75" spans="1:2" x14ac:dyDescent="0.25">
      <c r="A75" s="139" t="s">
        <v>625</v>
      </c>
      <c r="B75" s="93" t="str">
        <f>IF(ISERROR(VLOOKUP(A75, PULL_UPDATES!A:A, 1, FALSE)), "NOT PRESENT in Vendor Summary Log tab", "Present in Vendor Summary Log tab")</f>
        <v>NOT PRESENT in Vendor Summary Log tab</v>
      </c>
    </row>
    <row r="76" spans="1:2" x14ac:dyDescent="0.25">
      <c r="A76" s="139" t="s">
        <v>626</v>
      </c>
      <c r="B76" s="93" t="str">
        <f>IF(ISERROR(VLOOKUP(A76, PULL_UPDATES!A:A, 1, FALSE)), "NOT PRESENT in Vendor Summary Log tab", "Present in Vendor Summary Log tab")</f>
        <v>NOT PRESENT in Vendor Summary Log tab</v>
      </c>
    </row>
    <row r="77" spans="1:2" x14ac:dyDescent="0.25">
      <c r="A77" s="139" t="s">
        <v>707</v>
      </c>
      <c r="B77" s="93" t="str">
        <f>IF(ISERROR(VLOOKUP(A77, PULL_UPDATES!A:A, 1, FALSE)), "NOT PRESENT in Vendor Summary Log tab", "Present in Vendor Summary Log tab")</f>
        <v>NOT PRESENT in Vendor Summary Log tab</v>
      </c>
    </row>
    <row r="78" spans="1:2" x14ac:dyDescent="0.25">
      <c r="A78" s="139" t="s">
        <v>627</v>
      </c>
      <c r="B78" s="93" t="str">
        <f>IF(ISERROR(VLOOKUP(A78, PULL_UPDATES!A:A, 1, FALSE)), "NOT PRESENT in Vendor Summary Log tab", "Present in Vendor Summary Log tab")</f>
        <v>NOT PRESENT in Vendor Summary Log tab</v>
      </c>
    </row>
    <row r="79" spans="1:2" x14ac:dyDescent="0.25">
      <c r="A79" s="139" t="s">
        <v>733</v>
      </c>
      <c r="B79" s="93" t="str">
        <f>IF(ISERROR(VLOOKUP(A79, PULL_UPDATES!A:A, 1, FALSE)), "NOT PRESENT in Vendor Summary Log tab", "Present in Vendor Summary Log tab")</f>
        <v>NOT PRESENT in Vendor Summary Log tab</v>
      </c>
    </row>
    <row r="80" spans="1:2" x14ac:dyDescent="0.25">
      <c r="A80" s="139" t="s">
        <v>628</v>
      </c>
      <c r="B80" s="93" t="str">
        <f>IF(ISERROR(VLOOKUP(A80, PULL_UPDATES!A:A, 1, FALSE)), "NOT PRESENT in Vendor Summary Log tab", "Present in Vendor Summary Log tab")</f>
        <v>NOT PRESENT in Vendor Summary Log tab</v>
      </c>
    </row>
    <row r="81" spans="1:2" x14ac:dyDescent="0.25">
      <c r="A81" s="139" t="s">
        <v>702</v>
      </c>
      <c r="B81" s="93" t="str">
        <f>IF(ISERROR(VLOOKUP(A81, PULL_UPDATES!A:A, 1, FALSE)), "NOT PRESENT in Vendor Summary Log tab", "Present in Vendor Summary Log tab")</f>
        <v>NOT PRESENT in Vendor Summary Log tab</v>
      </c>
    </row>
    <row r="82" spans="1:2" x14ac:dyDescent="0.25">
      <c r="A82" s="139" t="s">
        <v>708</v>
      </c>
      <c r="B82" s="93" t="str">
        <f>IF(ISERROR(VLOOKUP(A82, PULL_UPDATES!A:A, 1, FALSE)), "NOT PRESENT in Vendor Summary Log tab", "Present in Vendor Summary Log tab")</f>
        <v>NOT PRESENT in Vendor Summary Log tab</v>
      </c>
    </row>
    <row r="83" spans="1:2" x14ac:dyDescent="0.25">
      <c r="A83" s="139" t="s">
        <v>629</v>
      </c>
      <c r="B83" s="93" t="str">
        <f>IF(ISERROR(VLOOKUP(A83, PULL_UPDATES!A:A, 1, FALSE)), "NOT PRESENT in Vendor Summary Log tab", "Present in Vendor Summary Log tab")</f>
        <v>NOT PRESENT in Vendor Summary Log tab</v>
      </c>
    </row>
    <row r="84" spans="1:2" x14ac:dyDescent="0.25">
      <c r="A84" s="139" t="s">
        <v>630</v>
      </c>
      <c r="B84" s="93" t="str">
        <f>IF(ISERROR(VLOOKUP(A84, PULL_UPDATES!A:A, 1, FALSE)), "NOT PRESENT in Vendor Summary Log tab", "Present in Vendor Summary Log tab")</f>
        <v>NOT PRESENT in Vendor Summary Log tab</v>
      </c>
    </row>
    <row r="85" spans="1:2" x14ac:dyDescent="0.25">
      <c r="A85" s="139" t="s">
        <v>734</v>
      </c>
      <c r="B85" s="93" t="str">
        <f>IF(ISERROR(VLOOKUP(A85, PULL_UPDATES!A:A, 1, FALSE)), "NOT PRESENT in Vendor Summary Log tab", "Present in Vendor Summary Log tab")</f>
        <v>NOT PRESENT in Vendor Summary Log tab</v>
      </c>
    </row>
    <row r="86" spans="1:2" x14ac:dyDescent="0.25">
      <c r="A86" s="139" t="s">
        <v>631</v>
      </c>
      <c r="B86" s="93" t="str">
        <f>IF(ISERROR(VLOOKUP(A86, PULL_UPDATES!A:A, 1, FALSE)), "NOT PRESENT in Vendor Summary Log tab", "Present in Vendor Summary Log tab")</f>
        <v>NOT PRESENT in Vendor Summary Log tab</v>
      </c>
    </row>
    <row r="87" spans="1:2" x14ac:dyDescent="0.25">
      <c r="A87" s="139" t="s">
        <v>751</v>
      </c>
      <c r="B87" s="93" t="str">
        <f>IF(ISERROR(VLOOKUP(A87, PULL_UPDATES!A:A, 1, FALSE)), "NOT PRESENT in Vendor Summary Log tab", "Present in Vendor Summary Log tab")</f>
        <v>NOT PRESENT in Vendor Summary Log tab</v>
      </c>
    </row>
    <row r="88" spans="1:2" x14ac:dyDescent="0.25">
      <c r="A88" s="139" t="s">
        <v>768</v>
      </c>
      <c r="B88" s="93" t="str">
        <f>IF(ISERROR(VLOOKUP(A88, PULL_UPDATES!A:A, 1, FALSE)), "NOT PRESENT in Vendor Summary Log tab", "Present in Vendor Summary Log tab")</f>
        <v>NOT PRESENT in Vendor Summary Log tab</v>
      </c>
    </row>
    <row r="89" spans="1:2" x14ac:dyDescent="0.25">
      <c r="A89" s="139" t="s">
        <v>632</v>
      </c>
      <c r="B89" s="93" t="str">
        <f>IF(ISERROR(VLOOKUP(A89, PULL_UPDATES!A:A, 1, FALSE)), "NOT PRESENT in Vendor Summary Log tab", "Present in Vendor Summary Log tab")</f>
        <v>NOT PRESENT in Vendor Summary Log tab</v>
      </c>
    </row>
    <row r="90" spans="1:2" x14ac:dyDescent="0.25">
      <c r="A90" s="139" t="s">
        <v>633</v>
      </c>
      <c r="B90" s="93" t="str">
        <f>IF(ISERROR(VLOOKUP(A90, PULL_UPDATES!A:A, 1, FALSE)), "NOT PRESENT in Vendor Summary Log tab", "Present in Vendor Summary Log tab")</f>
        <v>NOT PRESENT in Vendor Summary Log tab</v>
      </c>
    </row>
    <row r="91" spans="1:2" x14ac:dyDescent="0.25">
      <c r="A91" s="139" t="s">
        <v>775</v>
      </c>
      <c r="B91" s="93" t="str">
        <f>IF(ISERROR(VLOOKUP(A91, PULL_UPDATES!A:A, 1, FALSE)), "NOT PRESENT in Vendor Summary Log tab", "Present in Vendor Summary Log tab")</f>
        <v>NOT PRESENT in Vendor Summary Log tab</v>
      </c>
    </row>
    <row r="92" spans="1:2" x14ac:dyDescent="0.25">
      <c r="A92" s="139" t="s">
        <v>756</v>
      </c>
      <c r="B92" s="93" t="str">
        <f>IF(ISERROR(VLOOKUP(A92, PULL_UPDATES!A:A, 1, FALSE)), "NOT PRESENT in Vendor Summary Log tab", "Present in Vendor Summary Log tab")</f>
        <v>NOT PRESENT in Vendor Summary Log tab</v>
      </c>
    </row>
    <row r="93" spans="1:2" x14ac:dyDescent="0.25">
      <c r="A93" s="139" t="s">
        <v>634</v>
      </c>
      <c r="B93" s="93" t="str">
        <f>IF(ISERROR(VLOOKUP(A93, PULL_UPDATES!A:A, 1, FALSE)), "NOT PRESENT in Vendor Summary Log tab", "Present in Vendor Summary Log tab")</f>
        <v>NOT PRESENT in Vendor Summary Log tab</v>
      </c>
    </row>
    <row r="94" spans="1:2" x14ac:dyDescent="0.25">
      <c r="A94" s="139" t="s">
        <v>757</v>
      </c>
      <c r="B94" s="93" t="str">
        <f>IF(ISERROR(VLOOKUP(A94, PULL_UPDATES!A:A, 1, FALSE)), "NOT PRESENT in Vendor Summary Log tab", "Present in Vendor Summary Log tab")</f>
        <v>NOT PRESENT in Vendor Summary Log tab</v>
      </c>
    </row>
    <row r="95" spans="1:2" x14ac:dyDescent="0.25">
      <c r="A95" s="139" t="s">
        <v>635</v>
      </c>
      <c r="B95" s="93" t="str">
        <f>IF(ISERROR(VLOOKUP(A95, PULL_UPDATES!A:A, 1, FALSE)), "NOT PRESENT in Vendor Summary Log tab", "Present in Vendor Summary Log tab")</f>
        <v>NOT PRESENT in Vendor Summary Log tab</v>
      </c>
    </row>
    <row r="96" spans="1:2" x14ac:dyDescent="0.25">
      <c r="A96" s="139" t="s">
        <v>636</v>
      </c>
      <c r="B96" s="93" t="str">
        <f>IF(ISERROR(VLOOKUP(A96, PULL_UPDATES!A:A, 1, FALSE)), "NOT PRESENT in Vendor Summary Log tab", "Present in Vendor Summary Log tab")</f>
        <v>NOT PRESENT in Vendor Summary Log tab</v>
      </c>
    </row>
    <row r="97" spans="1:2" x14ac:dyDescent="0.25">
      <c r="A97" s="139" t="s">
        <v>637</v>
      </c>
      <c r="B97" s="93" t="str">
        <f>IF(ISERROR(VLOOKUP(A97, PULL_UPDATES!A:A, 1, FALSE)), "NOT PRESENT in Vendor Summary Log tab", "Present in Vendor Summary Log tab")</f>
        <v>NOT PRESENT in Vendor Summary Log tab</v>
      </c>
    </row>
    <row r="98" spans="1:2" x14ac:dyDescent="0.25">
      <c r="A98" s="139" t="s">
        <v>638</v>
      </c>
      <c r="B98" s="93" t="str">
        <f>IF(ISERROR(VLOOKUP(A98, PULL_UPDATES!A:A, 1, FALSE)), "NOT PRESENT in Vendor Summary Log tab", "Present in Vendor Summary Log tab")</f>
        <v>NOT PRESENT in Vendor Summary Log tab</v>
      </c>
    </row>
    <row r="99" spans="1:2" x14ac:dyDescent="0.25">
      <c r="A99" s="139" t="s">
        <v>639</v>
      </c>
      <c r="B99" s="93" t="str">
        <f>IF(ISERROR(VLOOKUP(A99, PULL_UPDATES!A:A, 1, FALSE)), "NOT PRESENT in Vendor Summary Log tab", "Present in Vendor Summary Log tab")</f>
        <v>NOT PRESENT in Vendor Summary Log tab</v>
      </c>
    </row>
    <row r="100" spans="1:2" x14ac:dyDescent="0.25">
      <c r="A100" s="139" t="s">
        <v>735</v>
      </c>
      <c r="B100" s="93" t="str">
        <f>IF(ISERROR(VLOOKUP(A100, PULL_UPDATES!A:A, 1, FALSE)), "NOT PRESENT in Vendor Summary Log tab", "Present in Vendor Summary Log tab")</f>
        <v>NOT PRESENT in Vendor Summary Log tab</v>
      </c>
    </row>
    <row r="101" spans="1:2" x14ac:dyDescent="0.25">
      <c r="A101" s="139" t="s">
        <v>640</v>
      </c>
      <c r="B101" s="93" t="str">
        <f>IF(ISERROR(VLOOKUP(A101, PULL_UPDATES!A:A, 1, FALSE)), "NOT PRESENT in Vendor Summary Log tab", "Present in Vendor Summary Log tab")</f>
        <v>NOT PRESENT in Vendor Summary Log tab</v>
      </c>
    </row>
    <row r="102" spans="1:2" x14ac:dyDescent="0.25">
      <c r="A102" s="139" t="s">
        <v>752</v>
      </c>
      <c r="B102" s="93" t="str">
        <f>IF(ISERROR(VLOOKUP(A102, PULL_UPDATES!A:A, 1, FALSE)), "NOT PRESENT in Vendor Summary Log tab", "Present in Vendor Summary Log tab")</f>
        <v>NOT PRESENT in Vendor Summary Log tab</v>
      </c>
    </row>
    <row r="103" spans="1:2" x14ac:dyDescent="0.25">
      <c r="A103" s="139" t="s">
        <v>736</v>
      </c>
      <c r="B103" s="93" t="str">
        <f>IF(ISERROR(VLOOKUP(A103, PULL_UPDATES!A:A, 1, FALSE)), "NOT PRESENT in Vendor Summary Log tab", "Present in Vendor Summary Log tab")</f>
        <v>NOT PRESENT in Vendor Summary Log tab</v>
      </c>
    </row>
    <row r="104" spans="1:2" x14ac:dyDescent="0.25">
      <c r="A104" s="139" t="s">
        <v>641</v>
      </c>
      <c r="B104" s="93" t="str">
        <f>IF(ISERROR(VLOOKUP(A104, PULL_UPDATES!A:A, 1, FALSE)), "NOT PRESENT in Vendor Summary Log tab", "Present in Vendor Summary Log tab")</f>
        <v>NOT PRESENT in Vendor Summary Log tab</v>
      </c>
    </row>
    <row r="105" spans="1:2" x14ac:dyDescent="0.25">
      <c r="A105" s="139" t="s">
        <v>642</v>
      </c>
      <c r="B105" s="93" t="str">
        <f>IF(ISERROR(VLOOKUP(A105, PULL_UPDATES!A:A, 1, FALSE)), "NOT PRESENT in Vendor Summary Log tab", "Present in Vendor Summary Log tab")</f>
        <v>NOT PRESENT in Vendor Summary Log tab</v>
      </c>
    </row>
    <row r="106" spans="1:2" x14ac:dyDescent="0.25">
      <c r="A106" s="139" t="s">
        <v>643</v>
      </c>
      <c r="B106" s="93" t="str">
        <f>IF(ISERROR(VLOOKUP(A106, PULL_UPDATES!A:A, 1, FALSE)), "NOT PRESENT in Vendor Summary Log tab", "Present in Vendor Summary Log tab")</f>
        <v>NOT PRESENT in Vendor Summary Log tab</v>
      </c>
    </row>
    <row r="107" spans="1:2" x14ac:dyDescent="0.25">
      <c r="A107" s="139" t="s">
        <v>644</v>
      </c>
      <c r="B107" s="93" t="str">
        <f>IF(ISERROR(VLOOKUP(A107, PULL_UPDATES!A:A, 1, FALSE)), "NOT PRESENT in Vendor Summary Log tab", "Present in Vendor Summary Log tab")</f>
        <v>NOT PRESENT in Vendor Summary Log tab</v>
      </c>
    </row>
    <row r="108" spans="1:2" x14ac:dyDescent="0.25">
      <c r="A108" s="139" t="s">
        <v>645</v>
      </c>
      <c r="B108" s="93" t="str">
        <f>IF(ISERROR(VLOOKUP(A108, PULL_UPDATES!A:A, 1, FALSE)), "NOT PRESENT in Vendor Summary Log tab", "Present in Vendor Summary Log tab")</f>
        <v>NOT PRESENT in Vendor Summary Log tab</v>
      </c>
    </row>
    <row r="109" spans="1:2" x14ac:dyDescent="0.25">
      <c r="A109" s="139" t="s">
        <v>646</v>
      </c>
      <c r="B109" s="93" t="str">
        <f>IF(ISERROR(VLOOKUP(A109, PULL_UPDATES!A:A, 1, FALSE)), "NOT PRESENT in Vendor Summary Log tab", "Present in Vendor Summary Log tab")</f>
        <v>NOT PRESENT in Vendor Summary Log tab</v>
      </c>
    </row>
    <row r="110" spans="1:2" x14ac:dyDescent="0.25">
      <c r="A110" s="139" t="s">
        <v>647</v>
      </c>
      <c r="B110" s="93" t="str">
        <f>IF(ISERROR(VLOOKUP(A110, PULL_UPDATES!A:A, 1, FALSE)), "NOT PRESENT in Vendor Summary Log tab", "Present in Vendor Summary Log tab")</f>
        <v>NOT PRESENT in Vendor Summary Log tab</v>
      </c>
    </row>
    <row r="111" spans="1:2" x14ac:dyDescent="0.25">
      <c r="A111" s="139" t="s">
        <v>648</v>
      </c>
      <c r="B111" s="93" t="str">
        <f>IF(ISERROR(VLOOKUP(A111, PULL_UPDATES!A:A, 1, FALSE)), "NOT PRESENT in Vendor Summary Log tab", "Present in Vendor Summary Log tab")</f>
        <v>NOT PRESENT in Vendor Summary Log tab</v>
      </c>
    </row>
    <row r="112" spans="1:2" x14ac:dyDescent="0.25">
      <c r="A112" s="139" t="s">
        <v>753</v>
      </c>
      <c r="B112" s="93" t="str">
        <f>IF(ISERROR(VLOOKUP(A112, PULL_UPDATES!A:A, 1, FALSE)), "NOT PRESENT in Vendor Summary Log tab", "Present in Vendor Summary Log tab")</f>
        <v>NOT PRESENT in Vendor Summary Log tab</v>
      </c>
    </row>
    <row r="113" spans="1:2" x14ac:dyDescent="0.25">
      <c r="A113" s="139" t="s">
        <v>649</v>
      </c>
      <c r="B113" s="93" t="str">
        <f>IF(ISERROR(VLOOKUP(A113, PULL_UPDATES!A:A, 1, FALSE)), "NOT PRESENT in Vendor Summary Log tab", "Present in Vendor Summary Log tab")</f>
        <v>NOT PRESENT in Vendor Summary Log tab</v>
      </c>
    </row>
    <row r="114" spans="1:2" x14ac:dyDescent="0.25">
      <c r="A114" s="139" t="s">
        <v>650</v>
      </c>
      <c r="B114" s="93" t="str">
        <f>IF(ISERROR(VLOOKUP(A114, PULL_UPDATES!A:A, 1, FALSE)), "NOT PRESENT in Vendor Summary Log tab", "Present in Vendor Summary Log tab")</f>
        <v>NOT PRESENT in Vendor Summary Log tab</v>
      </c>
    </row>
    <row r="115" spans="1:2" x14ac:dyDescent="0.25">
      <c r="A115" s="139" t="s">
        <v>703</v>
      </c>
      <c r="B115" s="93" t="str">
        <f>IF(ISERROR(VLOOKUP(A115, PULL_UPDATES!A:A, 1, FALSE)), "NOT PRESENT in Vendor Summary Log tab", "Present in Vendor Summary Log tab")</f>
        <v>NOT PRESENT in Vendor Summary Log tab</v>
      </c>
    </row>
    <row r="116" spans="1:2" x14ac:dyDescent="0.25">
      <c r="A116" s="139" t="s">
        <v>651</v>
      </c>
      <c r="B116" s="93" t="str">
        <f>IF(ISERROR(VLOOKUP(A116, PULL_UPDATES!A:A, 1, FALSE)), "NOT PRESENT in Vendor Summary Log tab", "Present in Vendor Summary Log tab")</f>
        <v>NOT PRESENT in Vendor Summary Log tab</v>
      </c>
    </row>
    <row r="117" spans="1:2" x14ac:dyDescent="0.25">
      <c r="A117" s="139" t="s">
        <v>652</v>
      </c>
      <c r="B117" s="93" t="str">
        <f>IF(ISERROR(VLOOKUP(A117, PULL_UPDATES!A:A, 1, FALSE)), "NOT PRESENT in Vendor Summary Log tab", "Present in Vendor Summary Log tab")</f>
        <v>NOT PRESENT in Vendor Summary Log tab</v>
      </c>
    </row>
    <row r="118" spans="1:2" x14ac:dyDescent="0.25">
      <c r="A118" s="139" t="s">
        <v>653</v>
      </c>
      <c r="B118" s="93" t="str">
        <f>IF(ISERROR(VLOOKUP(A118, PULL_UPDATES!A:A, 1, FALSE)), "NOT PRESENT in Vendor Summary Log tab", "Present in Vendor Summary Log tab")</f>
        <v>NOT PRESENT in Vendor Summary Log tab</v>
      </c>
    </row>
    <row r="119" spans="1:2" x14ac:dyDescent="0.25">
      <c r="A119" s="139" t="s">
        <v>654</v>
      </c>
      <c r="B119" s="93" t="str">
        <f>IF(ISERROR(VLOOKUP(A119, PULL_UPDATES!A:A, 1, FALSE)), "NOT PRESENT in Vendor Summary Log tab", "Present in Vendor Summary Log tab")</f>
        <v>NOT PRESENT in Vendor Summary Log tab</v>
      </c>
    </row>
    <row r="120" spans="1:2" x14ac:dyDescent="0.25">
      <c r="A120" s="139" t="s">
        <v>655</v>
      </c>
      <c r="B120" s="93" t="str">
        <f>IF(ISERROR(VLOOKUP(A120, PULL_UPDATES!A:A, 1, FALSE)), "NOT PRESENT in Vendor Summary Log tab", "Present in Vendor Summary Log tab")</f>
        <v>NOT PRESENT in Vendor Summary Log tab</v>
      </c>
    </row>
    <row r="121" spans="1:2" x14ac:dyDescent="0.25">
      <c r="A121" s="139" t="s">
        <v>656</v>
      </c>
      <c r="B121" s="93" t="str">
        <f>IF(ISERROR(VLOOKUP(A121, PULL_UPDATES!A:A, 1, FALSE)), "NOT PRESENT in Vendor Summary Log tab", "Present in Vendor Summary Log tab")</f>
        <v>NOT PRESENT in Vendor Summary Log tab</v>
      </c>
    </row>
    <row r="122" spans="1:2" x14ac:dyDescent="0.25">
      <c r="A122" s="139" t="s">
        <v>657</v>
      </c>
      <c r="B122" s="93" t="str">
        <f>IF(ISERROR(VLOOKUP(A122, PULL_UPDATES!A:A, 1, FALSE)), "NOT PRESENT in Vendor Summary Log tab", "Present in Vendor Summary Log tab")</f>
        <v>NOT PRESENT in Vendor Summary Log tab</v>
      </c>
    </row>
    <row r="123" spans="1:2" x14ac:dyDescent="0.25">
      <c r="A123" s="139" t="s">
        <v>658</v>
      </c>
      <c r="B123" s="93" t="str">
        <f>IF(ISERROR(VLOOKUP(A123, PULL_UPDATES!A:A, 1, FALSE)), "NOT PRESENT in Vendor Summary Log tab", "Present in Vendor Summary Log tab")</f>
        <v>NOT PRESENT in Vendor Summary Log tab</v>
      </c>
    </row>
    <row r="124" spans="1:2" x14ac:dyDescent="0.25">
      <c r="A124" s="140" t="s">
        <v>758</v>
      </c>
      <c r="B124" s="93" t="str">
        <f>IF(ISERROR(VLOOKUP(A124, PULL_UPDATES!A:A, 1, FALSE)), "NOT PRESENT in Vendor Summary Log tab", "Present in Vendor Summary Log tab")</f>
        <v>NOT PRESENT in Vendor Summary Log tab</v>
      </c>
    </row>
    <row r="125" spans="1:2" x14ac:dyDescent="0.25">
      <c r="A125" s="139" t="s">
        <v>759</v>
      </c>
      <c r="B125" s="93" t="str">
        <f>IF(ISERROR(VLOOKUP(A125, PULL_UPDATES!A:A, 1, FALSE)), "NOT PRESENT in Vendor Summary Log tab", "Present in Vendor Summary Log tab")</f>
        <v>NOT PRESENT in Vendor Summary Log tab</v>
      </c>
    </row>
    <row r="126" spans="1:2" x14ac:dyDescent="0.25">
      <c r="A126" s="139" t="s">
        <v>776</v>
      </c>
      <c r="B126" s="93" t="str">
        <f>IF(ISERROR(VLOOKUP(A126, PULL_UPDATES!A:A, 1, FALSE)), "NOT PRESENT in Vendor Summary Log tab", "Present in Vendor Summary Log tab")</f>
        <v>NOT PRESENT in Vendor Summary Log tab</v>
      </c>
    </row>
    <row r="127" spans="1:2" x14ac:dyDescent="0.25">
      <c r="A127" s="139" t="s">
        <v>720</v>
      </c>
      <c r="B127" s="93" t="str">
        <f>IF(ISERROR(VLOOKUP(A127, PULL_UPDATES!A:A, 1, FALSE)), "NOT PRESENT in Vendor Summary Log tab", "Present in Vendor Summary Log tab")</f>
        <v>NOT PRESENT in Vendor Summary Log tab</v>
      </c>
    </row>
    <row r="128" spans="1:2" x14ac:dyDescent="0.25">
      <c r="A128" s="139" t="s">
        <v>659</v>
      </c>
      <c r="B128" s="93" t="str">
        <f>IF(ISERROR(VLOOKUP(A128, PULL_UPDATES!A:A, 1, FALSE)), "NOT PRESENT in Vendor Summary Log tab", "Present in Vendor Summary Log tab")</f>
        <v>NOT PRESENT in Vendor Summary Log tab</v>
      </c>
    </row>
    <row r="129" spans="1:2" x14ac:dyDescent="0.25">
      <c r="A129" s="139" t="s">
        <v>660</v>
      </c>
      <c r="B129" s="93" t="str">
        <f>IF(ISERROR(VLOOKUP(A129, PULL_UPDATES!A:A, 1, FALSE)), "NOT PRESENT in Vendor Summary Log tab", "Present in Vendor Summary Log tab")</f>
        <v>NOT PRESENT in Vendor Summary Log tab</v>
      </c>
    </row>
    <row r="130" spans="1:2" x14ac:dyDescent="0.25">
      <c r="A130" s="139" t="s">
        <v>704</v>
      </c>
      <c r="B130" s="93" t="str">
        <f>IF(ISERROR(VLOOKUP(A130, PULL_UPDATES!A:A, 1, FALSE)), "NOT PRESENT in Vendor Summary Log tab", "Present in Vendor Summary Log tab")</f>
        <v>NOT PRESENT in Vendor Summary Log tab</v>
      </c>
    </row>
    <row r="131" spans="1:2" x14ac:dyDescent="0.25">
      <c r="A131" s="139" t="s">
        <v>564</v>
      </c>
      <c r="B131" s="93" t="str">
        <f>IF(ISERROR(VLOOKUP(A131, PULL_UPDATES!A:A, 1, FALSE)), "NOT PRESENT in Vendor Summary Log tab", "Present in Vendor Summary Log tab")</f>
        <v>NOT PRESENT in Vendor Summary Log tab</v>
      </c>
    </row>
    <row r="132" spans="1:2" x14ac:dyDescent="0.25">
      <c r="A132" s="139" t="s">
        <v>661</v>
      </c>
      <c r="B132" s="93" t="str">
        <f>IF(ISERROR(VLOOKUP(A132, PULL_UPDATES!A:A, 1, FALSE)), "NOT PRESENT in Vendor Summary Log tab", "Present in Vendor Summary Log tab")</f>
        <v>NOT PRESENT in Vendor Summary Log tab</v>
      </c>
    </row>
    <row r="133" spans="1:2" x14ac:dyDescent="0.25">
      <c r="A133" s="139" t="s">
        <v>722</v>
      </c>
      <c r="B133" s="93" t="str">
        <f>IF(ISERROR(VLOOKUP(A133, PULL_UPDATES!A:A, 1, FALSE)), "NOT PRESENT in Vendor Summary Log tab", "Present in Vendor Summary Log tab")</f>
        <v>NOT PRESENT in Vendor Summary Log tab</v>
      </c>
    </row>
    <row r="134" spans="1:2" x14ac:dyDescent="0.25">
      <c r="A134" s="139" t="s">
        <v>737</v>
      </c>
      <c r="B134" s="93" t="str">
        <f>IF(ISERROR(VLOOKUP(A134, PULL_UPDATES!A:A, 1, FALSE)), "NOT PRESENT in Vendor Summary Log tab", "Present in Vendor Summary Log tab")</f>
        <v>NOT PRESENT in Vendor Summary Log tab</v>
      </c>
    </row>
    <row r="135" spans="1:2" x14ac:dyDescent="0.25">
      <c r="A135" s="139" t="s">
        <v>662</v>
      </c>
      <c r="B135" s="93" t="str">
        <f>IF(ISERROR(VLOOKUP(A135, PULL_UPDATES!A:A, 1, FALSE)), "NOT PRESENT in Vendor Summary Log tab", "Present in Vendor Summary Log tab")</f>
        <v>NOT PRESENT in Vendor Summary Log tab</v>
      </c>
    </row>
    <row r="136" spans="1:2" x14ac:dyDescent="0.25">
      <c r="A136" s="139" t="s">
        <v>663</v>
      </c>
      <c r="B136" s="93" t="str">
        <f>IF(ISERROR(VLOOKUP(A136, PULL_UPDATES!A:A, 1, FALSE)), "NOT PRESENT in Vendor Summary Log tab", "Present in Vendor Summary Log tab")</f>
        <v>NOT PRESENT in Vendor Summary Log tab</v>
      </c>
    </row>
    <row r="137" spans="1:2" x14ac:dyDescent="0.25">
      <c r="A137" s="139" t="s">
        <v>664</v>
      </c>
      <c r="B137" s="93" t="str">
        <f>IF(ISERROR(VLOOKUP(A137, PULL_UPDATES!A:A, 1, FALSE)), "NOT PRESENT in Vendor Summary Log tab", "Present in Vendor Summary Log tab")</f>
        <v>NOT PRESENT in Vendor Summary Log tab</v>
      </c>
    </row>
    <row r="138" spans="1:2" x14ac:dyDescent="0.25">
      <c r="A138" s="139" t="s">
        <v>665</v>
      </c>
      <c r="B138" s="93" t="str">
        <f>IF(ISERROR(VLOOKUP(A138, PULL_UPDATES!A:A, 1, FALSE)), "NOT PRESENT in Vendor Summary Log tab", "Present in Vendor Summary Log tab")</f>
        <v>NOT PRESENT in Vendor Summary Log tab</v>
      </c>
    </row>
    <row r="139" spans="1:2" x14ac:dyDescent="0.25">
      <c r="A139" s="139" t="s">
        <v>666</v>
      </c>
      <c r="B139" s="93" t="str">
        <f>IF(ISERROR(VLOOKUP(A139, PULL_UPDATES!A:A, 1, FALSE)), "NOT PRESENT in Vendor Summary Log tab", "Present in Vendor Summary Log tab")</f>
        <v>NOT PRESENT in Vendor Summary Log tab</v>
      </c>
    </row>
    <row r="140" spans="1:2" x14ac:dyDescent="0.25">
      <c r="A140" s="139" t="s">
        <v>772</v>
      </c>
      <c r="B140" s="93" t="str">
        <f>IF(ISERROR(VLOOKUP(A140, PULL_UPDATES!A:A, 1, FALSE)), "NOT PRESENT in Vendor Summary Log tab", "Present in Vendor Summary Log tab")</f>
        <v>NOT PRESENT in Vendor Summary Log tab</v>
      </c>
    </row>
    <row r="141" spans="1:2" x14ac:dyDescent="0.25">
      <c r="A141" s="139" t="s">
        <v>667</v>
      </c>
      <c r="B141" s="93" t="str">
        <f>IF(ISERROR(VLOOKUP(A141, PULL_UPDATES!A:A, 1, FALSE)), "NOT PRESENT in Vendor Summary Log tab", "Present in Vendor Summary Log tab")</f>
        <v>NOT PRESENT in Vendor Summary Log tab</v>
      </c>
    </row>
    <row r="142" spans="1:2" x14ac:dyDescent="0.25">
      <c r="A142" s="139" t="s">
        <v>668</v>
      </c>
      <c r="B142" s="93" t="str">
        <f>IF(ISERROR(VLOOKUP(A142, PULL_UPDATES!A:A, 1, FALSE)), "NOT PRESENT in Vendor Summary Log tab", "Present in Vendor Summary Log tab")</f>
        <v>NOT PRESENT in Vendor Summary Log tab</v>
      </c>
    </row>
    <row r="143" spans="1:2" x14ac:dyDescent="0.25">
      <c r="A143" s="139" t="s">
        <v>714</v>
      </c>
      <c r="B143" s="93" t="str">
        <f>IF(ISERROR(VLOOKUP(A143, PULL_UPDATES!A:A, 1, FALSE)), "NOT PRESENT in Vendor Summary Log tab", "Present in Vendor Summary Log tab")</f>
        <v>NOT PRESENT in Vendor Summary Log tab</v>
      </c>
    </row>
    <row r="144" spans="1:2" x14ac:dyDescent="0.25">
      <c r="A144" s="139" t="s">
        <v>738</v>
      </c>
      <c r="B144" s="93" t="str">
        <f>IF(ISERROR(VLOOKUP(A144, PULL_UPDATES!A:A, 1, FALSE)), "NOT PRESENT in Vendor Summary Log tab", "Present in Vendor Summary Log tab")</f>
        <v>NOT PRESENT in Vendor Summary Log tab</v>
      </c>
    </row>
    <row r="145" spans="1:2" x14ac:dyDescent="0.25">
      <c r="A145" s="139" t="s">
        <v>669</v>
      </c>
      <c r="B145" s="93" t="str">
        <f>IF(ISERROR(VLOOKUP(A145, PULL_UPDATES!A:A, 1, FALSE)), "NOT PRESENT in Vendor Summary Log tab", "Present in Vendor Summary Log tab")</f>
        <v>NOT PRESENT in Vendor Summary Log tab</v>
      </c>
    </row>
    <row r="146" spans="1:2" x14ac:dyDescent="0.25">
      <c r="A146" s="139" t="s">
        <v>739</v>
      </c>
      <c r="B146" s="93" t="str">
        <f>IF(ISERROR(VLOOKUP(A146, PULL_UPDATES!A:A, 1, FALSE)), "NOT PRESENT in Vendor Summary Log tab", "Present in Vendor Summary Log tab")</f>
        <v>NOT PRESENT in Vendor Summary Log tab</v>
      </c>
    </row>
    <row r="147" spans="1:2" x14ac:dyDescent="0.25">
      <c r="A147" s="139" t="s">
        <v>670</v>
      </c>
      <c r="B147" s="93" t="str">
        <f>IF(ISERROR(VLOOKUP(A147, PULL_UPDATES!A:A, 1, FALSE)), "NOT PRESENT in Vendor Summary Log tab", "Present in Vendor Summary Log tab")</f>
        <v>NOT PRESENT in Vendor Summary Log tab</v>
      </c>
    </row>
    <row r="148" spans="1:2" x14ac:dyDescent="0.25">
      <c r="A148" s="139" t="s">
        <v>671</v>
      </c>
      <c r="B148" s="93" t="str">
        <f>IF(ISERROR(VLOOKUP(A148, PULL_UPDATES!A:A, 1, FALSE)), "NOT PRESENT in Vendor Summary Log tab", "Present in Vendor Summary Log tab")</f>
        <v>NOT PRESENT in Vendor Summary Log tab</v>
      </c>
    </row>
    <row r="149" spans="1:2" x14ac:dyDescent="0.25">
      <c r="A149" t="s">
        <v>672</v>
      </c>
      <c r="B149" s="93" t="str">
        <f>IF(ISERROR(VLOOKUP(A149, PULL_UPDATES!A:A, 1, FALSE)), "NOT PRESENT in Vendor Summary Log tab", "Present in Vendor Summary Log tab")</f>
        <v>NOT PRESENT in Vendor Summary Log tab</v>
      </c>
    </row>
    <row r="150" spans="1:2" x14ac:dyDescent="0.25">
      <c r="A150" t="s">
        <v>673</v>
      </c>
      <c r="B150" s="93" t="str">
        <f>IF(ISERROR(VLOOKUP(A150, PULL_UPDATES!A:A, 1, FALSE)), "NOT PRESENT in Vendor Summary Log tab", "Present in Vendor Summary Log tab")</f>
        <v>NOT PRESENT in Vendor Summary Log tab</v>
      </c>
    </row>
    <row r="151" spans="1:2" x14ac:dyDescent="0.25">
      <c r="A151" t="s">
        <v>710</v>
      </c>
      <c r="B151" s="93" t="str">
        <f>IF(ISERROR(VLOOKUP(A151, PULL_UPDATES!A:A, 1, FALSE)), "NOT PRESENT in Vendor Summary Log tab", "Present in Vendor Summary Log tab")</f>
        <v>NOT PRESENT in Vendor Summary Log tab</v>
      </c>
    </row>
    <row r="152" spans="1:2" x14ac:dyDescent="0.25">
      <c r="A152" t="s">
        <v>765</v>
      </c>
      <c r="B152" s="93" t="str">
        <f>IF(ISERROR(VLOOKUP(A152, PULL_UPDATES!A:A, 1, FALSE)), "NOT PRESENT in Vendor Summary Log tab", "Present in Vendor Summary Log tab")</f>
        <v>NOT PRESENT in Vendor Summary Log tab</v>
      </c>
    </row>
    <row r="153" spans="1:2" x14ac:dyDescent="0.25">
      <c r="A153" t="s">
        <v>674</v>
      </c>
      <c r="B153" s="93" t="str">
        <f>IF(ISERROR(VLOOKUP(A153, PULL_UPDATES!A:A, 1, FALSE)), "NOT PRESENT in Vendor Summary Log tab", "Present in Vendor Summary Log tab")</f>
        <v>NOT PRESENT in Vendor Summary Log tab</v>
      </c>
    </row>
    <row r="154" spans="1:2" x14ac:dyDescent="0.25">
      <c r="A154" t="s">
        <v>675</v>
      </c>
      <c r="B154" s="93" t="str">
        <f>IF(ISERROR(VLOOKUP(A154, PULL_UPDATES!A:A, 1, FALSE)), "NOT PRESENT in Vendor Summary Log tab", "Present in Vendor Summary Log tab")</f>
        <v>NOT PRESENT in Vendor Summary Log tab</v>
      </c>
    </row>
    <row r="155" spans="1:2" x14ac:dyDescent="0.25">
      <c r="A155" t="s">
        <v>718</v>
      </c>
      <c r="B155" s="93" t="str">
        <f>IF(ISERROR(VLOOKUP(A155, PULL_UPDATES!A:A, 1, FALSE)), "NOT PRESENT in Vendor Summary Log tab", "Present in Vendor Summary Log tab")</f>
        <v>NOT PRESENT in Vendor Summary Log tab</v>
      </c>
    </row>
    <row r="156" spans="1:2" x14ac:dyDescent="0.25">
      <c r="A156" t="s">
        <v>773</v>
      </c>
      <c r="B156" s="93" t="str">
        <f>IF(ISERROR(VLOOKUP(A156, PULL_UPDATES!A:A, 1, FALSE)), "NOT PRESENT in Vendor Summary Log tab", "Present in Vendor Summary Log tab")</f>
        <v>NOT PRESENT in Vendor Summary Log tab</v>
      </c>
    </row>
    <row r="157" spans="1:2" x14ac:dyDescent="0.25">
      <c r="A157" t="s">
        <v>676</v>
      </c>
      <c r="B157" s="93" t="str">
        <f>IF(ISERROR(VLOOKUP(A157, PULL_UPDATES!A:A, 1, FALSE)), "NOT PRESENT in Vendor Summary Log tab", "Present in Vendor Summary Log tab")</f>
        <v>NOT PRESENT in Vendor Summary Log tab</v>
      </c>
    </row>
    <row r="158" spans="1:2" x14ac:dyDescent="0.25">
      <c r="A158" t="s">
        <v>740</v>
      </c>
      <c r="B158" s="93" t="str">
        <f>IF(ISERROR(VLOOKUP(A158, PULL_UPDATES!A:A, 1, FALSE)), "NOT PRESENT in Vendor Summary Log tab", "Present in Vendor Summary Log tab")</f>
        <v>NOT PRESENT in Vendor Summary Log tab</v>
      </c>
    </row>
    <row r="159" spans="1:2" x14ac:dyDescent="0.25">
      <c r="A159" t="s">
        <v>741</v>
      </c>
      <c r="B159" s="93" t="str">
        <f>IF(ISERROR(VLOOKUP(A159, PULL_UPDATES!A:A, 1, FALSE)), "NOT PRESENT in Vendor Summary Log tab", "Present in Vendor Summary Log tab")</f>
        <v>NOT PRESENT in Vendor Summary Log tab</v>
      </c>
    </row>
    <row r="160" spans="1:2" x14ac:dyDescent="0.25">
      <c r="A160" t="s">
        <v>742</v>
      </c>
      <c r="B160" s="93" t="str">
        <f>IF(ISERROR(VLOOKUP(A160, PULL_UPDATES!A:A, 1, FALSE)), "NOT PRESENT in Vendor Summary Log tab", "Present in Vendor Summary Log tab")</f>
        <v>NOT PRESENT in Vendor Summary Log tab</v>
      </c>
    </row>
    <row r="161" spans="1:2" x14ac:dyDescent="0.25">
      <c r="A161" t="s">
        <v>760</v>
      </c>
      <c r="B161" s="93" t="str">
        <f>IF(ISERROR(VLOOKUP(A161, PULL_UPDATES!A:A, 1, FALSE)), "NOT PRESENT in Vendor Summary Log tab", "Present in Vendor Summary Log tab")</f>
        <v>NOT PRESENT in Vendor Summary Log tab</v>
      </c>
    </row>
    <row r="162" spans="1:2" x14ac:dyDescent="0.25">
      <c r="A162" t="s">
        <v>677</v>
      </c>
      <c r="B162" s="93" t="str">
        <f>IF(ISERROR(VLOOKUP(A162, PULL_UPDATES!A:A, 1, FALSE)), "NOT PRESENT in Vendor Summary Log tab", "Present in Vendor Summary Log tab")</f>
        <v>NOT PRESENT in Vendor Summary Log tab</v>
      </c>
    </row>
    <row r="163" spans="1:2" x14ac:dyDescent="0.25">
      <c r="A163" t="s">
        <v>715</v>
      </c>
      <c r="B163" s="93" t="str">
        <f>IF(ISERROR(VLOOKUP(A163, PULL_UPDATES!A:A, 1, FALSE)), "NOT PRESENT in Vendor Summary Log tab", "Present in Vendor Summary Log tab")</f>
        <v>NOT PRESENT in Vendor Summary Log tab</v>
      </c>
    </row>
    <row r="164" spans="1:2" x14ac:dyDescent="0.25">
      <c r="A164" t="s">
        <v>774</v>
      </c>
      <c r="B164" s="93" t="str">
        <f>IF(ISERROR(VLOOKUP(A164, PULL_UPDATES!A:A, 1, FALSE)), "NOT PRESENT in Vendor Summary Log tab", "Present in Vendor Summary Log tab")</f>
        <v>NOT PRESENT in Vendor Summary Log tab</v>
      </c>
    </row>
    <row r="165" spans="1:2" x14ac:dyDescent="0.25">
      <c r="A165" t="s">
        <v>678</v>
      </c>
      <c r="B165" s="93" t="str">
        <f>IF(ISERROR(VLOOKUP(A165, PULL_UPDATES!A:A, 1, FALSE)), "NOT PRESENT in Vendor Summary Log tab", "Present in Vendor Summary Log tab")</f>
        <v>NOT PRESENT in Vendor Summary Log tab</v>
      </c>
    </row>
    <row r="166" spans="1:2" x14ac:dyDescent="0.25">
      <c r="A166" t="s">
        <v>766</v>
      </c>
      <c r="B166" s="93" t="str">
        <f>IF(ISERROR(VLOOKUP(A166, PULL_UPDATES!A:A, 1, FALSE)), "NOT PRESENT in Vendor Summary Log tab", "Present in Vendor Summary Log tab")</f>
        <v>NOT PRESENT in Vendor Summary Log tab</v>
      </c>
    </row>
    <row r="167" spans="1:2" x14ac:dyDescent="0.25">
      <c r="A167" t="s">
        <v>679</v>
      </c>
      <c r="B167" s="93" t="str">
        <f>IF(ISERROR(VLOOKUP(A167, PULL_UPDATES!A:A, 1, FALSE)), "NOT PRESENT in Vendor Summary Log tab", "Present in Vendor Summary Log tab")</f>
        <v>NOT PRESENT in Vendor Summary Log tab</v>
      </c>
    </row>
    <row r="168" spans="1:2" x14ac:dyDescent="0.25">
      <c r="A168" t="s">
        <v>680</v>
      </c>
      <c r="B168" s="93" t="str">
        <f>IF(ISERROR(VLOOKUP(A168, PULL_UPDATES!A:A, 1, FALSE)), "NOT PRESENT in Vendor Summary Log tab", "Present in Vendor Summary Log tab")</f>
        <v>NOT PRESENT in Vendor Summary Log tab</v>
      </c>
    </row>
    <row r="169" spans="1:2" x14ac:dyDescent="0.25">
      <c r="A169" t="s">
        <v>681</v>
      </c>
      <c r="B169" s="93" t="str">
        <f>IF(ISERROR(VLOOKUP(A169, PULL_UPDATES!A:A, 1, FALSE)), "NOT PRESENT in Vendor Summary Log tab", "Present in Vendor Summary Log tab")</f>
        <v>NOT PRESENT in Vendor Summary Log tab</v>
      </c>
    </row>
    <row r="170" spans="1:2" x14ac:dyDescent="0.25">
      <c r="A170" t="s">
        <v>682</v>
      </c>
      <c r="B170" s="93" t="str">
        <f>IF(ISERROR(VLOOKUP(A170, PULL_UPDATES!A:A, 1, FALSE)), "NOT PRESENT in Vendor Summary Log tab", "Present in Vendor Summary Log tab")</f>
        <v>NOT PRESENT in Vendor Summary Log tab</v>
      </c>
    </row>
    <row r="171" spans="1:2" x14ac:dyDescent="0.25">
      <c r="A171" t="s">
        <v>683</v>
      </c>
      <c r="B171" s="93" t="str">
        <f>IF(ISERROR(VLOOKUP(A171, PULL_UPDATES!A:A, 1, FALSE)), "NOT PRESENT in Vendor Summary Log tab", "Present in Vendor Summary Log tab")</f>
        <v>NOT PRESENT in Vendor Summary Log tab</v>
      </c>
    </row>
    <row r="172" spans="1:2" x14ac:dyDescent="0.25">
      <c r="A172" t="s">
        <v>761</v>
      </c>
      <c r="B172" s="93" t="str">
        <f>IF(ISERROR(VLOOKUP(A172, PULL_UPDATES!A:A, 1, FALSE)), "NOT PRESENT in Vendor Summary Log tab", "Present in Vendor Summary Log tab")</f>
        <v>NOT PRESENT in Vendor Summary Log tab</v>
      </c>
    </row>
    <row r="173" spans="1:2" x14ac:dyDescent="0.25">
      <c r="A173" t="s">
        <v>684</v>
      </c>
      <c r="B173" s="93" t="str">
        <f>IF(ISERROR(VLOOKUP(A173, PULL_UPDATES!A:A, 1, FALSE)), "NOT PRESENT in Vendor Summary Log tab", "Present in Vendor Summary Log tab")</f>
        <v>NOT PRESENT in Vendor Summary Log tab</v>
      </c>
    </row>
    <row r="174" spans="1:2" x14ac:dyDescent="0.25">
      <c r="A174" t="s">
        <v>754</v>
      </c>
      <c r="B174" s="93" t="str">
        <f>IF(ISERROR(VLOOKUP(A174, PULL_UPDATES!A:A, 1, FALSE)), "NOT PRESENT in Vendor Summary Log tab", "Present in Vendor Summary Log tab")</f>
        <v>NOT PRESENT in Vendor Summary Log tab</v>
      </c>
    </row>
    <row r="175" spans="1:2" x14ac:dyDescent="0.25">
      <c r="A175" t="s">
        <v>762</v>
      </c>
      <c r="B175" s="93" t="str">
        <f>IF(ISERROR(VLOOKUP(A175, PULL_UPDATES!A:A, 1, FALSE)), "NOT PRESENT in Vendor Summary Log tab", "Present in Vendor Summary Log tab")</f>
        <v>NOT PRESENT in Vendor Summary Log tab</v>
      </c>
    </row>
    <row r="176" spans="1:2" x14ac:dyDescent="0.25">
      <c r="A176" t="s">
        <v>685</v>
      </c>
      <c r="B176" s="93" t="str">
        <f>IF(ISERROR(VLOOKUP(A176, PULL_UPDATES!A:A, 1, FALSE)), "NOT PRESENT in Vendor Summary Log tab", "Present in Vendor Summary Log tab")</f>
        <v>NOT PRESENT in Vendor Summary Log tab</v>
      </c>
    </row>
    <row r="177" spans="1:2" x14ac:dyDescent="0.25">
      <c r="A177" t="s">
        <v>686</v>
      </c>
      <c r="B177" s="93" t="str">
        <f>IF(ISERROR(VLOOKUP(A177, PULL_UPDATES!A:A, 1, FALSE)), "NOT PRESENT in Vendor Summary Log tab", "Present in Vendor Summary Log tab")</f>
        <v>NOT PRESENT in Vendor Summary Log tab</v>
      </c>
    </row>
    <row r="178" spans="1:2" x14ac:dyDescent="0.25">
      <c r="A178" t="s">
        <v>687</v>
      </c>
      <c r="B178" s="93" t="str">
        <f>IF(ISERROR(VLOOKUP(A178, PULL_UPDATES!A:A, 1, FALSE)), "NOT PRESENT in Vendor Summary Log tab", "Present in Vendor Summary Log tab")</f>
        <v>NOT PRESENT in Vendor Summary Log tab</v>
      </c>
    </row>
    <row r="179" spans="1:2" x14ac:dyDescent="0.25">
      <c r="A179" t="s">
        <v>688</v>
      </c>
      <c r="B179" s="93" t="str">
        <f>IF(ISERROR(VLOOKUP(A179, PULL_UPDATES!A:A, 1, FALSE)), "NOT PRESENT in Vendor Summary Log tab", "Present in Vendor Summary Log tab")</f>
        <v>NOT PRESENT in Vendor Summary Log tab</v>
      </c>
    </row>
    <row r="180" spans="1:2" x14ac:dyDescent="0.25">
      <c r="A180" t="s">
        <v>723</v>
      </c>
      <c r="B180" s="93" t="str">
        <f>IF(ISERROR(VLOOKUP(A180, PULL_UPDATES!A:A, 1, FALSE)), "NOT PRESENT in Vendor Summary Log tab", "Present in Vendor Summary Log tab")</f>
        <v>NOT PRESENT in Vendor Summary Log tab</v>
      </c>
    </row>
    <row r="181" spans="1:2" x14ac:dyDescent="0.25">
      <c r="A181" t="s">
        <v>689</v>
      </c>
      <c r="B181" s="93" t="str">
        <f>IF(ISERROR(VLOOKUP(A181, PULL_UPDATES!A:A, 1, FALSE)), "NOT PRESENT in Vendor Summary Log tab", "Present in Vendor Summary Log tab")</f>
        <v>NOT PRESENT in Vendor Summary Log tab</v>
      </c>
    </row>
    <row r="182" spans="1:2" x14ac:dyDescent="0.25">
      <c r="A182" t="s">
        <v>743</v>
      </c>
      <c r="B182" s="93" t="str">
        <f>IF(ISERROR(VLOOKUP(A182, PULL_UPDATES!A:A, 1, FALSE)), "NOT PRESENT in Vendor Summary Log tab", "Present in Vendor Summary Log tab")</f>
        <v>NOT PRESENT in Vendor Summary Log tab</v>
      </c>
    </row>
    <row r="183" spans="1:2" x14ac:dyDescent="0.25">
      <c r="A183" t="s">
        <v>763</v>
      </c>
      <c r="B183" s="93" t="str">
        <f>IF(ISERROR(VLOOKUP(A183, PULL_UPDATES!A:A, 1, FALSE)), "NOT PRESENT in Vendor Summary Log tab", "Present in Vendor Summary Log tab")</f>
        <v>NOT PRESENT in Vendor Summary Log tab</v>
      </c>
    </row>
    <row r="184" spans="1:2" x14ac:dyDescent="0.25">
      <c r="A184" t="s">
        <v>690</v>
      </c>
      <c r="B184" s="93" t="str">
        <f>IF(ISERROR(VLOOKUP(A184, PULL_UPDATES!A:A, 1, FALSE)), "NOT PRESENT in Vendor Summary Log tab", "Present in Vendor Summary Log tab")</f>
        <v>NOT PRESENT in Vendor Summary Log tab</v>
      </c>
    </row>
    <row r="185" spans="1:2" x14ac:dyDescent="0.25">
      <c r="A185" t="s">
        <v>691</v>
      </c>
      <c r="B185" s="93" t="str">
        <f>IF(ISERROR(VLOOKUP(A185, PULL_UPDATES!A:A, 1, FALSE)), "NOT PRESENT in Vendor Summary Log tab", "Present in Vendor Summary Log tab")</f>
        <v>NOT PRESENT in Vendor Summary Log tab</v>
      </c>
    </row>
    <row r="186" spans="1:2" x14ac:dyDescent="0.25">
      <c r="A186" t="s">
        <v>692</v>
      </c>
      <c r="B186" s="93" t="str">
        <f>IF(ISERROR(VLOOKUP(A186, PULL_UPDATES!A:A, 1, FALSE)), "NOT PRESENT in Vendor Summary Log tab", "Present in Vendor Summary Log tab")</f>
        <v>NOT PRESENT in Vendor Summary Log tab</v>
      </c>
    </row>
    <row r="187" spans="1:2" x14ac:dyDescent="0.25">
      <c r="A187" t="s">
        <v>764</v>
      </c>
      <c r="B187" s="93" t="str">
        <f>IF(ISERROR(VLOOKUP(A187, PULL_UPDATES!A:A, 1, FALSE)), "NOT PRESENT in Vendor Summary Log tab", "Present in Vendor Summary Log tab")</f>
        <v>NOT PRESENT in Vendor Summary Log tab</v>
      </c>
    </row>
    <row r="188" spans="1:2" x14ac:dyDescent="0.25">
      <c r="A188" t="s">
        <v>769</v>
      </c>
      <c r="B188" s="93" t="str">
        <f>IF(ISERROR(VLOOKUP(A188, PULL_UPDATES!A:A, 1, FALSE)), "NOT PRESENT in Vendor Summary Log tab", "Present in Vendor Summary Log tab")</f>
        <v>NOT PRESENT in Vendor Summary Log tab</v>
      </c>
    </row>
    <row r="189" spans="1:2" x14ac:dyDescent="0.25">
      <c r="A189" t="s">
        <v>744</v>
      </c>
      <c r="B189" s="93" t="str">
        <f>IF(ISERROR(VLOOKUP(A189, PULL_UPDATES!A:A, 1, FALSE)), "NOT PRESENT in Vendor Summary Log tab", "Present in Vendor Summary Log tab")</f>
        <v>NOT PRESENT in Vendor Summary Log tab</v>
      </c>
    </row>
    <row r="190" spans="1:2" x14ac:dyDescent="0.25">
      <c r="A190" t="s">
        <v>770</v>
      </c>
      <c r="B190" s="93" t="str">
        <f>IF(ISERROR(VLOOKUP(A190, PULL_UPDATES!A:A, 1, FALSE)), "NOT PRESENT in Vendor Summary Log tab", "Present in Vendor Summary Log tab")</f>
        <v>NOT PRESENT in Vendor Summary Log tab</v>
      </c>
    </row>
    <row r="191" spans="1:2" x14ac:dyDescent="0.25">
      <c r="A191" t="s">
        <v>693</v>
      </c>
      <c r="B191" s="93" t="str">
        <f>IF(ISERROR(VLOOKUP(A191, PULL_UPDATES!A:A, 1, FALSE)), "NOT PRESENT in Vendor Summary Log tab", "Present in Vendor Summary Log tab")</f>
        <v>NOT PRESENT in Vendor Summary Log tab</v>
      </c>
    </row>
  </sheetData>
  <autoFilter ref="A1:F191" xr:uid="{52F1A25E-2747-413A-8C71-BD30E35BF6DF}"/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EAEFD-E9AE-43AA-9671-FDE5BF15936A}">
  <sheetPr codeName="Sheet3"/>
  <dimension ref="A1:F526"/>
  <sheetViews>
    <sheetView workbookViewId="0">
      <selection activeCell="A39" sqref="A39"/>
    </sheetView>
  </sheetViews>
  <sheetFormatPr defaultRowHeight="15" x14ac:dyDescent="0.25"/>
  <cols>
    <col min="1" max="1" width="119.140625" bestFit="1" customWidth="1"/>
    <col min="2" max="2" width="10.28515625" bestFit="1" customWidth="1"/>
    <col min="3" max="3" width="16.140625" bestFit="1" customWidth="1"/>
  </cols>
  <sheetData>
    <row r="1" spans="1:6" x14ac:dyDescent="0.25">
      <c r="F1" s="126" t="s">
        <v>572</v>
      </c>
    </row>
    <row r="2" spans="1:6" x14ac:dyDescent="0.25">
      <c r="A2" s="93" t="str">
        <f>IFERROR(VLOOKUP("*"&amp;Table32[[#This Row],[Business Partner]]&amp;"*", 'Directory Snapshot'!A:A, 1, FALSE), "")</f>
        <v>File Names</v>
      </c>
      <c r="B2" t="str">
        <f>IF(LEN(A2)=0, "", "Statement")</f>
        <v>Statement</v>
      </c>
      <c r="C2" t="str">
        <f>IF(LEN(A2)=0, "", "Processing Sheet")</f>
        <v>Processing Sheet</v>
      </c>
      <c r="F2" t="s">
        <v>697</v>
      </c>
    </row>
    <row r="3" spans="1:6" x14ac:dyDescent="0.25">
      <c r="A3" s="93" t="str">
        <f>IFERROR(VLOOKUP("*"&amp;Table32[[#This Row],[Business Partner]]&amp;"*", 'Directory Snapshot'!A:A, 1, FALSE), "")</f>
        <v>File Names</v>
      </c>
      <c r="B3" s="93" t="str">
        <f t="shared" ref="B3:B66" si="0">IF(LEN(A3)=0, "", "Statement")</f>
        <v>Statement</v>
      </c>
      <c r="C3" s="93" t="str">
        <f t="shared" ref="C3:C66" si="1">IF(LEN(A3)=0, "", "Processing Sheet")</f>
        <v>Processing Sheet</v>
      </c>
      <c r="F3" s="93" t="s">
        <v>700</v>
      </c>
    </row>
    <row r="4" spans="1:6" x14ac:dyDescent="0.25">
      <c r="A4" s="93" t="str">
        <f>IFERROR(VLOOKUP("*"&amp;Table32[[#This Row],[Business Partner]]&amp;"*", 'Directory Snapshot'!A:A, 1, FALSE), "")</f>
        <v>File Names</v>
      </c>
      <c r="B4" s="93" t="str">
        <f t="shared" si="0"/>
        <v>Statement</v>
      </c>
      <c r="C4" s="93" t="str">
        <f t="shared" si="1"/>
        <v>Processing Sheet</v>
      </c>
      <c r="F4" s="126" t="s">
        <v>698</v>
      </c>
    </row>
    <row r="5" spans="1:6" x14ac:dyDescent="0.25">
      <c r="A5" s="93" t="str">
        <f>IFERROR(VLOOKUP("*"&amp;Table32[[#This Row],[Business Partner]]&amp;"*", 'Directory Snapshot'!A:A, 1, FALSE), "")</f>
        <v>File Names</v>
      </c>
      <c r="B5" s="93" t="str">
        <f t="shared" si="0"/>
        <v>Statement</v>
      </c>
      <c r="C5" s="93" t="str">
        <f t="shared" si="1"/>
        <v>Processing Sheet</v>
      </c>
    </row>
    <row r="6" spans="1:6" x14ac:dyDescent="0.25">
      <c r="A6" s="93" t="str">
        <f>IFERROR(VLOOKUP("*"&amp;Table32[[#This Row],[Business Partner]]&amp;"*", 'Directory Snapshot'!A:A, 1, FALSE), "")</f>
        <v>File Names</v>
      </c>
      <c r="B6" s="93" t="str">
        <f t="shared" si="0"/>
        <v>Statement</v>
      </c>
      <c r="C6" s="93" t="str">
        <f t="shared" si="1"/>
        <v>Processing Sheet</v>
      </c>
    </row>
    <row r="7" spans="1:6" x14ac:dyDescent="0.25">
      <c r="A7" s="93" t="str">
        <f>IFERROR(VLOOKUP("*"&amp;Table32[[#This Row],[Business Partner]]&amp;"*", 'Directory Snapshot'!A:A, 1, FALSE), "")</f>
        <v>File Names</v>
      </c>
      <c r="B7" s="93" t="str">
        <f t="shared" si="0"/>
        <v>Statement</v>
      </c>
      <c r="C7" s="93" t="str">
        <f t="shared" si="1"/>
        <v>Processing Sheet</v>
      </c>
    </row>
    <row r="8" spans="1:6" x14ac:dyDescent="0.25">
      <c r="A8" s="93" t="str">
        <f>IFERROR(VLOOKUP("*"&amp;Table32[[#This Row],[Business Partner]]&amp;"*", 'Directory Snapshot'!A:A, 1, FALSE), "")</f>
        <v>File Names</v>
      </c>
      <c r="B8" s="93" t="str">
        <f t="shared" si="0"/>
        <v>Statement</v>
      </c>
      <c r="C8" s="93" t="str">
        <f t="shared" si="1"/>
        <v>Processing Sheet</v>
      </c>
    </row>
    <row r="9" spans="1:6" x14ac:dyDescent="0.25">
      <c r="A9" s="93" t="str">
        <f>IFERROR(VLOOKUP("*"&amp;Table32[[#This Row],[Business Partner]]&amp;"*", 'Directory Snapshot'!A:A, 1, FALSE), "")</f>
        <v>File Names</v>
      </c>
      <c r="B9" s="93" t="str">
        <f t="shared" si="0"/>
        <v>Statement</v>
      </c>
      <c r="C9" s="93" t="str">
        <f t="shared" si="1"/>
        <v>Processing Sheet</v>
      </c>
    </row>
    <row r="10" spans="1:6" x14ac:dyDescent="0.25">
      <c r="A10" s="93" t="str">
        <f>IFERROR(VLOOKUP("*"&amp;Table32[[#This Row],[Business Partner]]&amp;"*", 'Directory Snapshot'!A:A, 1, FALSE), "")</f>
        <v>File Names</v>
      </c>
      <c r="B10" s="93" t="str">
        <f t="shared" si="0"/>
        <v>Statement</v>
      </c>
      <c r="C10" s="93" t="str">
        <f t="shared" si="1"/>
        <v>Processing Sheet</v>
      </c>
    </row>
    <row r="11" spans="1:6" x14ac:dyDescent="0.25">
      <c r="A11" s="93" t="str">
        <f>IFERROR(VLOOKUP("*"&amp;Table32[[#This Row],[Business Partner]]&amp;"*", 'Directory Snapshot'!A:A, 1, FALSE), "")</f>
        <v>File Names</v>
      </c>
      <c r="B11" s="93" t="str">
        <f t="shared" si="0"/>
        <v>Statement</v>
      </c>
      <c r="C11" s="93" t="str">
        <f t="shared" si="1"/>
        <v>Processing Sheet</v>
      </c>
    </row>
    <row r="12" spans="1:6" x14ac:dyDescent="0.25">
      <c r="A12" s="93" t="str">
        <f>IFERROR(VLOOKUP("*"&amp;Table32[[#This Row],[Business Partner]]&amp;"*", 'Directory Snapshot'!A:A, 1, FALSE), "")</f>
        <v>File Names</v>
      </c>
      <c r="B12" s="93" t="str">
        <f t="shared" si="0"/>
        <v>Statement</v>
      </c>
      <c r="C12" s="93" t="str">
        <f t="shared" si="1"/>
        <v>Processing Sheet</v>
      </c>
    </row>
    <row r="13" spans="1:6" x14ac:dyDescent="0.25">
      <c r="A13" s="93" t="str">
        <f>IFERROR(VLOOKUP("*"&amp;Table32[[#This Row],[Business Partner]]&amp;"*", 'Directory Snapshot'!A:A, 1, FALSE), "")</f>
        <v>File Names</v>
      </c>
      <c r="B13" s="93" t="str">
        <f t="shared" si="0"/>
        <v>Statement</v>
      </c>
      <c r="C13" s="93" t="str">
        <f t="shared" si="1"/>
        <v>Processing Sheet</v>
      </c>
    </row>
    <row r="14" spans="1:6" x14ac:dyDescent="0.25">
      <c r="A14" s="93" t="str">
        <f>IFERROR(VLOOKUP("*"&amp;Table32[[#This Row],[Business Partner]]&amp;"*", 'Directory Snapshot'!A:A, 1, FALSE), "")</f>
        <v>File Names</v>
      </c>
      <c r="B14" s="93" t="str">
        <f t="shared" si="0"/>
        <v>Statement</v>
      </c>
      <c r="C14" s="93" t="str">
        <f t="shared" si="1"/>
        <v>Processing Sheet</v>
      </c>
    </row>
    <row r="15" spans="1:6" x14ac:dyDescent="0.25">
      <c r="A15" s="93" t="str">
        <f>IFERROR(VLOOKUP("*"&amp;Table32[[#This Row],[Business Partner]]&amp;"*", 'Directory Snapshot'!A:A, 1, FALSE), "")</f>
        <v>File Names</v>
      </c>
      <c r="B15" s="93" t="str">
        <f t="shared" si="0"/>
        <v>Statement</v>
      </c>
      <c r="C15" s="93" t="str">
        <f t="shared" si="1"/>
        <v>Processing Sheet</v>
      </c>
    </row>
    <row r="16" spans="1:6" x14ac:dyDescent="0.25">
      <c r="A16" s="93" t="str">
        <f>IFERROR(VLOOKUP("*"&amp;Table32[[#This Row],[Business Partner]]&amp;"*", 'Directory Snapshot'!A:A, 1, FALSE), "")</f>
        <v>File Names</v>
      </c>
      <c r="B16" s="93" t="str">
        <f t="shared" si="0"/>
        <v>Statement</v>
      </c>
      <c r="C16" s="93" t="str">
        <f t="shared" si="1"/>
        <v>Processing Sheet</v>
      </c>
    </row>
    <row r="17" spans="1:3" x14ac:dyDescent="0.25">
      <c r="A17" s="93" t="str">
        <f>IFERROR(VLOOKUP("*"&amp;Table32[[#This Row],[Business Partner]]&amp;"*", 'Directory Snapshot'!A:A, 1, FALSE), "")</f>
        <v>File Names</v>
      </c>
      <c r="B17" s="93" t="str">
        <f t="shared" si="0"/>
        <v>Statement</v>
      </c>
      <c r="C17" s="93" t="str">
        <f t="shared" si="1"/>
        <v>Processing Sheet</v>
      </c>
    </row>
    <row r="18" spans="1:3" x14ac:dyDescent="0.25">
      <c r="A18" s="93" t="str">
        <f>IFERROR(VLOOKUP("*"&amp;Table32[[#This Row],[Business Partner]]&amp;"*", 'Directory Snapshot'!A:A, 1, FALSE), "")</f>
        <v>File Names</v>
      </c>
      <c r="B18" s="93" t="str">
        <f t="shared" si="0"/>
        <v>Statement</v>
      </c>
      <c r="C18" s="93" t="str">
        <f t="shared" si="1"/>
        <v>Processing Sheet</v>
      </c>
    </row>
    <row r="19" spans="1:3" x14ac:dyDescent="0.25">
      <c r="A19" s="93" t="str">
        <f>IFERROR(VLOOKUP("*"&amp;Table32[[#This Row],[Business Partner]]&amp;"*", 'Directory Snapshot'!A:A, 1, FALSE), "")</f>
        <v>File Names</v>
      </c>
      <c r="B19" s="93" t="str">
        <f t="shared" si="0"/>
        <v>Statement</v>
      </c>
      <c r="C19" s="93" t="str">
        <f t="shared" si="1"/>
        <v>Processing Sheet</v>
      </c>
    </row>
    <row r="20" spans="1:3" x14ac:dyDescent="0.25">
      <c r="A20" s="93" t="str">
        <f>IFERROR(VLOOKUP("*"&amp;Table32[[#This Row],[Business Partner]]&amp;"*", 'Directory Snapshot'!A:A, 1, FALSE), "")</f>
        <v>File Names</v>
      </c>
      <c r="B20" s="93" t="str">
        <f t="shared" si="0"/>
        <v>Statement</v>
      </c>
      <c r="C20" s="93" t="str">
        <f t="shared" si="1"/>
        <v>Processing Sheet</v>
      </c>
    </row>
    <row r="21" spans="1:3" x14ac:dyDescent="0.25">
      <c r="A21" s="93" t="str">
        <f>IFERROR(VLOOKUP("*"&amp;Table32[[#This Row],[Business Partner]]&amp;"*", 'Directory Snapshot'!A:A, 1, FALSE), "")</f>
        <v>File Names</v>
      </c>
      <c r="B21" s="93" t="str">
        <f t="shared" si="0"/>
        <v>Statement</v>
      </c>
      <c r="C21" s="93" t="str">
        <f t="shared" si="1"/>
        <v>Processing Sheet</v>
      </c>
    </row>
    <row r="22" spans="1:3" x14ac:dyDescent="0.25">
      <c r="A22" s="93" t="str">
        <f>IFERROR(VLOOKUP("*"&amp;Table32[[#This Row],[Business Partner]]&amp;"*", 'Directory Snapshot'!A:A, 1, FALSE), "")</f>
        <v>File Names</v>
      </c>
      <c r="B22" s="93" t="str">
        <f t="shared" si="0"/>
        <v>Statement</v>
      </c>
      <c r="C22" s="93" t="str">
        <f t="shared" si="1"/>
        <v>Processing Sheet</v>
      </c>
    </row>
    <row r="23" spans="1:3" x14ac:dyDescent="0.25">
      <c r="A23" s="93" t="str">
        <f>IFERROR(VLOOKUP("*"&amp;Table32[[#This Row],[Business Partner]]&amp;"*", 'Directory Snapshot'!A:A, 1, FALSE), "")</f>
        <v>File Names</v>
      </c>
      <c r="B23" s="93" t="str">
        <f t="shared" si="0"/>
        <v>Statement</v>
      </c>
      <c r="C23" s="93" t="str">
        <f t="shared" si="1"/>
        <v>Processing Sheet</v>
      </c>
    </row>
    <row r="24" spans="1:3" x14ac:dyDescent="0.25">
      <c r="A24" s="93" t="str">
        <f>IFERROR(VLOOKUP("*"&amp;Table32[[#This Row],[Business Partner]]&amp;"*", 'Directory Snapshot'!A:A, 1, FALSE), "")</f>
        <v>File Names</v>
      </c>
      <c r="B24" s="93" t="str">
        <f t="shared" si="0"/>
        <v>Statement</v>
      </c>
      <c r="C24" s="93" t="str">
        <f t="shared" si="1"/>
        <v>Processing Sheet</v>
      </c>
    </row>
    <row r="25" spans="1:3" x14ac:dyDescent="0.25">
      <c r="A25" s="93" t="str">
        <f>IFERROR(VLOOKUP("*"&amp;Table32[[#This Row],[Business Partner]]&amp;"*", 'Directory Snapshot'!A:A, 1, FALSE), "")</f>
        <v>File Names</v>
      </c>
      <c r="B25" s="93" t="str">
        <f t="shared" si="0"/>
        <v>Statement</v>
      </c>
      <c r="C25" s="93" t="str">
        <f t="shared" si="1"/>
        <v>Processing Sheet</v>
      </c>
    </row>
    <row r="26" spans="1:3" x14ac:dyDescent="0.25">
      <c r="A26" s="93" t="str">
        <f>IFERROR(VLOOKUP("*"&amp;Table32[[#This Row],[Business Partner]]&amp;"*", 'Directory Snapshot'!A:A, 1, FALSE), "")</f>
        <v>File Names</v>
      </c>
      <c r="B26" s="93" t="str">
        <f t="shared" si="0"/>
        <v>Statement</v>
      </c>
      <c r="C26" s="93" t="str">
        <f t="shared" si="1"/>
        <v>Processing Sheet</v>
      </c>
    </row>
    <row r="27" spans="1:3" x14ac:dyDescent="0.25">
      <c r="A27" s="93" t="str">
        <f>IFERROR(VLOOKUP("*"&amp;Table32[[#This Row],[Business Partner]]&amp;"*", 'Directory Snapshot'!A:A, 1, FALSE), "")</f>
        <v>File Names</v>
      </c>
      <c r="B27" s="93" t="str">
        <f t="shared" si="0"/>
        <v>Statement</v>
      </c>
      <c r="C27" s="93" t="str">
        <f t="shared" si="1"/>
        <v>Processing Sheet</v>
      </c>
    </row>
    <row r="28" spans="1:3" x14ac:dyDescent="0.25">
      <c r="A28" s="93" t="str">
        <f>IFERROR(VLOOKUP("*"&amp;Table32[[#This Row],[Business Partner]]&amp;"*", 'Directory Snapshot'!A:A, 1, FALSE), "")</f>
        <v>File Names</v>
      </c>
      <c r="B28" s="93" t="str">
        <f t="shared" si="0"/>
        <v>Statement</v>
      </c>
      <c r="C28" s="93" t="str">
        <f t="shared" si="1"/>
        <v>Processing Sheet</v>
      </c>
    </row>
    <row r="29" spans="1:3" x14ac:dyDescent="0.25">
      <c r="A29" s="93" t="str">
        <f>IFERROR(VLOOKUP("*"&amp;Table32[[#This Row],[Business Partner]]&amp;"*", 'Directory Snapshot'!A:A, 1, FALSE), "")</f>
        <v>File Names</v>
      </c>
      <c r="B29" s="93" t="str">
        <f t="shared" si="0"/>
        <v>Statement</v>
      </c>
      <c r="C29" s="93" t="str">
        <f t="shared" si="1"/>
        <v>Processing Sheet</v>
      </c>
    </row>
    <row r="30" spans="1:3" x14ac:dyDescent="0.25">
      <c r="A30" s="93" t="str">
        <f>IFERROR(VLOOKUP("*"&amp;Table32[[#This Row],[Business Partner]]&amp;"*", 'Directory Snapshot'!A:A, 1, FALSE), "")</f>
        <v>File Names</v>
      </c>
      <c r="B30" s="93" t="str">
        <f t="shared" si="0"/>
        <v>Statement</v>
      </c>
      <c r="C30" s="93" t="str">
        <f t="shared" si="1"/>
        <v>Processing Sheet</v>
      </c>
    </row>
    <row r="31" spans="1:3" x14ac:dyDescent="0.25">
      <c r="A31" s="93" t="str">
        <f>IFERROR(VLOOKUP("*"&amp;Table32[[#This Row],[Business Partner]]&amp;"*", 'Directory Snapshot'!A:A, 1, FALSE), "")</f>
        <v>File Names</v>
      </c>
      <c r="B31" s="93" t="str">
        <f t="shared" si="0"/>
        <v>Statement</v>
      </c>
      <c r="C31" s="93" t="str">
        <f t="shared" si="1"/>
        <v>Processing Sheet</v>
      </c>
    </row>
    <row r="32" spans="1:3" x14ac:dyDescent="0.25">
      <c r="A32" s="93" t="str">
        <f>IFERROR(VLOOKUP("*"&amp;Table32[[#This Row],[Business Partner]]&amp;"*", 'Directory Snapshot'!A:A, 1, FALSE), "")</f>
        <v>File Names</v>
      </c>
      <c r="B32" s="93" t="str">
        <f t="shared" si="0"/>
        <v>Statement</v>
      </c>
      <c r="C32" s="93" t="str">
        <f t="shared" si="1"/>
        <v>Processing Sheet</v>
      </c>
    </row>
    <row r="33" spans="1:3" x14ac:dyDescent="0.25">
      <c r="A33" s="93" t="str">
        <f>IFERROR(VLOOKUP("*"&amp;Table32[[#This Row],[Business Partner]]&amp;"*", 'Directory Snapshot'!A:A, 1, FALSE), "")</f>
        <v>File Names</v>
      </c>
      <c r="B33" s="93" t="str">
        <f t="shared" si="0"/>
        <v>Statement</v>
      </c>
      <c r="C33" s="93" t="str">
        <f t="shared" si="1"/>
        <v>Processing Sheet</v>
      </c>
    </row>
    <row r="34" spans="1:3" x14ac:dyDescent="0.25">
      <c r="A34" s="93" t="str">
        <f>IFERROR(VLOOKUP("*"&amp;Table32[[#This Row],[Business Partner]]&amp;"*", 'Directory Snapshot'!A:A, 1, FALSE), "")</f>
        <v>File Names</v>
      </c>
      <c r="B34" s="93" t="str">
        <f t="shared" si="0"/>
        <v>Statement</v>
      </c>
      <c r="C34" s="93" t="str">
        <f t="shared" si="1"/>
        <v>Processing Sheet</v>
      </c>
    </row>
    <row r="35" spans="1:3" x14ac:dyDescent="0.25">
      <c r="A35" s="93" t="str">
        <f>IFERROR(VLOOKUP("*"&amp;Table32[[#This Row],[Business Partner]]&amp;"*", 'Directory Snapshot'!A:A, 1, FALSE), "")</f>
        <v>File Names</v>
      </c>
      <c r="B35" s="93" t="str">
        <f t="shared" si="0"/>
        <v>Statement</v>
      </c>
      <c r="C35" s="93" t="str">
        <f t="shared" si="1"/>
        <v>Processing Sheet</v>
      </c>
    </row>
    <row r="36" spans="1:3" x14ac:dyDescent="0.25">
      <c r="A36" s="93" t="str">
        <f>IFERROR(VLOOKUP("*"&amp;Table32[[#This Row],[Business Partner]]&amp;"*", 'Directory Snapshot'!A:A, 1, FALSE), "")</f>
        <v>File Names</v>
      </c>
      <c r="B36" s="93" t="str">
        <f t="shared" si="0"/>
        <v>Statement</v>
      </c>
      <c r="C36" s="93" t="str">
        <f t="shared" si="1"/>
        <v>Processing Sheet</v>
      </c>
    </row>
    <row r="37" spans="1:3" x14ac:dyDescent="0.25">
      <c r="A37" s="93" t="str">
        <f>IFERROR(VLOOKUP("*"&amp;Table32[[#This Row],[Business Partner]]&amp;"*", 'Directory Snapshot'!A:A, 1, FALSE), "")</f>
        <v>File Names</v>
      </c>
      <c r="B37" s="93" t="str">
        <f t="shared" si="0"/>
        <v>Statement</v>
      </c>
      <c r="C37" s="93" t="str">
        <f t="shared" si="1"/>
        <v>Processing Sheet</v>
      </c>
    </row>
    <row r="38" spans="1:3" x14ac:dyDescent="0.25">
      <c r="A38" s="93" t="str">
        <f>IFERROR(VLOOKUP("*"&amp;Table32[[#This Row],[Business Partner]]&amp;"*", 'Directory Snapshot'!A:A, 1, FALSE), "")</f>
        <v>File Names</v>
      </c>
      <c r="B38" s="93" t="str">
        <f t="shared" si="0"/>
        <v>Statement</v>
      </c>
      <c r="C38" s="93" t="str">
        <f t="shared" si="1"/>
        <v>Processing Sheet</v>
      </c>
    </row>
    <row r="39" spans="1:3" x14ac:dyDescent="0.25">
      <c r="A39" s="93" t="str">
        <f>IFERROR(VLOOKUP("*"&amp;Table32[[#This Row],[Business Partner]]&amp;"*", 'Directory Snapshot'!A:A, 1, FALSE), "")</f>
        <v>File Names</v>
      </c>
      <c r="B39" s="93" t="str">
        <f t="shared" si="0"/>
        <v>Statement</v>
      </c>
      <c r="C39" s="93" t="str">
        <f t="shared" si="1"/>
        <v>Processing Sheet</v>
      </c>
    </row>
    <row r="40" spans="1:3" x14ac:dyDescent="0.25">
      <c r="A40" s="93" t="str">
        <f>IFERROR(VLOOKUP("*"&amp;Table32[[#This Row],[Business Partner]]&amp;"*", 'Directory Snapshot'!A:A, 1, FALSE), "")</f>
        <v>File Names</v>
      </c>
      <c r="B40" s="93" t="str">
        <f t="shared" si="0"/>
        <v>Statement</v>
      </c>
      <c r="C40" s="93" t="str">
        <f t="shared" si="1"/>
        <v>Processing Sheet</v>
      </c>
    </row>
    <row r="41" spans="1:3" x14ac:dyDescent="0.25">
      <c r="A41" s="93" t="str">
        <f>IFERROR(VLOOKUP("*"&amp;Table32[[#This Row],[Business Partner]]&amp;"*", 'Directory Snapshot'!A:A, 1, FALSE), "")</f>
        <v>File Names</v>
      </c>
      <c r="B41" s="93" t="str">
        <f t="shared" si="0"/>
        <v>Statement</v>
      </c>
      <c r="C41" s="93" t="str">
        <f t="shared" si="1"/>
        <v>Processing Sheet</v>
      </c>
    </row>
    <row r="42" spans="1:3" x14ac:dyDescent="0.25">
      <c r="A42" s="93" t="str">
        <f>IFERROR(VLOOKUP("*"&amp;Table32[[#This Row],[Business Partner]]&amp;"*", 'Directory Snapshot'!A:A, 1, FALSE), "")</f>
        <v>File Names</v>
      </c>
      <c r="B42" s="93" t="str">
        <f t="shared" si="0"/>
        <v>Statement</v>
      </c>
      <c r="C42" s="93" t="str">
        <f t="shared" si="1"/>
        <v>Processing Sheet</v>
      </c>
    </row>
    <row r="43" spans="1:3" x14ac:dyDescent="0.25">
      <c r="A43" s="93" t="str">
        <f>IFERROR(VLOOKUP("*"&amp;Table32[[#This Row],[Business Partner]]&amp;"*", 'Directory Snapshot'!A:A, 1, FALSE), "")</f>
        <v>File Names</v>
      </c>
      <c r="B43" s="93" t="str">
        <f t="shared" si="0"/>
        <v>Statement</v>
      </c>
      <c r="C43" s="93" t="str">
        <f t="shared" si="1"/>
        <v>Processing Sheet</v>
      </c>
    </row>
    <row r="44" spans="1:3" x14ac:dyDescent="0.25">
      <c r="A44" s="93" t="str">
        <f>IFERROR(VLOOKUP("*"&amp;Table32[[#This Row],[Business Partner]]&amp;"*", 'Directory Snapshot'!A:A, 1, FALSE), "")</f>
        <v>File Names</v>
      </c>
      <c r="B44" s="93" t="str">
        <f t="shared" si="0"/>
        <v>Statement</v>
      </c>
      <c r="C44" s="93" t="str">
        <f t="shared" si="1"/>
        <v>Processing Sheet</v>
      </c>
    </row>
    <row r="45" spans="1:3" x14ac:dyDescent="0.25">
      <c r="A45" s="93" t="str">
        <f>IFERROR(VLOOKUP("*"&amp;Table32[[#This Row],[Business Partner]]&amp;"*", 'Directory Snapshot'!A:A, 1, FALSE), "")</f>
        <v>File Names</v>
      </c>
      <c r="B45" s="93" t="str">
        <f t="shared" si="0"/>
        <v>Statement</v>
      </c>
      <c r="C45" s="93" t="str">
        <f t="shared" si="1"/>
        <v>Processing Sheet</v>
      </c>
    </row>
    <row r="46" spans="1:3" x14ac:dyDescent="0.25">
      <c r="A46" s="93" t="str">
        <f>IFERROR(VLOOKUP("*"&amp;Table32[[#This Row],[Business Partner]]&amp;"*", 'Directory Snapshot'!A:A, 1, FALSE), "")</f>
        <v>File Names</v>
      </c>
      <c r="B46" s="93" t="str">
        <f t="shared" si="0"/>
        <v>Statement</v>
      </c>
      <c r="C46" s="93" t="str">
        <f t="shared" si="1"/>
        <v>Processing Sheet</v>
      </c>
    </row>
    <row r="47" spans="1:3" x14ac:dyDescent="0.25">
      <c r="A47" s="93" t="str">
        <f>IFERROR(VLOOKUP("*"&amp;Table32[[#This Row],[Business Partner]]&amp;"*", 'Directory Snapshot'!A:A, 1, FALSE), "")</f>
        <v>File Names</v>
      </c>
      <c r="B47" s="93" t="str">
        <f t="shared" si="0"/>
        <v>Statement</v>
      </c>
      <c r="C47" s="93" t="str">
        <f t="shared" si="1"/>
        <v>Processing Sheet</v>
      </c>
    </row>
    <row r="48" spans="1:3" x14ac:dyDescent="0.25">
      <c r="A48" s="93" t="str">
        <f>IFERROR(VLOOKUP("*"&amp;Table32[[#This Row],[Business Partner]]&amp;"*", 'Directory Snapshot'!A:A, 1, FALSE), "")</f>
        <v>File Names</v>
      </c>
      <c r="B48" s="93" t="str">
        <f t="shared" si="0"/>
        <v>Statement</v>
      </c>
      <c r="C48" s="93" t="str">
        <f t="shared" si="1"/>
        <v>Processing Sheet</v>
      </c>
    </row>
    <row r="49" spans="1:3" x14ac:dyDescent="0.25">
      <c r="A49" s="93" t="str">
        <f>IFERROR(VLOOKUP("*"&amp;Table32[[#This Row],[Business Partner]]&amp;"*", 'Directory Snapshot'!A:A, 1, FALSE), "")</f>
        <v>File Names</v>
      </c>
      <c r="B49" s="93" t="str">
        <f t="shared" si="0"/>
        <v>Statement</v>
      </c>
      <c r="C49" s="93" t="str">
        <f t="shared" si="1"/>
        <v>Processing Sheet</v>
      </c>
    </row>
    <row r="50" spans="1:3" x14ac:dyDescent="0.25">
      <c r="A50" s="93" t="str">
        <f>IFERROR(VLOOKUP("*"&amp;Table32[[#This Row],[Business Partner]]&amp;"*", 'Directory Snapshot'!A:A, 1, FALSE), "")</f>
        <v>File Names</v>
      </c>
      <c r="B50" s="93" t="str">
        <f t="shared" si="0"/>
        <v>Statement</v>
      </c>
      <c r="C50" s="93" t="str">
        <f t="shared" si="1"/>
        <v>Processing Sheet</v>
      </c>
    </row>
    <row r="51" spans="1:3" x14ac:dyDescent="0.25">
      <c r="A51" s="93" t="str">
        <f>IFERROR(VLOOKUP("*"&amp;Table32[[#This Row],[Business Partner]]&amp;"*", 'Directory Snapshot'!A:A, 1, FALSE), "")</f>
        <v>File Names</v>
      </c>
      <c r="B51" s="93" t="str">
        <f t="shared" si="0"/>
        <v>Statement</v>
      </c>
      <c r="C51" s="93" t="str">
        <f t="shared" si="1"/>
        <v>Processing Sheet</v>
      </c>
    </row>
    <row r="52" spans="1:3" x14ac:dyDescent="0.25">
      <c r="A52" s="93" t="str">
        <f>IFERROR(VLOOKUP("*"&amp;Table32[[#This Row],[Business Partner]]&amp;"*", 'Directory Snapshot'!A:A, 1, FALSE), "")</f>
        <v>File Names</v>
      </c>
      <c r="B52" s="93" t="str">
        <f t="shared" si="0"/>
        <v>Statement</v>
      </c>
      <c r="C52" s="93" t="str">
        <f t="shared" si="1"/>
        <v>Processing Sheet</v>
      </c>
    </row>
    <row r="53" spans="1:3" x14ac:dyDescent="0.25">
      <c r="A53" s="93" t="str">
        <f>IFERROR(VLOOKUP("*"&amp;Table32[[#This Row],[Business Partner]]&amp;"*", 'Directory Snapshot'!A:A, 1, FALSE), "")</f>
        <v>File Names</v>
      </c>
      <c r="B53" s="93" t="str">
        <f t="shared" si="0"/>
        <v>Statement</v>
      </c>
      <c r="C53" s="93" t="str">
        <f t="shared" si="1"/>
        <v>Processing Sheet</v>
      </c>
    </row>
    <row r="54" spans="1:3" x14ac:dyDescent="0.25">
      <c r="A54" s="93" t="str">
        <f>IFERROR(VLOOKUP("*"&amp;Table32[[#This Row],[Business Partner]]&amp;"*", 'Directory Snapshot'!A:A, 1, FALSE), "")</f>
        <v>File Names</v>
      </c>
      <c r="B54" s="93" t="str">
        <f t="shared" si="0"/>
        <v>Statement</v>
      </c>
      <c r="C54" s="93" t="str">
        <f t="shared" si="1"/>
        <v>Processing Sheet</v>
      </c>
    </row>
    <row r="55" spans="1:3" x14ac:dyDescent="0.25">
      <c r="A55" s="93" t="str">
        <f>IFERROR(VLOOKUP("*"&amp;Table32[[#This Row],[Business Partner]]&amp;"*", 'Directory Snapshot'!A:A, 1, FALSE), "")</f>
        <v>File Names</v>
      </c>
      <c r="B55" s="93" t="str">
        <f t="shared" si="0"/>
        <v>Statement</v>
      </c>
      <c r="C55" s="93" t="str">
        <f t="shared" si="1"/>
        <v>Processing Sheet</v>
      </c>
    </row>
    <row r="56" spans="1:3" x14ac:dyDescent="0.25">
      <c r="A56" s="93" t="str">
        <f>IFERROR(VLOOKUP("*"&amp;Table32[[#This Row],[Business Partner]]&amp;"*", 'Directory Snapshot'!A:A, 1, FALSE), "")</f>
        <v>File Names</v>
      </c>
      <c r="B56" s="93" t="str">
        <f t="shared" si="0"/>
        <v>Statement</v>
      </c>
      <c r="C56" s="93" t="str">
        <f t="shared" si="1"/>
        <v>Processing Sheet</v>
      </c>
    </row>
    <row r="57" spans="1:3" x14ac:dyDescent="0.25">
      <c r="A57" s="93" t="str">
        <f>IFERROR(VLOOKUP("*"&amp;Table32[[#This Row],[Business Partner]]&amp;"*", 'Directory Snapshot'!A:A, 1, FALSE), "")</f>
        <v>File Names</v>
      </c>
      <c r="B57" s="93" t="str">
        <f t="shared" si="0"/>
        <v>Statement</v>
      </c>
      <c r="C57" s="93" t="str">
        <f t="shared" si="1"/>
        <v>Processing Sheet</v>
      </c>
    </row>
    <row r="58" spans="1:3" x14ac:dyDescent="0.25">
      <c r="A58" s="93" t="str">
        <f>IFERROR(VLOOKUP("*"&amp;Table32[[#This Row],[Business Partner]]&amp;"*", 'Directory Snapshot'!A:A, 1, FALSE), "")</f>
        <v>File Names</v>
      </c>
      <c r="B58" s="93" t="str">
        <f t="shared" si="0"/>
        <v>Statement</v>
      </c>
      <c r="C58" s="93" t="str">
        <f t="shared" si="1"/>
        <v>Processing Sheet</v>
      </c>
    </row>
    <row r="59" spans="1:3" x14ac:dyDescent="0.25">
      <c r="A59" s="93" t="str">
        <f>IFERROR(VLOOKUP("*"&amp;Table32[[#This Row],[Business Partner]]&amp;"*", 'Directory Snapshot'!A:A, 1, FALSE), "")</f>
        <v>File Names</v>
      </c>
      <c r="B59" s="93" t="str">
        <f t="shared" si="0"/>
        <v>Statement</v>
      </c>
      <c r="C59" s="93" t="str">
        <f t="shared" si="1"/>
        <v>Processing Sheet</v>
      </c>
    </row>
    <row r="60" spans="1:3" x14ac:dyDescent="0.25">
      <c r="A60" s="93" t="str">
        <f>IFERROR(VLOOKUP("*"&amp;Table32[[#This Row],[Business Partner]]&amp;"*", 'Directory Snapshot'!A:A, 1, FALSE), "")</f>
        <v>File Names</v>
      </c>
      <c r="B60" s="93" t="str">
        <f t="shared" si="0"/>
        <v>Statement</v>
      </c>
      <c r="C60" s="93" t="str">
        <f t="shared" si="1"/>
        <v>Processing Sheet</v>
      </c>
    </row>
    <row r="61" spans="1:3" x14ac:dyDescent="0.25">
      <c r="A61" s="93" t="str">
        <f>IFERROR(VLOOKUP("*"&amp;Table32[[#This Row],[Business Partner]]&amp;"*", 'Directory Snapshot'!A:A, 1, FALSE), "")</f>
        <v>File Names</v>
      </c>
      <c r="B61" s="93" t="str">
        <f t="shared" si="0"/>
        <v>Statement</v>
      </c>
      <c r="C61" s="93" t="str">
        <f t="shared" si="1"/>
        <v>Processing Sheet</v>
      </c>
    </row>
    <row r="62" spans="1:3" x14ac:dyDescent="0.25">
      <c r="A62" s="93" t="str">
        <f>IFERROR(VLOOKUP("*"&amp;Table32[[#This Row],[Business Partner]]&amp;"*", 'Directory Snapshot'!A:A, 1, FALSE), "")</f>
        <v>File Names</v>
      </c>
      <c r="B62" s="93" t="str">
        <f t="shared" si="0"/>
        <v>Statement</v>
      </c>
      <c r="C62" s="93" t="str">
        <f t="shared" si="1"/>
        <v>Processing Sheet</v>
      </c>
    </row>
    <row r="63" spans="1:3" x14ac:dyDescent="0.25">
      <c r="A63" s="93" t="str">
        <f>IFERROR(VLOOKUP("*"&amp;Table32[[#This Row],[Business Partner]]&amp;"*", 'Directory Snapshot'!A:A, 1, FALSE), "")</f>
        <v>File Names</v>
      </c>
      <c r="B63" s="93" t="str">
        <f t="shared" si="0"/>
        <v>Statement</v>
      </c>
      <c r="C63" s="93" t="str">
        <f t="shared" si="1"/>
        <v>Processing Sheet</v>
      </c>
    </row>
    <row r="64" spans="1:3" x14ac:dyDescent="0.25">
      <c r="A64" s="93" t="str">
        <f>IFERROR(VLOOKUP("*"&amp;Table32[[#This Row],[Business Partner]]&amp;"*", 'Directory Snapshot'!A:A, 1, FALSE), "")</f>
        <v>File Names</v>
      </c>
      <c r="B64" s="93" t="str">
        <f t="shared" si="0"/>
        <v>Statement</v>
      </c>
      <c r="C64" s="93" t="str">
        <f t="shared" si="1"/>
        <v>Processing Sheet</v>
      </c>
    </row>
    <row r="65" spans="1:3" x14ac:dyDescent="0.25">
      <c r="A65" s="93" t="str">
        <f>IFERROR(VLOOKUP("*"&amp;Table32[[#This Row],[Business Partner]]&amp;"*", 'Directory Snapshot'!A:A, 1, FALSE), "")</f>
        <v>File Names</v>
      </c>
      <c r="B65" s="93" t="str">
        <f t="shared" si="0"/>
        <v>Statement</v>
      </c>
      <c r="C65" s="93" t="str">
        <f t="shared" si="1"/>
        <v>Processing Sheet</v>
      </c>
    </row>
    <row r="66" spans="1:3" x14ac:dyDescent="0.25">
      <c r="A66" s="93" t="str">
        <f>IFERROR(VLOOKUP("*"&amp;Table32[[#This Row],[Business Partner]]&amp;"*", 'Directory Snapshot'!A:A, 1, FALSE), "")</f>
        <v>File Names</v>
      </c>
      <c r="B66" s="93" t="str">
        <f t="shared" si="0"/>
        <v>Statement</v>
      </c>
      <c r="C66" s="93" t="str">
        <f t="shared" si="1"/>
        <v>Processing Sheet</v>
      </c>
    </row>
    <row r="67" spans="1:3" x14ac:dyDescent="0.25">
      <c r="A67" s="93" t="str">
        <f>IFERROR(VLOOKUP("*"&amp;Table32[[#This Row],[Business Partner]]&amp;"*", 'Directory Snapshot'!A:A, 1, FALSE), "")</f>
        <v>File Names</v>
      </c>
      <c r="B67" s="93" t="str">
        <f t="shared" ref="B67:B130" si="2">IF(LEN(A67)=0, "", "Statement")</f>
        <v>Statement</v>
      </c>
      <c r="C67" s="93" t="str">
        <f t="shared" ref="C67:C130" si="3">IF(LEN(A67)=0, "", "Processing Sheet")</f>
        <v>Processing Sheet</v>
      </c>
    </row>
    <row r="68" spans="1:3" x14ac:dyDescent="0.25">
      <c r="A68" s="93" t="str">
        <f>IFERROR(VLOOKUP("*"&amp;Table32[[#This Row],[Business Partner]]&amp;"*", 'Directory Snapshot'!A:A, 1, FALSE), "")</f>
        <v>File Names</v>
      </c>
      <c r="B68" s="93" t="str">
        <f t="shared" si="2"/>
        <v>Statement</v>
      </c>
      <c r="C68" s="93" t="str">
        <f t="shared" si="3"/>
        <v>Processing Sheet</v>
      </c>
    </row>
    <row r="69" spans="1:3" x14ac:dyDescent="0.25">
      <c r="A69" s="93" t="str">
        <f>IFERROR(VLOOKUP("*"&amp;Table32[[#This Row],[Business Partner]]&amp;"*", 'Directory Snapshot'!A:A, 1, FALSE), "")</f>
        <v>File Names</v>
      </c>
      <c r="B69" s="93" t="str">
        <f t="shared" si="2"/>
        <v>Statement</v>
      </c>
      <c r="C69" s="93" t="str">
        <f t="shared" si="3"/>
        <v>Processing Sheet</v>
      </c>
    </row>
    <row r="70" spans="1:3" x14ac:dyDescent="0.25">
      <c r="A70" s="93" t="str">
        <f>IFERROR(VLOOKUP("*"&amp;Table32[[#This Row],[Business Partner]]&amp;"*", 'Directory Snapshot'!A:A, 1, FALSE), "")</f>
        <v>File Names</v>
      </c>
      <c r="B70" s="93" t="str">
        <f t="shared" si="2"/>
        <v>Statement</v>
      </c>
      <c r="C70" s="93" t="str">
        <f t="shared" si="3"/>
        <v>Processing Sheet</v>
      </c>
    </row>
    <row r="71" spans="1:3" x14ac:dyDescent="0.25">
      <c r="A71" s="93" t="str">
        <f>IFERROR(VLOOKUP("*"&amp;Table32[[#This Row],[Business Partner]]&amp;"*", 'Directory Snapshot'!A:A, 1, FALSE), "")</f>
        <v>File Names</v>
      </c>
      <c r="B71" s="93" t="str">
        <f t="shared" si="2"/>
        <v>Statement</v>
      </c>
      <c r="C71" s="93" t="str">
        <f t="shared" si="3"/>
        <v>Processing Sheet</v>
      </c>
    </row>
    <row r="72" spans="1:3" x14ac:dyDescent="0.25">
      <c r="A72" s="93" t="str">
        <f>IFERROR(VLOOKUP("*"&amp;Table32[[#This Row],[Business Partner]]&amp;"*", 'Directory Snapshot'!A:A, 1, FALSE), "")</f>
        <v>File Names</v>
      </c>
      <c r="B72" s="93" t="str">
        <f t="shared" si="2"/>
        <v>Statement</v>
      </c>
      <c r="C72" s="93" t="str">
        <f t="shared" si="3"/>
        <v>Processing Sheet</v>
      </c>
    </row>
    <row r="73" spans="1:3" x14ac:dyDescent="0.25">
      <c r="A73" s="93" t="str">
        <f>IFERROR(VLOOKUP("*"&amp;Table32[[#This Row],[Business Partner]]&amp;"*", 'Directory Snapshot'!A:A, 1, FALSE), "")</f>
        <v>File Names</v>
      </c>
      <c r="B73" s="93" t="str">
        <f t="shared" si="2"/>
        <v>Statement</v>
      </c>
      <c r="C73" s="93" t="str">
        <f t="shared" si="3"/>
        <v>Processing Sheet</v>
      </c>
    </row>
    <row r="74" spans="1:3" x14ac:dyDescent="0.25">
      <c r="A74" s="93" t="str">
        <f>IFERROR(VLOOKUP("*"&amp;Table32[[#This Row],[Business Partner]]&amp;"*", 'Directory Snapshot'!A:A, 1, FALSE), "")</f>
        <v>File Names</v>
      </c>
      <c r="B74" s="93" t="str">
        <f t="shared" si="2"/>
        <v>Statement</v>
      </c>
      <c r="C74" s="93" t="str">
        <f t="shared" si="3"/>
        <v>Processing Sheet</v>
      </c>
    </row>
    <row r="75" spans="1:3" x14ac:dyDescent="0.25">
      <c r="A75" s="93" t="str">
        <f>IFERROR(VLOOKUP("*"&amp;Table32[[#This Row],[Business Partner]]&amp;"*", 'Directory Snapshot'!A:A, 1, FALSE), "")</f>
        <v>File Names</v>
      </c>
      <c r="B75" s="93" t="str">
        <f t="shared" si="2"/>
        <v>Statement</v>
      </c>
      <c r="C75" s="93" t="str">
        <f t="shared" si="3"/>
        <v>Processing Sheet</v>
      </c>
    </row>
    <row r="76" spans="1:3" x14ac:dyDescent="0.25">
      <c r="A76" s="93" t="str">
        <f>IFERROR(VLOOKUP("*"&amp;Table32[[#This Row],[Business Partner]]&amp;"*", 'Directory Snapshot'!A:A, 1, FALSE), "")</f>
        <v>File Names</v>
      </c>
      <c r="B76" s="93" t="str">
        <f t="shared" si="2"/>
        <v>Statement</v>
      </c>
      <c r="C76" s="93" t="str">
        <f t="shared" si="3"/>
        <v>Processing Sheet</v>
      </c>
    </row>
    <row r="77" spans="1:3" x14ac:dyDescent="0.25">
      <c r="A77" s="93" t="str">
        <f>IFERROR(VLOOKUP("*"&amp;Table32[[#This Row],[Business Partner]]&amp;"*", 'Directory Snapshot'!A:A, 1, FALSE), "")</f>
        <v>File Names</v>
      </c>
      <c r="B77" s="93" t="str">
        <f t="shared" si="2"/>
        <v>Statement</v>
      </c>
      <c r="C77" s="93" t="str">
        <f t="shared" si="3"/>
        <v>Processing Sheet</v>
      </c>
    </row>
    <row r="78" spans="1:3" x14ac:dyDescent="0.25">
      <c r="A78" s="93" t="str">
        <f>IFERROR(VLOOKUP("*"&amp;Table32[[#This Row],[Business Partner]]&amp;"*", 'Directory Snapshot'!A:A, 1, FALSE), "")</f>
        <v>File Names</v>
      </c>
      <c r="B78" s="93" t="str">
        <f t="shared" si="2"/>
        <v>Statement</v>
      </c>
      <c r="C78" s="93" t="str">
        <f t="shared" si="3"/>
        <v>Processing Sheet</v>
      </c>
    </row>
    <row r="79" spans="1:3" x14ac:dyDescent="0.25">
      <c r="A79" s="93" t="str">
        <f>IFERROR(VLOOKUP("*"&amp;Table32[[#This Row],[Business Partner]]&amp;"*", 'Directory Snapshot'!A:A, 1, FALSE), "")</f>
        <v>File Names</v>
      </c>
      <c r="B79" s="93" t="str">
        <f t="shared" si="2"/>
        <v>Statement</v>
      </c>
      <c r="C79" s="93" t="str">
        <f t="shared" si="3"/>
        <v>Processing Sheet</v>
      </c>
    </row>
    <row r="80" spans="1:3" x14ac:dyDescent="0.25">
      <c r="A80" s="93" t="str">
        <f>IFERROR(VLOOKUP("*"&amp;Table32[[#This Row],[Business Partner]]&amp;"*", 'Directory Snapshot'!A:A, 1, FALSE), "")</f>
        <v>File Names</v>
      </c>
      <c r="B80" s="93" t="str">
        <f t="shared" si="2"/>
        <v>Statement</v>
      </c>
      <c r="C80" s="93" t="str">
        <f t="shared" si="3"/>
        <v>Processing Sheet</v>
      </c>
    </row>
    <row r="81" spans="1:3" x14ac:dyDescent="0.25">
      <c r="A81" s="93" t="str">
        <f>IFERROR(VLOOKUP("*"&amp;Table32[[#This Row],[Business Partner]]&amp;"*", 'Directory Snapshot'!A:A, 1, FALSE), "")</f>
        <v>File Names</v>
      </c>
      <c r="B81" s="93" t="str">
        <f t="shared" si="2"/>
        <v>Statement</v>
      </c>
      <c r="C81" s="93" t="str">
        <f t="shared" si="3"/>
        <v>Processing Sheet</v>
      </c>
    </row>
    <row r="82" spans="1:3" x14ac:dyDescent="0.25">
      <c r="A82" s="93" t="str">
        <f>IFERROR(VLOOKUP("*"&amp;Table32[[#This Row],[Business Partner]]&amp;"*", 'Directory Snapshot'!A:A, 1, FALSE), "")</f>
        <v>File Names</v>
      </c>
      <c r="B82" s="93" t="str">
        <f t="shared" si="2"/>
        <v>Statement</v>
      </c>
      <c r="C82" s="93" t="str">
        <f t="shared" si="3"/>
        <v>Processing Sheet</v>
      </c>
    </row>
    <row r="83" spans="1:3" x14ac:dyDescent="0.25">
      <c r="A83" s="93" t="str">
        <f>IFERROR(VLOOKUP("*"&amp;Table32[[#This Row],[Business Partner]]&amp;"*", 'Directory Snapshot'!A:A, 1, FALSE), "")</f>
        <v>File Names</v>
      </c>
      <c r="B83" s="93" t="str">
        <f t="shared" si="2"/>
        <v>Statement</v>
      </c>
      <c r="C83" s="93" t="str">
        <f t="shared" si="3"/>
        <v>Processing Sheet</v>
      </c>
    </row>
    <row r="84" spans="1:3" x14ac:dyDescent="0.25">
      <c r="A84" s="93" t="str">
        <f>IFERROR(VLOOKUP("*"&amp;Table32[[#This Row],[Business Partner]]&amp;"*", 'Directory Snapshot'!A:A, 1, FALSE), "")</f>
        <v>File Names</v>
      </c>
      <c r="B84" s="93" t="str">
        <f t="shared" si="2"/>
        <v>Statement</v>
      </c>
      <c r="C84" s="93" t="str">
        <f t="shared" si="3"/>
        <v>Processing Sheet</v>
      </c>
    </row>
    <row r="85" spans="1:3" x14ac:dyDescent="0.25">
      <c r="A85" s="93" t="str">
        <f>IFERROR(VLOOKUP("*"&amp;Table32[[#This Row],[Business Partner]]&amp;"*", 'Directory Snapshot'!A:A, 1, FALSE), "")</f>
        <v>File Names</v>
      </c>
      <c r="B85" s="93" t="str">
        <f t="shared" si="2"/>
        <v>Statement</v>
      </c>
      <c r="C85" s="93" t="str">
        <f t="shared" si="3"/>
        <v>Processing Sheet</v>
      </c>
    </row>
    <row r="86" spans="1:3" x14ac:dyDescent="0.25">
      <c r="A86" s="93" t="str">
        <f>IFERROR(VLOOKUP("*"&amp;Table32[[#This Row],[Business Partner]]&amp;"*", 'Directory Snapshot'!A:A, 1, FALSE), "")</f>
        <v>File Names</v>
      </c>
      <c r="B86" s="93" t="str">
        <f t="shared" si="2"/>
        <v>Statement</v>
      </c>
      <c r="C86" s="93" t="str">
        <f t="shared" si="3"/>
        <v>Processing Sheet</v>
      </c>
    </row>
    <row r="87" spans="1:3" x14ac:dyDescent="0.25">
      <c r="A87" s="93" t="str">
        <f>IFERROR(VLOOKUP("*"&amp;Table32[[#This Row],[Business Partner]]&amp;"*", 'Directory Snapshot'!A:A, 1, FALSE), "")</f>
        <v>File Names</v>
      </c>
      <c r="B87" s="93" t="str">
        <f t="shared" si="2"/>
        <v>Statement</v>
      </c>
      <c r="C87" s="93" t="str">
        <f t="shared" si="3"/>
        <v>Processing Sheet</v>
      </c>
    </row>
    <row r="88" spans="1:3" x14ac:dyDescent="0.25">
      <c r="A88" s="93" t="str">
        <f>IFERROR(VLOOKUP("*"&amp;Table32[[#This Row],[Business Partner]]&amp;"*", 'Directory Snapshot'!A:A, 1, FALSE), "")</f>
        <v>File Names</v>
      </c>
      <c r="B88" s="93" t="str">
        <f t="shared" si="2"/>
        <v>Statement</v>
      </c>
      <c r="C88" s="93" t="str">
        <f t="shared" si="3"/>
        <v>Processing Sheet</v>
      </c>
    </row>
    <row r="89" spans="1:3" x14ac:dyDescent="0.25">
      <c r="A89" s="93" t="str">
        <f>IFERROR(VLOOKUP("*"&amp;Table32[[#This Row],[Business Partner]]&amp;"*", 'Directory Snapshot'!A:A, 1, FALSE), "")</f>
        <v>File Names</v>
      </c>
      <c r="B89" s="93" t="str">
        <f t="shared" si="2"/>
        <v>Statement</v>
      </c>
      <c r="C89" s="93" t="str">
        <f t="shared" si="3"/>
        <v>Processing Sheet</v>
      </c>
    </row>
    <row r="90" spans="1:3" x14ac:dyDescent="0.25">
      <c r="A90" s="93" t="str">
        <f>IFERROR(VLOOKUP("*"&amp;Table32[[#This Row],[Business Partner]]&amp;"*", 'Directory Snapshot'!A:A, 1, FALSE), "")</f>
        <v>File Names</v>
      </c>
      <c r="B90" s="93" t="str">
        <f t="shared" si="2"/>
        <v>Statement</v>
      </c>
      <c r="C90" s="93" t="str">
        <f t="shared" si="3"/>
        <v>Processing Sheet</v>
      </c>
    </row>
    <row r="91" spans="1:3" x14ac:dyDescent="0.25">
      <c r="A91" s="93" t="str">
        <f>IFERROR(VLOOKUP("*"&amp;Table32[[#This Row],[Business Partner]]&amp;"*", 'Directory Snapshot'!A:A, 1, FALSE), "")</f>
        <v>File Names</v>
      </c>
      <c r="B91" s="93" t="str">
        <f t="shared" si="2"/>
        <v>Statement</v>
      </c>
      <c r="C91" s="93" t="str">
        <f t="shared" si="3"/>
        <v>Processing Sheet</v>
      </c>
    </row>
    <row r="92" spans="1:3" x14ac:dyDescent="0.25">
      <c r="A92" s="93" t="str">
        <f>IFERROR(VLOOKUP("*"&amp;Table32[[#This Row],[Business Partner]]&amp;"*", 'Directory Snapshot'!A:A, 1, FALSE), "")</f>
        <v>File Names</v>
      </c>
      <c r="B92" s="93" t="str">
        <f t="shared" si="2"/>
        <v>Statement</v>
      </c>
      <c r="C92" s="93" t="str">
        <f t="shared" si="3"/>
        <v>Processing Sheet</v>
      </c>
    </row>
    <row r="93" spans="1:3" x14ac:dyDescent="0.25">
      <c r="A93" s="93" t="str">
        <f>IFERROR(VLOOKUP("*"&amp;Table32[[#This Row],[Business Partner]]&amp;"*", 'Directory Snapshot'!A:A, 1, FALSE), "")</f>
        <v>File Names</v>
      </c>
      <c r="B93" s="93" t="str">
        <f t="shared" si="2"/>
        <v>Statement</v>
      </c>
      <c r="C93" s="93" t="str">
        <f t="shared" si="3"/>
        <v>Processing Sheet</v>
      </c>
    </row>
    <row r="94" spans="1:3" x14ac:dyDescent="0.25">
      <c r="A94" s="93" t="str">
        <f>IFERROR(VLOOKUP("*"&amp;Table32[[#This Row],[Business Partner]]&amp;"*", 'Directory Snapshot'!A:A, 1, FALSE), "")</f>
        <v>File Names</v>
      </c>
      <c r="B94" s="93" t="str">
        <f t="shared" si="2"/>
        <v>Statement</v>
      </c>
      <c r="C94" s="93" t="str">
        <f t="shared" si="3"/>
        <v>Processing Sheet</v>
      </c>
    </row>
    <row r="95" spans="1:3" x14ac:dyDescent="0.25">
      <c r="A95" s="93" t="str">
        <f>IFERROR(VLOOKUP("*"&amp;Table32[[#This Row],[Business Partner]]&amp;"*", 'Directory Snapshot'!A:A, 1, FALSE), "")</f>
        <v>File Names</v>
      </c>
      <c r="B95" s="93" t="str">
        <f t="shared" si="2"/>
        <v>Statement</v>
      </c>
      <c r="C95" s="93" t="str">
        <f t="shared" si="3"/>
        <v>Processing Sheet</v>
      </c>
    </row>
    <row r="96" spans="1:3" x14ac:dyDescent="0.25">
      <c r="A96" s="93" t="str">
        <f>IFERROR(VLOOKUP("*"&amp;Table32[[#This Row],[Business Partner]]&amp;"*", 'Directory Snapshot'!A:A, 1, FALSE), "")</f>
        <v>File Names</v>
      </c>
      <c r="B96" s="93" t="str">
        <f t="shared" si="2"/>
        <v>Statement</v>
      </c>
      <c r="C96" s="93" t="str">
        <f t="shared" si="3"/>
        <v>Processing Sheet</v>
      </c>
    </row>
    <row r="97" spans="1:3" x14ac:dyDescent="0.25">
      <c r="A97" s="93" t="str">
        <f>IFERROR(VLOOKUP("*"&amp;Table32[[#This Row],[Business Partner]]&amp;"*", 'Directory Snapshot'!A:A, 1, FALSE), "")</f>
        <v>File Names</v>
      </c>
      <c r="B97" s="93" t="str">
        <f t="shared" si="2"/>
        <v>Statement</v>
      </c>
      <c r="C97" s="93" t="str">
        <f t="shared" si="3"/>
        <v>Processing Sheet</v>
      </c>
    </row>
    <row r="98" spans="1:3" x14ac:dyDescent="0.25">
      <c r="A98" s="93" t="str">
        <f>IFERROR(VLOOKUP("*"&amp;Table32[[#This Row],[Business Partner]]&amp;"*", 'Directory Snapshot'!A:A, 1, FALSE), "")</f>
        <v>File Names</v>
      </c>
      <c r="B98" s="93" t="str">
        <f t="shared" si="2"/>
        <v>Statement</v>
      </c>
      <c r="C98" s="93" t="str">
        <f t="shared" si="3"/>
        <v>Processing Sheet</v>
      </c>
    </row>
    <row r="99" spans="1:3" x14ac:dyDescent="0.25">
      <c r="A99" s="93" t="str">
        <f>IFERROR(VLOOKUP("*"&amp;Table32[[#This Row],[Business Partner]]&amp;"*", 'Directory Snapshot'!A:A, 1, FALSE), "")</f>
        <v>File Names</v>
      </c>
      <c r="B99" s="93" t="str">
        <f t="shared" si="2"/>
        <v>Statement</v>
      </c>
      <c r="C99" s="93" t="str">
        <f t="shared" si="3"/>
        <v>Processing Sheet</v>
      </c>
    </row>
    <row r="100" spans="1:3" x14ac:dyDescent="0.25">
      <c r="A100" s="93" t="str">
        <f>IFERROR(VLOOKUP("*"&amp;Table32[[#This Row],[Business Partner]]&amp;"*", 'Directory Snapshot'!A:A, 1, FALSE), "")</f>
        <v>File Names</v>
      </c>
      <c r="B100" s="93" t="str">
        <f t="shared" si="2"/>
        <v>Statement</v>
      </c>
      <c r="C100" s="93" t="str">
        <f t="shared" si="3"/>
        <v>Processing Sheet</v>
      </c>
    </row>
    <row r="101" spans="1:3" x14ac:dyDescent="0.25">
      <c r="A101" s="93" t="str">
        <f>IFERROR(VLOOKUP("*"&amp;Table32[[#This Row],[Business Partner]]&amp;"*", 'Directory Snapshot'!A:A, 1, FALSE), "")</f>
        <v>File Names</v>
      </c>
      <c r="B101" s="93" t="str">
        <f t="shared" si="2"/>
        <v>Statement</v>
      </c>
      <c r="C101" s="93" t="str">
        <f t="shared" si="3"/>
        <v>Processing Sheet</v>
      </c>
    </row>
    <row r="102" spans="1:3" x14ac:dyDescent="0.25">
      <c r="A102" s="93" t="str">
        <f>IFERROR(VLOOKUP("*"&amp;Table32[[#This Row],[Business Partner]]&amp;"*", 'Directory Snapshot'!A:A, 1, FALSE), "")</f>
        <v>File Names</v>
      </c>
      <c r="B102" s="93" t="str">
        <f t="shared" si="2"/>
        <v>Statement</v>
      </c>
      <c r="C102" s="93" t="str">
        <f t="shared" si="3"/>
        <v>Processing Sheet</v>
      </c>
    </row>
    <row r="103" spans="1:3" x14ac:dyDescent="0.25">
      <c r="A103" s="93" t="str">
        <f>IFERROR(VLOOKUP("*"&amp;Table32[[#This Row],[Business Partner]]&amp;"*", 'Directory Snapshot'!A:A, 1, FALSE), "")</f>
        <v>File Names</v>
      </c>
      <c r="B103" s="93" t="str">
        <f t="shared" si="2"/>
        <v>Statement</v>
      </c>
      <c r="C103" s="93" t="str">
        <f t="shared" si="3"/>
        <v>Processing Sheet</v>
      </c>
    </row>
    <row r="104" spans="1:3" x14ac:dyDescent="0.25">
      <c r="A104" s="93" t="str">
        <f>IFERROR(VLOOKUP("*"&amp;Table32[[#This Row],[Business Partner]]&amp;"*", 'Directory Snapshot'!A:A, 1, FALSE), "")</f>
        <v>File Names</v>
      </c>
      <c r="B104" s="93" t="str">
        <f t="shared" si="2"/>
        <v>Statement</v>
      </c>
      <c r="C104" s="93" t="str">
        <f t="shared" si="3"/>
        <v>Processing Sheet</v>
      </c>
    </row>
    <row r="105" spans="1:3" x14ac:dyDescent="0.25">
      <c r="A105" s="93" t="str">
        <f>IFERROR(VLOOKUP("*"&amp;Table32[[#This Row],[Business Partner]]&amp;"*", 'Directory Snapshot'!A:A, 1, FALSE), "")</f>
        <v>File Names</v>
      </c>
      <c r="B105" s="93" t="str">
        <f t="shared" si="2"/>
        <v>Statement</v>
      </c>
      <c r="C105" s="93" t="str">
        <f t="shared" si="3"/>
        <v>Processing Sheet</v>
      </c>
    </row>
    <row r="106" spans="1:3" x14ac:dyDescent="0.25">
      <c r="A106" s="93" t="str">
        <f>IFERROR(VLOOKUP("*"&amp;Table32[[#This Row],[Business Partner]]&amp;"*", 'Directory Snapshot'!A:A, 1, FALSE), "")</f>
        <v>File Names</v>
      </c>
      <c r="B106" s="93" t="str">
        <f t="shared" si="2"/>
        <v>Statement</v>
      </c>
      <c r="C106" s="93" t="str">
        <f t="shared" si="3"/>
        <v>Processing Sheet</v>
      </c>
    </row>
    <row r="107" spans="1:3" x14ac:dyDescent="0.25">
      <c r="A107" s="93" t="str">
        <f>IFERROR(VLOOKUP("*"&amp;Table32[[#This Row],[Business Partner]]&amp;"*", 'Directory Snapshot'!A:A, 1, FALSE), "")</f>
        <v>File Names</v>
      </c>
      <c r="B107" s="93" t="str">
        <f t="shared" si="2"/>
        <v>Statement</v>
      </c>
      <c r="C107" s="93" t="str">
        <f t="shared" si="3"/>
        <v>Processing Sheet</v>
      </c>
    </row>
    <row r="108" spans="1:3" x14ac:dyDescent="0.25">
      <c r="A108" s="93" t="str">
        <f>IFERROR(VLOOKUP("*"&amp;Table32[[#This Row],[Business Partner]]&amp;"*", 'Directory Snapshot'!A:A, 1, FALSE), "")</f>
        <v>File Names</v>
      </c>
      <c r="B108" s="93" t="str">
        <f t="shared" si="2"/>
        <v>Statement</v>
      </c>
      <c r="C108" s="93" t="str">
        <f t="shared" si="3"/>
        <v>Processing Sheet</v>
      </c>
    </row>
    <row r="109" spans="1:3" x14ac:dyDescent="0.25">
      <c r="A109" s="93" t="str">
        <f>IFERROR(VLOOKUP("*"&amp;Table32[[#This Row],[Business Partner]]&amp;"*", 'Directory Snapshot'!A:A, 1, FALSE), "")</f>
        <v>File Names</v>
      </c>
      <c r="B109" s="93" t="str">
        <f t="shared" si="2"/>
        <v>Statement</v>
      </c>
      <c r="C109" s="93" t="str">
        <f t="shared" si="3"/>
        <v>Processing Sheet</v>
      </c>
    </row>
    <row r="110" spans="1:3" x14ac:dyDescent="0.25">
      <c r="A110" s="93" t="str">
        <f>IFERROR(VLOOKUP("*"&amp;Table32[[#This Row],[Business Partner]]&amp;"*", 'Directory Snapshot'!A:A, 1, FALSE), "")</f>
        <v>File Names</v>
      </c>
      <c r="B110" s="93" t="str">
        <f t="shared" si="2"/>
        <v>Statement</v>
      </c>
      <c r="C110" s="93" t="str">
        <f t="shared" si="3"/>
        <v>Processing Sheet</v>
      </c>
    </row>
    <row r="111" spans="1:3" x14ac:dyDescent="0.25">
      <c r="A111" s="93" t="str">
        <f>IFERROR(VLOOKUP("*"&amp;Table32[[#This Row],[Business Partner]]&amp;"*", 'Directory Snapshot'!A:A, 1, FALSE), "")</f>
        <v>File Names</v>
      </c>
      <c r="B111" s="93" t="str">
        <f t="shared" si="2"/>
        <v>Statement</v>
      </c>
      <c r="C111" s="93" t="str">
        <f t="shared" si="3"/>
        <v>Processing Sheet</v>
      </c>
    </row>
    <row r="112" spans="1:3" x14ac:dyDescent="0.25">
      <c r="A112" s="93" t="str">
        <f>IFERROR(VLOOKUP("*"&amp;Table32[[#This Row],[Business Partner]]&amp;"*", 'Directory Snapshot'!A:A, 1, FALSE), "")</f>
        <v>File Names</v>
      </c>
      <c r="B112" s="93" t="str">
        <f t="shared" si="2"/>
        <v>Statement</v>
      </c>
      <c r="C112" s="93" t="str">
        <f t="shared" si="3"/>
        <v>Processing Sheet</v>
      </c>
    </row>
    <row r="113" spans="1:3" x14ac:dyDescent="0.25">
      <c r="A113" s="93" t="str">
        <f>IFERROR(VLOOKUP("*"&amp;Table32[[#This Row],[Business Partner]]&amp;"*", 'Directory Snapshot'!A:A, 1, FALSE), "")</f>
        <v>File Names</v>
      </c>
      <c r="B113" s="93" t="str">
        <f t="shared" si="2"/>
        <v>Statement</v>
      </c>
      <c r="C113" s="93" t="str">
        <f t="shared" si="3"/>
        <v>Processing Sheet</v>
      </c>
    </row>
    <row r="114" spans="1:3" x14ac:dyDescent="0.25">
      <c r="A114" s="93" t="str">
        <f>IFERROR(VLOOKUP("*"&amp;Table32[[#This Row],[Business Partner]]&amp;"*", 'Directory Snapshot'!A:A, 1, FALSE), "")</f>
        <v>File Names</v>
      </c>
      <c r="B114" s="93" t="str">
        <f t="shared" si="2"/>
        <v>Statement</v>
      </c>
      <c r="C114" s="93" t="str">
        <f t="shared" si="3"/>
        <v>Processing Sheet</v>
      </c>
    </row>
    <row r="115" spans="1:3" x14ac:dyDescent="0.25">
      <c r="A115" s="93" t="str">
        <f>IFERROR(VLOOKUP("*"&amp;Table32[[#This Row],[Business Partner]]&amp;"*", 'Directory Snapshot'!A:A, 1, FALSE), "")</f>
        <v>File Names</v>
      </c>
      <c r="B115" s="93" t="str">
        <f t="shared" si="2"/>
        <v>Statement</v>
      </c>
      <c r="C115" s="93" t="str">
        <f t="shared" si="3"/>
        <v>Processing Sheet</v>
      </c>
    </row>
    <row r="116" spans="1:3" x14ac:dyDescent="0.25">
      <c r="A116" s="93" t="str">
        <f>IFERROR(VLOOKUP("*"&amp;Table32[[#This Row],[Business Partner]]&amp;"*", 'Directory Snapshot'!A:A, 1, FALSE), "")</f>
        <v>File Names</v>
      </c>
      <c r="B116" s="93" t="str">
        <f t="shared" si="2"/>
        <v>Statement</v>
      </c>
      <c r="C116" s="93" t="str">
        <f t="shared" si="3"/>
        <v>Processing Sheet</v>
      </c>
    </row>
    <row r="117" spans="1:3" x14ac:dyDescent="0.25">
      <c r="A117" s="93" t="str">
        <f>IFERROR(VLOOKUP("*"&amp;Table32[[#This Row],[Business Partner]]&amp;"*", 'Directory Snapshot'!A:A, 1, FALSE), "")</f>
        <v>File Names</v>
      </c>
      <c r="B117" s="93" t="str">
        <f t="shared" si="2"/>
        <v>Statement</v>
      </c>
      <c r="C117" s="93" t="str">
        <f t="shared" si="3"/>
        <v>Processing Sheet</v>
      </c>
    </row>
    <row r="118" spans="1:3" x14ac:dyDescent="0.25">
      <c r="A118" s="93" t="str">
        <f>IFERROR(VLOOKUP("*"&amp;Table32[[#This Row],[Business Partner]]&amp;"*", 'Directory Snapshot'!A:A, 1, FALSE), "")</f>
        <v>File Names</v>
      </c>
      <c r="B118" s="93" t="str">
        <f t="shared" si="2"/>
        <v>Statement</v>
      </c>
      <c r="C118" s="93" t="str">
        <f t="shared" si="3"/>
        <v>Processing Sheet</v>
      </c>
    </row>
    <row r="119" spans="1:3" x14ac:dyDescent="0.25">
      <c r="A119" s="93" t="str">
        <f>IFERROR(VLOOKUP("*"&amp;Table32[[#This Row],[Business Partner]]&amp;"*", 'Directory Snapshot'!A:A, 1, FALSE), "")</f>
        <v>File Names</v>
      </c>
      <c r="B119" s="93" t="str">
        <f t="shared" si="2"/>
        <v>Statement</v>
      </c>
      <c r="C119" s="93" t="str">
        <f t="shared" si="3"/>
        <v>Processing Sheet</v>
      </c>
    </row>
    <row r="120" spans="1:3" x14ac:dyDescent="0.25">
      <c r="A120" s="93" t="str">
        <f>IFERROR(VLOOKUP("*"&amp;Table32[[#This Row],[Business Partner]]&amp;"*", 'Directory Snapshot'!A:A, 1, FALSE), "")</f>
        <v>File Names</v>
      </c>
      <c r="B120" s="93" t="str">
        <f t="shared" si="2"/>
        <v>Statement</v>
      </c>
      <c r="C120" s="93" t="str">
        <f t="shared" si="3"/>
        <v>Processing Sheet</v>
      </c>
    </row>
    <row r="121" spans="1:3" x14ac:dyDescent="0.25">
      <c r="A121" s="93" t="str">
        <f>IFERROR(VLOOKUP("*"&amp;Table32[[#This Row],[Business Partner]]&amp;"*", 'Directory Snapshot'!A:A, 1, FALSE), "")</f>
        <v>File Names</v>
      </c>
      <c r="B121" s="93" t="str">
        <f t="shared" si="2"/>
        <v>Statement</v>
      </c>
      <c r="C121" s="93" t="str">
        <f t="shared" si="3"/>
        <v>Processing Sheet</v>
      </c>
    </row>
    <row r="122" spans="1:3" x14ac:dyDescent="0.25">
      <c r="A122" s="93" t="str">
        <f>IFERROR(VLOOKUP("*"&amp;Table32[[#This Row],[Business Partner]]&amp;"*", 'Directory Snapshot'!A:A, 1, FALSE), "")</f>
        <v>File Names</v>
      </c>
      <c r="B122" s="93" t="str">
        <f t="shared" si="2"/>
        <v>Statement</v>
      </c>
      <c r="C122" s="93" t="str">
        <f t="shared" si="3"/>
        <v>Processing Sheet</v>
      </c>
    </row>
    <row r="123" spans="1:3" x14ac:dyDescent="0.25">
      <c r="A123" s="93" t="str">
        <f>IFERROR(VLOOKUP("*"&amp;Table32[[#This Row],[Business Partner]]&amp;"*", 'Directory Snapshot'!A:A, 1, FALSE), "")</f>
        <v>File Names</v>
      </c>
      <c r="B123" s="93" t="str">
        <f t="shared" si="2"/>
        <v>Statement</v>
      </c>
      <c r="C123" s="93" t="str">
        <f t="shared" si="3"/>
        <v>Processing Sheet</v>
      </c>
    </row>
    <row r="124" spans="1:3" x14ac:dyDescent="0.25">
      <c r="A124" s="93" t="str">
        <f>IFERROR(VLOOKUP("*"&amp;Table32[[#This Row],[Business Partner]]&amp;"*", 'Directory Snapshot'!A:A, 1, FALSE), "")</f>
        <v>File Names</v>
      </c>
      <c r="B124" s="93" t="str">
        <f t="shared" si="2"/>
        <v>Statement</v>
      </c>
      <c r="C124" s="93" t="str">
        <f t="shared" si="3"/>
        <v>Processing Sheet</v>
      </c>
    </row>
    <row r="125" spans="1:3" x14ac:dyDescent="0.25">
      <c r="A125" s="93" t="str">
        <f>IFERROR(VLOOKUP("*"&amp;Table32[[#This Row],[Business Partner]]&amp;"*", 'Directory Snapshot'!A:A, 1, FALSE), "")</f>
        <v>File Names</v>
      </c>
      <c r="B125" s="93" t="str">
        <f t="shared" si="2"/>
        <v>Statement</v>
      </c>
      <c r="C125" s="93" t="str">
        <f t="shared" si="3"/>
        <v>Processing Sheet</v>
      </c>
    </row>
    <row r="126" spans="1:3" x14ac:dyDescent="0.25">
      <c r="A126" s="93" t="str">
        <f>IFERROR(VLOOKUP("*"&amp;Table32[[#This Row],[Business Partner]]&amp;"*", 'Directory Snapshot'!A:A, 1, FALSE), "")</f>
        <v>File Names</v>
      </c>
      <c r="B126" s="93" t="str">
        <f t="shared" si="2"/>
        <v>Statement</v>
      </c>
      <c r="C126" s="93" t="str">
        <f t="shared" si="3"/>
        <v>Processing Sheet</v>
      </c>
    </row>
    <row r="127" spans="1:3" x14ac:dyDescent="0.25">
      <c r="A127" s="93" t="str">
        <f>IFERROR(VLOOKUP("*"&amp;Table32[[#This Row],[Business Partner]]&amp;"*", 'Directory Snapshot'!A:A, 1, FALSE), "")</f>
        <v>File Names</v>
      </c>
      <c r="B127" s="93" t="str">
        <f t="shared" si="2"/>
        <v>Statement</v>
      </c>
      <c r="C127" s="93" t="str">
        <f t="shared" si="3"/>
        <v>Processing Sheet</v>
      </c>
    </row>
    <row r="128" spans="1:3" x14ac:dyDescent="0.25">
      <c r="A128" s="93" t="str">
        <f>IFERROR(VLOOKUP("*"&amp;Table32[[#This Row],[Business Partner]]&amp;"*", 'Directory Snapshot'!A:A, 1, FALSE), "")</f>
        <v>File Names</v>
      </c>
      <c r="B128" s="93" t="str">
        <f t="shared" si="2"/>
        <v>Statement</v>
      </c>
      <c r="C128" s="93" t="str">
        <f t="shared" si="3"/>
        <v>Processing Sheet</v>
      </c>
    </row>
    <row r="129" spans="1:3" x14ac:dyDescent="0.25">
      <c r="A129" s="93" t="str">
        <f>IFERROR(VLOOKUP("*"&amp;Table32[[#This Row],[Business Partner]]&amp;"*", 'Directory Snapshot'!A:A, 1, FALSE), "")</f>
        <v>File Names</v>
      </c>
      <c r="B129" s="93" t="str">
        <f t="shared" si="2"/>
        <v>Statement</v>
      </c>
      <c r="C129" s="93" t="str">
        <f t="shared" si="3"/>
        <v>Processing Sheet</v>
      </c>
    </row>
    <row r="130" spans="1:3" x14ac:dyDescent="0.25">
      <c r="A130" s="93" t="str">
        <f>IFERROR(VLOOKUP("*"&amp;Table32[[#This Row],[Business Partner]]&amp;"*", 'Directory Snapshot'!A:A, 1, FALSE), "")</f>
        <v>File Names</v>
      </c>
      <c r="B130" s="93" t="str">
        <f t="shared" si="2"/>
        <v>Statement</v>
      </c>
      <c r="C130" s="93" t="str">
        <f t="shared" si="3"/>
        <v>Processing Sheet</v>
      </c>
    </row>
    <row r="131" spans="1:3" x14ac:dyDescent="0.25">
      <c r="A131" s="93" t="str">
        <f>IFERROR(VLOOKUP("*"&amp;Table32[[#This Row],[Business Partner]]&amp;"*", 'Directory Snapshot'!A:A, 1, FALSE), "")</f>
        <v>File Names</v>
      </c>
      <c r="B131" s="93" t="str">
        <f t="shared" ref="B131:B194" si="4">IF(LEN(A131)=0, "", "Statement")</f>
        <v>Statement</v>
      </c>
      <c r="C131" s="93" t="str">
        <f t="shared" ref="C131:C194" si="5">IF(LEN(A131)=0, "", "Processing Sheet")</f>
        <v>Processing Sheet</v>
      </c>
    </row>
    <row r="132" spans="1:3" x14ac:dyDescent="0.25">
      <c r="A132" s="93" t="str">
        <f>IFERROR(VLOOKUP("*"&amp;Table32[[#This Row],[Business Partner]]&amp;"*", 'Directory Snapshot'!A:A, 1, FALSE), "")</f>
        <v>File Names</v>
      </c>
      <c r="B132" s="93" t="str">
        <f t="shared" si="4"/>
        <v>Statement</v>
      </c>
      <c r="C132" s="93" t="str">
        <f t="shared" si="5"/>
        <v>Processing Sheet</v>
      </c>
    </row>
    <row r="133" spans="1:3" x14ac:dyDescent="0.25">
      <c r="A133" s="93" t="str">
        <f>IFERROR(VLOOKUP("*"&amp;Table32[[#This Row],[Business Partner]]&amp;"*", 'Directory Snapshot'!A:A, 1, FALSE), "")</f>
        <v>File Names</v>
      </c>
      <c r="B133" s="93" t="str">
        <f t="shared" si="4"/>
        <v>Statement</v>
      </c>
      <c r="C133" s="93" t="str">
        <f t="shared" si="5"/>
        <v>Processing Sheet</v>
      </c>
    </row>
    <row r="134" spans="1:3" x14ac:dyDescent="0.25">
      <c r="A134" s="93" t="str">
        <f>IFERROR(VLOOKUP("*"&amp;Table32[[#This Row],[Business Partner]]&amp;"*", 'Directory Snapshot'!A:A, 1, FALSE), "")</f>
        <v>File Names</v>
      </c>
      <c r="B134" s="93" t="str">
        <f t="shared" si="4"/>
        <v>Statement</v>
      </c>
      <c r="C134" s="93" t="str">
        <f t="shared" si="5"/>
        <v>Processing Sheet</v>
      </c>
    </row>
    <row r="135" spans="1:3" x14ac:dyDescent="0.25">
      <c r="A135" s="93" t="str">
        <f>IFERROR(VLOOKUP("*"&amp;Table32[[#This Row],[Business Partner]]&amp;"*", 'Directory Snapshot'!A:A, 1, FALSE), "")</f>
        <v>File Names</v>
      </c>
      <c r="B135" s="93" t="str">
        <f t="shared" si="4"/>
        <v>Statement</v>
      </c>
      <c r="C135" s="93" t="str">
        <f t="shared" si="5"/>
        <v>Processing Sheet</v>
      </c>
    </row>
    <row r="136" spans="1:3" x14ac:dyDescent="0.25">
      <c r="A136" s="93" t="str">
        <f>IFERROR(VLOOKUP("*"&amp;Table32[[#This Row],[Business Partner]]&amp;"*", 'Directory Snapshot'!A:A, 1, FALSE), "")</f>
        <v>File Names</v>
      </c>
      <c r="B136" s="93" t="str">
        <f t="shared" si="4"/>
        <v>Statement</v>
      </c>
      <c r="C136" s="93" t="str">
        <f t="shared" si="5"/>
        <v>Processing Sheet</v>
      </c>
    </row>
    <row r="137" spans="1:3" x14ac:dyDescent="0.25">
      <c r="A137" s="93" t="str">
        <f>IFERROR(VLOOKUP("*"&amp;Table32[[#This Row],[Business Partner]]&amp;"*", 'Directory Snapshot'!A:A, 1, FALSE), "")</f>
        <v>File Names</v>
      </c>
      <c r="B137" s="93" t="str">
        <f t="shared" si="4"/>
        <v>Statement</v>
      </c>
      <c r="C137" s="93" t="str">
        <f t="shared" si="5"/>
        <v>Processing Sheet</v>
      </c>
    </row>
    <row r="138" spans="1:3" x14ac:dyDescent="0.25">
      <c r="A138" s="93" t="str">
        <f>IFERROR(VLOOKUP("*"&amp;Table32[[#This Row],[Business Partner]]&amp;"*", 'Directory Snapshot'!A:A, 1, FALSE), "")</f>
        <v>File Names</v>
      </c>
      <c r="B138" s="93" t="str">
        <f t="shared" si="4"/>
        <v>Statement</v>
      </c>
      <c r="C138" s="93" t="str">
        <f t="shared" si="5"/>
        <v>Processing Sheet</v>
      </c>
    </row>
    <row r="139" spans="1:3" x14ac:dyDescent="0.25">
      <c r="A139" s="93" t="str">
        <f>IFERROR(VLOOKUP("*"&amp;Table32[[#This Row],[Business Partner]]&amp;"*", 'Directory Snapshot'!A:A, 1, FALSE), "")</f>
        <v>File Names</v>
      </c>
      <c r="B139" s="93" t="str">
        <f t="shared" si="4"/>
        <v>Statement</v>
      </c>
      <c r="C139" s="93" t="str">
        <f t="shared" si="5"/>
        <v>Processing Sheet</v>
      </c>
    </row>
    <row r="140" spans="1:3" x14ac:dyDescent="0.25">
      <c r="A140" s="93" t="str">
        <f>IFERROR(VLOOKUP("*"&amp;Table32[[#This Row],[Business Partner]]&amp;"*", 'Directory Snapshot'!A:A, 1, FALSE), "")</f>
        <v>File Names</v>
      </c>
      <c r="B140" s="93" t="str">
        <f t="shared" si="4"/>
        <v>Statement</v>
      </c>
      <c r="C140" s="93" t="str">
        <f t="shared" si="5"/>
        <v>Processing Sheet</v>
      </c>
    </row>
    <row r="141" spans="1:3" x14ac:dyDescent="0.25">
      <c r="A141" s="93" t="str">
        <f>IFERROR(VLOOKUP("*"&amp;Table32[[#This Row],[Business Partner]]&amp;"*", 'Directory Snapshot'!A:A, 1, FALSE), "")</f>
        <v>File Names</v>
      </c>
      <c r="B141" s="93" t="str">
        <f t="shared" si="4"/>
        <v>Statement</v>
      </c>
      <c r="C141" s="93" t="str">
        <f t="shared" si="5"/>
        <v>Processing Sheet</v>
      </c>
    </row>
    <row r="142" spans="1:3" x14ac:dyDescent="0.25">
      <c r="A142" s="93" t="str">
        <f>IFERROR(VLOOKUP("*"&amp;Table32[[#This Row],[Business Partner]]&amp;"*", 'Directory Snapshot'!A:A, 1, FALSE), "")</f>
        <v>File Names</v>
      </c>
      <c r="B142" s="93" t="str">
        <f t="shared" si="4"/>
        <v>Statement</v>
      </c>
      <c r="C142" s="93" t="str">
        <f t="shared" si="5"/>
        <v>Processing Sheet</v>
      </c>
    </row>
    <row r="143" spans="1:3" x14ac:dyDescent="0.25">
      <c r="A143" s="93" t="str">
        <f>IFERROR(VLOOKUP("*"&amp;Table32[[#This Row],[Business Partner]]&amp;"*", 'Directory Snapshot'!A:A, 1, FALSE), "")</f>
        <v>File Names</v>
      </c>
      <c r="B143" s="93" t="str">
        <f t="shared" si="4"/>
        <v>Statement</v>
      </c>
      <c r="C143" s="93" t="str">
        <f t="shared" si="5"/>
        <v>Processing Sheet</v>
      </c>
    </row>
    <row r="144" spans="1:3" x14ac:dyDescent="0.25">
      <c r="A144" s="93" t="str">
        <f>IFERROR(VLOOKUP("*"&amp;Table32[[#This Row],[Business Partner]]&amp;"*", 'Directory Snapshot'!A:A, 1, FALSE), "")</f>
        <v>File Names</v>
      </c>
      <c r="B144" s="93" t="str">
        <f t="shared" si="4"/>
        <v>Statement</v>
      </c>
      <c r="C144" s="93" t="str">
        <f t="shared" si="5"/>
        <v>Processing Sheet</v>
      </c>
    </row>
    <row r="145" spans="1:3" x14ac:dyDescent="0.25">
      <c r="A145" s="93" t="str">
        <f>IFERROR(VLOOKUP("*"&amp;Table32[[#This Row],[Business Partner]]&amp;"*", 'Directory Snapshot'!A:A, 1, FALSE), "")</f>
        <v>File Names</v>
      </c>
      <c r="B145" s="93" t="str">
        <f t="shared" si="4"/>
        <v>Statement</v>
      </c>
      <c r="C145" s="93" t="str">
        <f t="shared" si="5"/>
        <v>Processing Sheet</v>
      </c>
    </row>
    <row r="146" spans="1:3" x14ac:dyDescent="0.25">
      <c r="A146" s="93" t="str">
        <f>IFERROR(VLOOKUP("*"&amp;Table32[[#This Row],[Business Partner]]&amp;"*", 'Directory Snapshot'!A:A, 1, FALSE), "")</f>
        <v>File Names</v>
      </c>
      <c r="B146" s="93" t="str">
        <f t="shared" si="4"/>
        <v>Statement</v>
      </c>
      <c r="C146" s="93" t="str">
        <f t="shared" si="5"/>
        <v>Processing Sheet</v>
      </c>
    </row>
    <row r="147" spans="1:3" x14ac:dyDescent="0.25">
      <c r="A147" s="93" t="str">
        <f>IFERROR(VLOOKUP("*"&amp;Table32[[#This Row],[Business Partner]]&amp;"*", 'Directory Snapshot'!A:A, 1, FALSE), "")</f>
        <v>File Names</v>
      </c>
      <c r="B147" s="93" t="str">
        <f t="shared" si="4"/>
        <v>Statement</v>
      </c>
      <c r="C147" s="93" t="str">
        <f t="shared" si="5"/>
        <v>Processing Sheet</v>
      </c>
    </row>
    <row r="148" spans="1:3" x14ac:dyDescent="0.25">
      <c r="A148" s="93" t="str">
        <f>IFERROR(VLOOKUP("*"&amp;Table32[[#This Row],[Business Partner]]&amp;"*", 'Directory Snapshot'!A:A, 1, FALSE), "")</f>
        <v>File Names</v>
      </c>
      <c r="B148" s="93" t="str">
        <f t="shared" si="4"/>
        <v>Statement</v>
      </c>
      <c r="C148" s="93" t="str">
        <f t="shared" si="5"/>
        <v>Processing Sheet</v>
      </c>
    </row>
    <row r="149" spans="1:3" x14ac:dyDescent="0.25">
      <c r="A149" s="93" t="str">
        <f>IFERROR(VLOOKUP("*"&amp;Table32[[#This Row],[Business Partner]]&amp;"*", 'Directory Snapshot'!A:A, 1, FALSE), "")</f>
        <v>File Names</v>
      </c>
      <c r="B149" s="93" t="str">
        <f t="shared" si="4"/>
        <v>Statement</v>
      </c>
      <c r="C149" s="93" t="str">
        <f t="shared" si="5"/>
        <v>Processing Sheet</v>
      </c>
    </row>
    <row r="150" spans="1:3" x14ac:dyDescent="0.25">
      <c r="A150" s="93" t="str">
        <f>IFERROR(VLOOKUP("*"&amp;Table32[[#This Row],[Business Partner]]&amp;"*", 'Directory Snapshot'!A:A, 1, FALSE), "")</f>
        <v>File Names</v>
      </c>
      <c r="B150" s="93" t="str">
        <f t="shared" si="4"/>
        <v>Statement</v>
      </c>
      <c r="C150" s="93" t="str">
        <f t="shared" si="5"/>
        <v>Processing Sheet</v>
      </c>
    </row>
    <row r="151" spans="1:3" x14ac:dyDescent="0.25">
      <c r="A151" s="93" t="str">
        <f>IFERROR(VLOOKUP("*"&amp;Table32[[#This Row],[Business Partner]]&amp;"*", 'Directory Snapshot'!A:A, 1, FALSE), "")</f>
        <v>File Names</v>
      </c>
      <c r="B151" s="93" t="str">
        <f t="shared" si="4"/>
        <v>Statement</v>
      </c>
      <c r="C151" s="93" t="str">
        <f t="shared" si="5"/>
        <v>Processing Sheet</v>
      </c>
    </row>
    <row r="152" spans="1:3" x14ac:dyDescent="0.25">
      <c r="A152" s="93" t="str">
        <f>IFERROR(VLOOKUP("*"&amp;Table32[[#This Row],[Business Partner]]&amp;"*", 'Directory Snapshot'!A:A, 1, FALSE), "")</f>
        <v>File Names</v>
      </c>
      <c r="B152" s="93" t="str">
        <f t="shared" si="4"/>
        <v>Statement</v>
      </c>
      <c r="C152" s="93" t="str">
        <f t="shared" si="5"/>
        <v>Processing Sheet</v>
      </c>
    </row>
    <row r="153" spans="1:3" x14ac:dyDescent="0.25">
      <c r="A153" s="93" t="str">
        <f>IFERROR(VLOOKUP("*"&amp;Table32[[#This Row],[Business Partner]]&amp;"*", 'Directory Snapshot'!A:A, 1, FALSE), "")</f>
        <v>File Names</v>
      </c>
      <c r="B153" s="93" t="str">
        <f t="shared" si="4"/>
        <v>Statement</v>
      </c>
      <c r="C153" s="93" t="str">
        <f t="shared" si="5"/>
        <v>Processing Sheet</v>
      </c>
    </row>
    <row r="154" spans="1:3" x14ac:dyDescent="0.25">
      <c r="A154" s="93" t="str">
        <f>IFERROR(VLOOKUP("*"&amp;Table32[[#This Row],[Business Partner]]&amp;"*", 'Directory Snapshot'!A:A, 1, FALSE), "")</f>
        <v>File Names</v>
      </c>
      <c r="B154" s="93" t="str">
        <f t="shared" si="4"/>
        <v>Statement</v>
      </c>
      <c r="C154" s="93" t="str">
        <f t="shared" si="5"/>
        <v>Processing Sheet</v>
      </c>
    </row>
    <row r="155" spans="1:3" x14ac:dyDescent="0.25">
      <c r="A155" s="93" t="str">
        <f>IFERROR(VLOOKUP("*"&amp;Table32[[#This Row],[Business Partner]]&amp;"*", 'Directory Snapshot'!A:A, 1, FALSE), "")</f>
        <v>File Names</v>
      </c>
      <c r="B155" s="93" t="str">
        <f t="shared" si="4"/>
        <v>Statement</v>
      </c>
      <c r="C155" s="93" t="str">
        <f t="shared" si="5"/>
        <v>Processing Sheet</v>
      </c>
    </row>
    <row r="156" spans="1:3" x14ac:dyDescent="0.25">
      <c r="A156" s="93" t="str">
        <f>IFERROR(VLOOKUP("*"&amp;Table32[[#This Row],[Business Partner]]&amp;"*", 'Directory Snapshot'!A:A, 1, FALSE), "")</f>
        <v>File Names</v>
      </c>
      <c r="B156" s="93" t="str">
        <f t="shared" si="4"/>
        <v>Statement</v>
      </c>
      <c r="C156" s="93" t="str">
        <f t="shared" si="5"/>
        <v>Processing Sheet</v>
      </c>
    </row>
    <row r="157" spans="1:3" x14ac:dyDescent="0.25">
      <c r="A157" s="93" t="str">
        <f>IFERROR(VLOOKUP("*"&amp;Table32[[#This Row],[Business Partner]]&amp;"*", 'Directory Snapshot'!A:A, 1, FALSE), "")</f>
        <v>File Names</v>
      </c>
      <c r="B157" s="93" t="str">
        <f t="shared" si="4"/>
        <v>Statement</v>
      </c>
      <c r="C157" s="93" t="str">
        <f t="shared" si="5"/>
        <v>Processing Sheet</v>
      </c>
    </row>
    <row r="158" spans="1:3" x14ac:dyDescent="0.25">
      <c r="A158" s="93" t="str">
        <f>IFERROR(VLOOKUP("*"&amp;Table32[[#This Row],[Business Partner]]&amp;"*", 'Directory Snapshot'!A:A, 1, FALSE), "")</f>
        <v>File Names</v>
      </c>
      <c r="B158" s="93" t="str">
        <f t="shared" si="4"/>
        <v>Statement</v>
      </c>
      <c r="C158" s="93" t="str">
        <f t="shared" si="5"/>
        <v>Processing Sheet</v>
      </c>
    </row>
    <row r="159" spans="1:3" x14ac:dyDescent="0.25">
      <c r="A159" s="93" t="str">
        <f>IFERROR(VLOOKUP("*"&amp;Table32[[#This Row],[Business Partner]]&amp;"*", 'Directory Snapshot'!A:A, 1, FALSE), "")</f>
        <v>File Names</v>
      </c>
      <c r="B159" s="93" t="str">
        <f t="shared" si="4"/>
        <v>Statement</v>
      </c>
      <c r="C159" s="93" t="str">
        <f t="shared" si="5"/>
        <v>Processing Sheet</v>
      </c>
    </row>
    <row r="160" spans="1:3" x14ac:dyDescent="0.25">
      <c r="A160" s="93" t="str">
        <f>IFERROR(VLOOKUP("*"&amp;Table32[[#This Row],[Business Partner]]&amp;"*", 'Directory Snapshot'!A:A, 1, FALSE), "")</f>
        <v>File Names</v>
      </c>
      <c r="B160" s="93" t="str">
        <f t="shared" si="4"/>
        <v>Statement</v>
      </c>
      <c r="C160" s="93" t="str">
        <f t="shared" si="5"/>
        <v>Processing Sheet</v>
      </c>
    </row>
    <row r="161" spans="1:3" x14ac:dyDescent="0.25">
      <c r="A161" s="93" t="str">
        <f>IFERROR(VLOOKUP("*"&amp;Table32[[#This Row],[Business Partner]]&amp;"*", 'Directory Snapshot'!A:A, 1, FALSE), "")</f>
        <v>File Names</v>
      </c>
      <c r="B161" s="93" t="str">
        <f t="shared" si="4"/>
        <v>Statement</v>
      </c>
      <c r="C161" s="93" t="str">
        <f t="shared" si="5"/>
        <v>Processing Sheet</v>
      </c>
    </row>
    <row r="162" spans="1:3" x14ac:dyDescent="0.25">
      <c r="A162" s="93" t="str">
        <f>IFERROR(VLOOKUP("*"&amp;Table32[[#This Row],[Business Partner]]&amp;"*", 'Directory Snapshot'!A:A, 1, FALSE), "")</f>
        <v>File Names</v>
      </c>
      <c r="B162" s="93" t="str">
        <f t="shared" si="4"/>
        <v>Statement</v>
      </c>
      <c r="C162" s="93" t="str">
        <f t="shared" si="5"/>
        <v>Processing Sheet</v>
      </c>
    </row>
    <row r="163" spans="1:3" x14ac:dyDescent="0.25">
      <c r="A163" s="93" t="str">
        <f>IFERROR(VLOOKUP("*"&amp;Table32[[#This Row],[Business Partner]]&amp;"*", 'Directory Snapshot'!A:A, 1, FALSE), "")</f>
        <v>File Names</v>
      </c>
      <c r="B163" s="93" t="str">
        <f t="shared" si="4"/>
        <v>Statement</v>
      </c>
      <c r="C163" s="93" t="str">
        <f t="shared" si="5"/>
        <v>Processing Sheet</v>
      </c>
    </row>
    <row r="164" spans="1:3" x14ac:dyDescent="0.25">
      <c r="A164" s="93" t="str">
        <f>IFERROR(VLOOKUP("*"&amp;Table32[[#This Row],[Business Partner]]&amp;"*", 'Directory Snapshot'!A:A, 1, FALSE), "")</f>
        <v>File Names</v>
      </c>
      <c r="B164" s="93" t="str">
        <f t="shared" si="4"/>
        <v>Statement</v>
      </c>
      <c r="C164" s="93" t="str">
        <f t="shared" si="5"/>
        <v>Processing Sheet</v>
      </c>
    </row>
    <row r="165" spans="1:3" x14ac:dyDescent="0.25">
      <c r="A165" s="93" t="str">
        <f>IFERROR(VLOOKUP("*"&amp;Table32[[#This Row],[Business Partner]]&amp;"*", 'Directory Snapshot'!A:A, 1, FALSE), "")</f>
        <v>File Names</v>
      </c>
      <c r="B165" s="93" t="str">
        <f t="shared" si="4"/>
        <v>Statement</v>
      </c>
      <c r="C165" s="93" t="str">
        <f t="shared" si="5"/>
        <v>Processing Sheet</v>
      </c>
    </row>
    <row r="166" spans="1:3" x14ac:dyDescent="0.25">
      <c r="A166" s="93" t="str">
        <f>IFERROR(VLOOKUP("*"&amp;Table32[[#This Row],[Business Partner]]&amp;"*", 'Directory Snapshot'!A:A, 1, FALSE), "")</f>
        <v>File Names</v>
      </c>
      <c r="B166" s="93" t="str">
        <f t="shared" si="4"/>
        <v>Statement</v>
      </c>
      <c r="C166" s="93" t="str">
        <f t="shared" si="5"/>
        <v>Processing Sheet</v>
      </c>
    </row>
    <row r="167" spans="1:3" x14ac:dyDescent="0.25">
      <c r="A167" s="93" t="str">
        <f>IFERROR(VLOOKUP("*"&amp;Table32[[#This Row],[Business Partner]]&amp;"*", 'Directory Snapshot'!A:A, 1, FALSE), "")</f>
        <v>File Names</v>
      </c>
      <c r="B167" s="93" t="str">
        <f t="shared" si="4"/>
        <v>Statement</v>
      </c>
      <c r="C167" s="93" t="str">
        <f t="shared" si="5"/>
        <v>Processing Sheet</v>
      </c>
    </row>
    <row r="168" spans="1:3" x14ac:dyDescent="0.25">
      <c r="A168" s="93" t="str">
        <f>IFERROR(VLOOKUP("*"&amp;Table32[[#This Row],[Business Partner]]&amp;"*", 'Directory Snapshot'!A:A, 1, FALSE), "")</f>
        <v>File Names</v>
      </c>
      <c r="B168" s="93" t="str">
        <f t="shared" si="4"/>
        <v>Statement</v>
      </c>
      <c r="C168" s="93" t="str">
        <f t="shared" si="5"/>
        <v>Processing Sheet</v>
      </c>
    </row>
    <row r="169" spans="1:3" x14ac:dyDescent="0.25">
      <c r="A169" s="93" t="str">
        <f>IFERROR(VLOOKUP("*"&amp;Table32[[#This Row],[Business Partner]]&amp;"*", 'Directory Snapshot'!A:A, 1, FALSE), "")</f>
        <v>File Names</v>
      </c>
      <c r="B169" s="93" t="str">
        <f t="shared" si="4"/>
        <v>Statement</v>
      </c>
      <c r="C169" s="93" t="str">
        <f t="shared" si="5"/>
        <v>Processing Sheet</v>
      </c>
    </row>
    <row r="170" spans="1:3" x14ac:dyDescent="0.25">
      <c r="A170" s="93" t="str">
        <f>IFERROR(VLOOKUP("*"&amp;Table32[[#This Row],[Business Partner]]&amp;"*", 'Directory Snapshot'!A:A, 1, FALSE), "")</f>
        <v>File Names</v>
      </c>
      <c r="B170" s="93" t="str">
        <f t="shared" si="4"/>
        <v>Statement</v>
      </c>
      <c r="C170" s="93" t="str">
        <f t="shared" si="5"/>
        <v>Processing Sheet</v>
      </c>
    </row>
    <row r="171" spans="1:3" x14ac:dyDescent="0.25">
      <c r="A171" s="93" t="str">
        <f>IFERROR(VLOOKUP("*"&amp;Table32[[#This Row],[Business Partner]]&amp;"*", 'Directory Snapshot'!A:A, 1, FALSE), "")</f>
        <v>File Names</v>
      </c>
      <c r="B171" s="93" t="str">
        <f t="shared" si="4"/>
        <v>Statement</v>
      </c>
      <c r="C171" s="93" t="str">
        <f t="shared" si="5"/>
        <v>Processing Sheet</v>
      </c>
    </row>
    <row r="172" spans="1:3" x14ac:dyDescent="0.25">
      <c r="A172" s="93" t="str">
        <f>IFERROR(VLOOKUP("*"&amp;Table32[[#This Row],[Business Partner]]&amp;"*", 'Directory Snapshot'!A:A, 1, FALSE), "")</f>
        <v>File Names</v>
      </c>
      <c r="B172" s="93" t="str">
        <f t="shared" si="4"/>
        <v>Statement</v>
      </c>
      <c r="C172" s="93" t="str">
        <f t="shared" si="5"/>
        <v>Processing Sheet</v>
      </c>
    </row>
    <row r="173" spans="1:3" x14ac:dyDescent="0.25">
      <c r="A173" s="93" t="str">
        <f>IFERROR(VLOOKUP("*"&amp;Table32[[#This Row],[Business Partner]]&amp;"*", 'Directory Snapshot'!A:A, 1, FALSE), "")</f>
        <v>File Names</v>
      </c>
      <c r="B173" s="93" t="str">
        <f t="shared" si="4"/>
        <v>Statement</v>
      </c>
      <c r="C173" s="93" t="str">
        <f t="shared" si="5"/>
        <v>Processing Sheet</v>
      </c>
    </row>
    <row r="174" spans="1:3" x14ac:dyDescent="0.25">
      <c r="A174" s="93" t="str">
        <f>IFERROR(VLOOKUP("*"&amp;Table32[[#This Row],[Business Partner]]&amp;"*", 'Directory Snapshot'!A:A, 1, FALSE), "")</f>
        <v>File Names</v>
      </c>
      <c r="B174" s="93" t="str">
        <f t="shared" si="4"/>
        <v>Statement</v>
      </c>
      <c r="C174" s="93" t="str">
        <f t="shared" si="5"/>
        <v>Processing Sheet</v>
      </c>
    </row>
    <row r="175" spans="1:3" x14ac:dyDescent="0.25">
      <c r="A175" s="93" t="str">
        <f>IFERROR(VLOOKUP("*"&amp;Table32[[#This Row],[Business Partner]]&amp;"*", 'Directory Snapshot'!A:A, 1, FALSE), "")</f>
        <v>File Names</v>
      </c>
      <c r="B175" s="93" t="str">
        <f t="shared" si="4"/>
        <v>Statement</v>
      </c>
      <c r="C175" s="93" t="str">
        <f t="shared" si="5"/>
        <v>Processing Sheet</v>
      </c>
    </row>
    <row r="176" spans="1:3" x14ac:dyDescent="0.25">
      <c r="A176" s="93" t="str">
        <f>IFERROR(VLOOKUP("*"&amp;Table32[[#This Row],[Business Partner]]&amp;"*", 'Directory Snapshot'!A:A, 1, FALSE), "")</f>
        <v>File Names</v>
      </c>
      <c r="B176" s="93" t="str">
        <f t="shared" si="4"/>
        <v>Statement</v>
      </c>
      <c r="C176" s="93" t="str">
        <f t="shared" si="5"/>
        <v>Processing Sheet</v>
      </c>
    </row>
    <row r="177" spans="1:3" x14ac:dyDescent="0.25">
      <c r="A177" s="93" t="str">
        <f>IFERROR(VLOOKUP("*"&amp;Table32[[#This Row],[Business Partner]]&amp;"*", 'Directory Snapshot'!A:A, 1, FALSE), "")</f>
        <v>File Names</v>
      </c>
      <c r="B177" s="93" t="str">
        <f t="shared" si="4"/>
        <v>Statement</v>
      </c>
      <c r="C177" s="93" t="str">
        <f t="shared" si="5"/>
        <v>Processing Sheet</v>
      </c>
    </row>
    <row r="178" spans="1:3" x14ac:dyDescent="0.25">
      <c r="A178" s="93" t="str">
        <f>IFERROR(VLOOKUP("*"&amp;Table32[[#This Row],[Business Partner]]&amp;"*", 'Directory Snapshot'!A:A, 1, FALSE), "")</f>
        <v>File Names</v>
      </c>
      <c r="B178" s="93" t="str">
        <f t="shared" si="4"/>
        <v>Statement</v>
      </c>
      <c r="C178" s="93" t="str">
        <f t="shared" si="5"/>
        <v>Processing Sheet</v>
      </c>
    </row>
    <row r="179" spans="1:3" x14ac:dyDescent="0.25">
      <c r="A179" s="93" t="str">
        <f>IFERROR(VLOOKUP("*"&amp;Table32[[#This Row],[Business Partner]]&amp;"*", 'Directory Snapshot'!A:A, 1, FALSE), "")</f>
        <v>File Names</v>
      </c>
      <c r="B179" s="93" t="str">
        <f t="shared" si="4"/>
        <v>Statement</v>
      </c>
      <c r="C179" s="93" t="str">
        <f t="shared" si="5"/>
        <v>Processing Sheet</v>
      </c>
    </row>
    <row r="180" spans="1:3" x14ac:dyDescent="0.25">
      <c r="A180" s="93" t="str">
        <f>IFERROR(VLOOKUP("*"&amp;Table32[[#This Row],[Business Partner]]&amp;"*", 'Directory Snapshot'!A:A, 1, FALSE), "")</f>
        <v>File Names</v>
      </c>
      <c r="B180" s="93" t="str">
        <f t="shared" si="4"/>
        <v>Statement</v>
      </c>
      <c r="C180" s="93" t="str">
        <f t="shared" si="5"/>
        <v>Processing Sheet</v>
      </c>
    </row>
    <row r="181" spans="1:3" x14ac:dyDescent="0.25">
      <c r="A181" s="93" t="str">
        <f>IFERROR(VLOOKUP("*"&amp;Table32[[#This Row],[Business Partner]]&amp;"*", 'Directory Snapshot'!A:A, 1, FALSE), "")</f>
        <v>File Names</v>
      </c>
      <c r="B181" s="93" t="str">
        <f t="shared" si="4"/>
        <v>Statement</v>
      </c>
      <c r="C181" s="93" t="str">
        <f t="shared" si="5"/>
        <v>Processing Sheet</v>
      </c>
    </row>
    <row r="182" spans="1:3" x14ac:dyDescent="0.25">
      <c r="A182" s="93" t="str">
        <f>IFERROR(VLOOKUP("*"&amp;Table32[[#This Row],[Business Partner]]&amp;"*", 'Directory Snapshot'!A:A, 1, FALSE), "")</f>
        <v>File Names</v>
      </c>
      <c r="B182" s="93" t="str">
        <f t="shared" si="4"/>
        <v>Statement</v>
      </c>
      <c r="C182" s="93" t="str">
        <f t="shared" si="5"/>
        <v>Processing Sheet</v>
      </c>
    </row>
    <row r="183" spans="1:3" x14ac:dyDescent="0.25">
      <c r="A183" s="93" t="str">
        <f>IFERROR(VLOOKUP("*"&amp;Table32[[#This Row],[Business Partner]]&amp;"*", 'Directory Snapshot'!A:A, 1, FALSE), "")</f>
        <v>File Names</v>
      </c>
      <c r="B183" s="93" t="str">
        <f t="shared" si="4"/>
        <v>Statement</v>
      </c>
      <c r="C183" s="93" t="str">
        <f t="shared" si="5"/>
        <v>Processing Sheet</v>
      </c>
    </row>
    <row r="184" spans="1:3" x14ac:dyDescent="0.25">
      <c r="A184" s="93" t="str">
        <f>IFERROR(VLOOKUP("*"&amp;Table32[[#This Row],[Business Partner]]&amp;"*", 'Directory Snapshot'!A:A, 1, FALSE), "")</f>
        <v>File Names</v>
      </c>
      <c r="B184" s="93" t="str">
        <f t="shared" si="4"/>
        <v>Statement</v>
      </c>
      <c r="C184" s="93" t="str">
        <f t="shared" si="5"/>
        <v>Processing Sheet</v>
      </c>
    </row>
    <row r="185" spans="1:3" x14ac:dyDescent="0.25">
      <c r="A185" s="93" t="str">
        <f>IFERROR(VLOOKUP("*"&amp;Table32[[#This Row],[Business Partner]]&amp;"*", 'Directory Snapshot'!A:A, 1, FALSE), "")</f>
        <v>File Names</v>
      </c>
      <c r="B185" s="93" t="str">
        <f t="shared" si="4"/>
        <v>Statement</v>
      </c>
      <c r="C185" s="93" t="str">
        <f t="shared" si="5"/>
        <v>Processing Sheet</v>
      </c>
    </row>
    <row r="186" spans="1:3" x14ac:dyDescent="0.25">
      <c r="A186" s="93" t="str">
        <f>IFERROR(VLOOKUP("*"&amp;Table32[[#This Row],[Business Partner]]&amp;"*", 'Directory Snapshot'!A:A, 1, FALSE), "")</f>
        <v>File Names</v>
      </c>
      <c r="B186" s="93" t="str">
        <f t="shared" si="4"/>
        <v>Statement</v>
      </c>
      <c r="C186" s="93" t="str">
        <f t="shared" si="5"/>
        <v>Processing Sheet</v>
      </c>
    </row>
    <row r="187" spans="1:3" x14ac:dyDescent="0.25">
      <c r="A187" s="93" t="str">
        <f>IFERROR(VLOOKUP("*"&amp;Table32[[#This Row],[Business Partner]]&amp;"*", 'Directory Snapshot'!A:A, 1, FALSE), "")</f>
        <v>File Names</v>
      </c>
      <c r="B187" s="93" t="str">
        <f t="shared" si="4"/>
        <v>Statement</v>
      </c>
      <c r="C187" s="93" t="str">
        <f t="shared" si="5"/>
        <v>Processing Sheet</v>
      </c>
    </row>
    <row r="188" spans="1:3" x14ac:dyDescent="0.25">
      <c r="A188" s="93" t="str">
        <f>IFERROR(VLOOKUP("*"&amp;Table32[[#This Row],[Business Partner]]&amp;"*", 'Directory Snapshot'!A:A, 1, FALSE), "")</f>
        <v>File Names</v>
      </c>
      <c r="B188" s="93" t="str">
        <f t="shared" si="4"/>
        <v>Statement</v>
      </c>
      <c r="C188" s="93" t="str">
        <f t="shared" si="5"/>
        <v>Processing Sheet</v>
      </c>
    </row>
    <row r="189" spans="1:3" x14ac:dyDescent="0.25">
      <c r="A189" s="93" t="str">
        <f>IFERROR(VLOOKUP("*"&amp;Table32[[#This Row],[Business Partner]]&amp;"*", 'Directory Snapshot'!A:A, 1, FALSE), "")</f>
        <v>File Names</v>
      </c>
      <c r="B189" s="93" t="str">
        <f t="shared" si="4"/>
        <v>Statement</v>
      </c>
      <c r="C189" s="93" t="str">
        <f t="shared" si="5"/>
        <v>Processing Sheet</v>
      </c>
    </row>
    <row r="190" spans="1:3" x14ac:dyDescent="0.25">
      <c r="A190" s="93" t="str">
        <f>IFERROR(VLOOKUP("*"&amp;Table32[[#This Row],[Business Partner]]&amp;"*", 'Directory Snapshot'!A:A, 1, FALSE), "")</f>
        <v>File Names</v>
      </c>
      <c r="B190" s="93" t="str">
        <f t="shared" si="4"/>
        <v>Statement</v>
      </c>
      <c r="C190" s="93" t="str">
        <f t="shared" si="5"/>
        <v>Processing Sheet</v>
      </c>
    </row>
    <row r="191" spans="1:3" x14ac:dyDescent="0.25">
      <c r="A191" s="93" t="str">
        <f>IFERROR(VLOOKUP("*"&amp;Table32[[#This Row],[Business Partner]]&amp;"*", 'Directory Snapshot'!A:A, 1, FALSE), "")</f>
        <v>File Names</v>
      </c>
      <c r="B191" s="93" t="str">
        <f t="shared" si="4"/>
        <v>Statement</v>
      </c>
      <c r="C191" s="93" t="str">
        <f t="shared" si="5"/>
        <v>Processing Sheet</v>
      </c>
    </row>
    <row r="192" spans="1:3" x14ac:dyDescent="0.25">
      <c r="A192" s="93" t="str">
        <f>IFERROR(VLOOKUP("*"&amp;Table32[[#This Row],[Business Partner]]&amp;"*", 'Directory Snapshot'!A:A, 1, FALSE), "")</f>
        <v/>
      </c>
      <c r="B192" s="93" t="str">
        <f t="shared" si="4"/>
        <v/>
      </c>
      <c r="C192" s="93" t="str">
        <f t="shared" si="5"/>
        <v/>
      </c>
    </row>
    <row r="193" spans="1:3" x14ac:dyDescent="0.25">
      <c r="A193" s="93" t="str">
        <f>IFERROR(VLOOKUP("*"&amp;Table32[[#This Row],[Business Partner]]&amp;"*", 'Directory Snapshot'!A:A, 1, FALSE), "")</f>
        <v/>
      </c>
      <c r="B193" s="93" t="str">
        <f t="shared" si="4"/>
        <v/>
      </c>
      <c r="C193" s="93" t="str">
        <f t="shared" si="5"/>
        <v/>
      </c>
    </row>
    <row r="194" spans="1:3" x14ac:dyDescent="0.25">
      <c r="A194" s="93" t="str">
        <f>IFERROR(VLOOKUP("*"&amp;Table32[[#This Row],[Business Partner]]&amp;"*", 'Directory Snapshot'!A:A, 1, FALSE), "")</f>
        <v/>
      </c>
      <c r="B194" s="93" t="str">
        <f t="shared" si="4"/>
        <v/>
      </c>
      <c r="C194" s="93" t="str">
        <f t="shared" si="5"/>
        <v/>
      </c>
    </row>
    <row r="195" spans="1:3" x14ac:dyDescent="0.25">
      <c r="A195" s="93" t="str">
        <f>IFERROR(VLOOKUP("*"&amp;Table32[[#This Row],[Business Partner]]&amp;"*", 'Directory Snapshot'!A:A, 1, FALSE), "")</f>
        <v/>
      </c>
      <c r="B195" s="93" t="str">
        <f t="shared" ref="B195:B214" si="6">IF(LEN(A195)=0, "", "Statement")</f>
        <v/>
      </c>
      <c r="C195" s="93" t="str">
        <f t="shared" ref="C195:C214" si="7">IF(LEN(A195)=0, "", "Processing Sheet")</f>
        <v/>
      </c>
    </row>
    <row r="196" spans="1:3" x14ac:dyDescent="0.25">
      <c r="A196" s="93" t="str">
        <f>IFERROR(VLOOKUP("*"&amp;Table32[[#This Row],[Business Partner]]&amp;"*", 'Directory Snapshot'!A:A, 1, FALSE), "")</f>
        <v/>
      </c>
      <c r="B196" s="93" t="str">
        <f t="shared" si="6"/>
        <v/>
      </c>
      <c r="C196" s="93" t="str">
        <f t="shared" si="7"/>
        <v/>
      </c>
    </row>
    <row r="197" spans="1:3" x14ac:dyDescent="0.25">
      <c r="A197" s="93" t="str">
        <f>IFERROR(VLOOKUP("*"&amp;Table32[[#This Row],[Business Partner]]&amp;"*", 'Directory Snapshot'!A:A, 1, FALSE), "")</f>
        <v/>
      </c>
      <c r="B197" s="93" t="str">
        <f t="shared" si="6"/>
        <v/>
      </c>
      <c r="C197" s="93" t="str">
        <f t="shared" si="7"/>
        <v/>
      </c>
    </row>
    <row r="198" spans="1:3" x14ac:dyDescent="0.25">
      <c r="A198" s="93" t="str">
        <f>IFERROR(VLOOKUP("*"&amp;Table32[[#This Row],[Business Partner]]&amp;"*", 'Directory Snapshot'!A:A, 1, FALSE), "")</f>
        <v/>
      </c>
      <c r="B198" s="93" t="str">
        <f t="shared" si="6"/>
        <v/>
      </c>
      <c r="C198" s="93" t="str">
        <f t="shared" si="7"/>
        <v/>
      </c>
    </row>
    <row r="199" spans="1:3" x14ac:dyDescent="0.25">
      <c r="A199" s="93" t="str">
        <f>IFERROR(VLOOKUP("*"&amp;Table32[[#This Row],[Business Partner]]&amp;"*", 'Directory Snapshot'!A:A, 1, FALSE), "")</f>
        <v/>
      </c>
      <c r="B199" s="93" t="str">
        <f t="shared" si="6"/>
        <v/>
      </c>
      <c r="C199" s="93" t="str">
        <f t="shared" si="7"/>
        <v/>
      </c>
    </row>
    <row r="200" spans="1:3" x14ac:dyDescent="0.25">
      <c r="A200" s="93" t="str">
        <f>IFERROR(VLOOKUP("*"&amp;Table32[[#This Row],[Business Partner]]&amp;"*", 'Directory Snapshot'!A:A, 1, FALSE), "")</f>
        <v/>
      </c>
      <c r="B200" s="93" t="str">
        <f t="shared" si="6"/>
        <v/>
      </c>
      <c r="C200" s="93" t="str">
        <f t="shared" si="7"/>
        <v/>
      </c>
    </row>
    <row r="201" spans="1:3" x14ac:dyDescent="0.25">
      <c r="A201" s="93" t="str">
        <f>IFERROR(VLOOKUP("*"&amp;Table32[[#This Row],[Business Partner]]&amp;"*", 'Directory Snapshot'!A:A, 1, FALSE), "")</f>
        <v/>
      </c>
      <c r="B201" s="93" t="str">
        <f t="shared" si="6"/>
        <v/>
      </c>
      <c r="C201" s="93" t="str">
        <f t="shared" si="7"/>
        <v/>
      </c>
    </row>
    <row r="202" spans="1:3" x14ac:dyDescent="0.25">
      <c r="A202" s="93" t="str">
        <f>IFERROR(VLOOKUP("*"&amp;Table32[[#This Row],[Business Partner]]&amp;"*", 'Directory Snapshot'!A:A, 1, FALSE), "")</f>
        <v/>
      </c>
      <c r="B202" s="93" t="str">
        <f t="shared" si="6"/>
        <v/>
      </c>
      <c r="C202" s="93" t="str">
        <f t="shared" si="7"/>
        <v/>
      </c>
    </row>
    <row r="203" spans="1:3" x14ac:dyDescent="0.25">
      <c r="A203" s="93" t="str">
        <f>IFERROR(VLOOKUP("*"&amp;Table32[[#This Row],[Business Partner]]&amp;"*", 'Directory Snapshot'!A:A, 1, FALSE), "")</f>
        <v/>
      </c>
      <c r="B203" s="93" t="str">
        <f t="shared" si="6"/>
        <v/>
      </c>
      <c r="C203" s="93" t="str">
        <f t="shared" si="7"/>
        <v/>
      </c>
    </row>
    <row r="204" spans="1:3" x14ac:dyDescent="0.25">
      <c r="A204" s="93" t="str">
        <f>IFERROR(VLOOKUP("*"&amp;Table32[[#This Row],[Business Partner]]&amp;"*", 'Directory Snapshot'!A:A, 1, FALSE), "")</f>
        <v/>
      </c>
      <c r="B204" s="93" t="str">
        <f t="shared" si="6"/>
        <v/>
      </c>
      <c r="C204" s="93" t="str">
        <f t="shared" si="7"/>
        <v/>
      </c>
    </row>
    <row r="205" spans="1:3" x14ac:dyDescent="0.25">
      <c r="A205" s="93" t="str">
        <f>IFERROR(VLOOKUP("*"&amp;Table32[[#This Row],[Business Partner]]&amp;"*", 'Directory Snapshot'!A:A, 1, FALSE), "")</f>
        <v/>
      </c>
      <c r="B205" s="93" t="str">
        <f t="shared" si="6"/>
        <v/>
      </c>
      <c r="C205" s="93" t="str">
        <f t="shared" si="7"/>
        <v/>
      </c>
    </row>
    <row r="206" spans="1:3" x14ac:dyDescent="0.25">
      <c r="A206" s="93" t="str">
        <f>IFERROR(VLOOKUP("*"&amp;Table32[[#This Row],[Business Partner]]&amp;"*", 'Directory Snapshot'!A:A, 1, FALSE), "")</f>
        <v/>
      </c>
      <c r="B206" s="93" t="str">
        <f t="shared" si="6"/>
        <v/>
      </c>
      <c r="C206" s="93" t="str">
        <f t="shared" si="7"/>
        <v/>
      </c>
    </row>
    <row r="207" spans="1:3" x14ac:dyDescent="0.25">
      <c r="A207" s="93" t="str">
        <f>IFERROR(VLOOKUP("*"&amp;Table32[[#This Row],[Business Partner]]&amp;"*", 'Directory Snapshot'!A:A, 1, FALSE), "")</f>
        <v/>
      </c>
      <c r="B207" s="93" t="str">
        <f t="shared" si="6"/>
        <v/>
      </c>
      <c r="C207" s="93" t="str">
        <f t="shared" si="7"/>
        <v/>
      </c>
    </row>
    <row r="208" spans="1:3" x14ac:dyDescent="0.25">
      <c r="A208" s="93" t="str">
        <f>IFERROR(VLOOKUP("*"&amp;Table32[[#This Row],[Business Partner]]&amp;"*", 'Directory Snapshot'!A:A, 1, FALSE), "")</f>
        <v/>
      </c>
      <c r="B208" s="93" t="str">
        <f t="shared" si="6"/>
        <v/>
      </c>
      <c r="C208" s="93" t="str">
        <f t="shared" si="7"/>
        <v/>
      </c>
    </row>
    <row r="209" spans="1:3" x14ac:dyDescent="0.25">
      <c r="A209" s="93" t="str">
        <f>IFERROR(VLOOKUP("*"&amp;Table32[[#This Row],[Business Partner]]&amp;"*", 'Directory Snapshot'!A:A, 1, FALSE), "")</f>
        <v/>
      </c>
      <c r="B209" s="93" t="str">
        <f t="shared" si="6"/>
        <v/>
      </c>
      <c r="C209" s="93" t="str">
        <f t="shared" si="7"/>
        <v/>
      </c>
    </row>
    <row r="210" spans="1:3" x14ac:dyDescent="0.25">
      <c r="A210" s="93" t="str">
        <f>IFERROR(VLOOKUP("*"&amp;Table32[[#This Row],[Business Partner]]&amp;"*", 'Directory Snapshot'!A:A, 1, FALSE), "")</f>
        <v/>
      </c>
      <c r="B210" s="93" t="str">
        <f t="shared" si="6"/>
        <v/>
      </c>
      <c r="C210" s="93" t="str">
        <f t="shared" si="7"/>
        <v/>
      </c>
    </row>
    <row r="211" spans="1:3" x14ac:dyDescent="0.25">
      <c r="A211" s="93" t="str">
        <f>IFERROR(VLOOKUP("*"&amp;Table32[[#This Row],[Business Partner]]&amp;"*", 'Directory Snapshot'!A:A, 1, FALSE), "")</f>
        <v/>
      </c>
      <c r="B211" s="93" t="str">
        <f t="shared" si="6"/>
        <v/>
      </c>
      <c r="C211" s="93" t="str">
        <f t="shared" si="7"/>
        <v/>
      </c>
    </row>
    <row r="212" spans="1:3" x14ac:dyDescent="0.25">
      <c r="A212" s="93" t="str">
        <f>IFERROR(VLOOKUP("*"&amp;Table32[[#This Row],[Business Partner]]&amp;"*", 'Directory Snapshot'!A:A, 1, FALSE), "")</f>
        <v/>
      </c>
      <c r="B212" s="93" t="str">
        <f t="shared" si="6"/>
        <v/>
      </c>
      <c r="C212" s="93" t="str">
        <f t="shared" si="7"/>
        <v/>
      </c>
    </row>
    <row r="213" spans="1:3" x14ac:dyDescent="0.25">
      <c r="A213" s="93" t="str">
        <f>IFERROR(VLOOKUP("*"&amp;Table32[[#This Row],[Business Partner]]&amp;"*", 'Directory Snapshot'!A:A, 1, FALSE), "")</f>
        <v/>
      </c>
      <c r="B213" s="93" t="str">
        <f t="shared" si="6"/>
        <v/>
      </c>
      <c r="C213" s="93" t="str">
        <f t="shared" si="7"/>
        <v/>
      </c>
    </row>
    <row r="214" spans="1:3" x14ac:dyDescent="0.25">
      <c r="A214" s="93" t="str">
        <f>IFERROR(VLOOKUP("*"&amp;Table32[[#This Row],[Business Partner]]&amp;"*", 'Directory Snapshot'!A:A, 1, FALSE), "")</f>
        <v/>
      </c>
      <c r="B214" s="93" t="str">
        <f t="shared" si="6"/>
        <v/>
      </c>
      <c r="C214" s="93" t="str">
        <f t="shared" si="7"/>
        <v/>
      </c>
    </row>
    <row r="215" spans="1:3" x14ac:dyDescent="0.25">
      <c r="A215" s="93" t="str">
        <f>IFERROR(VLOOKUP("*"&amp;Table32[[#This Row],[Business Partner]]&amp;"*", 'Directory Snapshot'!A:A, 1, FALSE), "")</f>
        <v/>
      </c>
      <c r="B215" s="93" t="str">
        <f t="shared" ref="B215:B227" si="8">IF(LEN(A215)=0, "", "Statement")</f>
        <v/>
      </c>
      <c r="C215" s="93" t="str">
        <f t="shared" ref="C215:C227" si="9">IF(LEN(A215)=0, "", "Processing Sheet")</f>
        <v/>
      </c>
    </row>
    <row r="216" spans="1:3" x14ac:dyDescent="0.25">
      <c r="A216" s="93" t="str">
        <f>IFERROR(VLOOKUP("*"&amp;Table32[[#This Row],[Business Partner]]&amp;"*", 'Directory Snapshot'!A:A, 1, FALSE), "")</f>
        <v/>
      </c>
      <c r="B216" s="93" t="str">
        <f t="shared" si="8"/>
        <v/>
      </c>
      <c r="C216" s="93" t="str">
        <f t="shared" si="9"/>
        <v/>
      </c>
    </row>
    <row r="217" spans="1:3" x14ac:dyDescent="0.25">
      <c r="A217" s="93" t="str">
        <f>IFERROR(VLOOKUP("*"&amp;Table32[[#This Row],[Business Partner]]&amp;"*", 'Directory Snapshot'!A:A, 1, FALSE), "")</f>
        <v/>
      </c>
      <c r="B217" s="93" t="str">
        <f t="shared" si="8"/>
        <v/>
      </c>
      <c r="C217" s="93" t="str">
        <f t="shared" si="9"/>
        <v/>
      </c>
    </row>
    <row r="218" spans="1:3" x14ac:dyDescent="0.25">
      <c r="A218" s="93" t="str">
        <f>IFERROR(VLOOKUP("*"&amp;Table32[[#This Row],[Business Partner]]&amp;"*", 'Directory Snapshot'!A:A, 1, FALSE), "")</f>
        <v/>
      </c>
      <c r="B218" s="93" t="str">
        <f t="shared" si="8"/>
        <v/>
      </c>
      <c r="C218" s="93" t="str">
        <f t="shared" si="9"/>
        <v/>
      </c>
    </row>
    <row r="219" spans="1:3" x14ac:dyDescent="0.25">
      <c r="A219" s="93" t="str">
        <f>IFERROR(VLOOKUP("*"&amp;Table32[[#This Row],[Business Partner]]&amp;"*", 'Directory Snapshot'!A:A, 1, FALSE), "")</f>
        <v/>
      </c>
      <c r="B219" s="93" t="str">
        <f t="shared" si="8"/>
        <v/>
      </c>
      <c r="C219" s="93" t="str">
        <f t="shared" si="9"/>
        <v/>
      </c>
    </row>
    <row r="220" spans="1:3" x14ac:dyDescent="0.25">
      <c r="A220" s="93" t="str">
        <f>IFERROR(VLOOKUP("*"&amp;Table32[[#This Row],[Business Partner]]&amp;"*", 'Directory Snapshot'!A:A, 1, FALSE), "")</f>
        <v/>
      </c>
      <c r="B220" s="93" t="str">
        <f t="shared" si="8"/>
        <v/>
      </c>
      <c r="C220" s="93" t="str">
        <f t="shared" si="9"/>
        <v/>
      </c>
    </row>
    <row r="221" spans="1:3" x14ac:dyDescent="0.25">
      <c r="A221" s="93" t="str">
        <f>IFERROR(VLOOKUP("*"&amp;Table32[[#This Row],[Business Partner]]&amp;"*", 'Directory Snapshot'!A:A, 1, FALSE), "")</f>
        <v/>
      </c>
      <c r="B221" s="93" t="str">
        <f t="shared" si="8"/>
        <v/>
      </c>
      <c r="C221" s="93" t="str">
        <f t="shared" si="9"/>
        <v/>
      </c>
    </row>
    <row r="222" spans="1:3" x14ac:dyDescent="0.25">
      <c r="A222" s="93" t="str">
        <f>IFERROR(VLOOKUP("*"&amp;Table32[[#This Row],[Business Partner]]&amp;"*", 'Directory Snapshot'!A:A, 1, FALSE), "")</f>
        <v/>
      </c>
      <c r="B222" s="93" t="str">
        <f t="shared" si="8"/>
        <v/>
      </c>
      <c r="C222" s="93" t="str">
        <f t="shared" si="9"/>
        <v/>
      </c>
    </row>
    <row r="223" spans="1:3" x14ac:dyDescent="0.25">
      <c r="A223" s="93" t="str">
        <f>IFERROR(VLOOKUP("*"&amp;Table32[[#This Row],[Business Partner]]&amp;"*", 'Directory Snapshot'!A:A, 1, FALSE), "")</f>
        <v/>
      </c>
      <c r="B223" s="93" t="str">
        <f t="shared" si="8"/>
        <v/>
      </c>
      <c r="C223" s="93" t="str">
        <f t="shared" si="9"/>
        <v/>
      </c>
    </row>
    <row r="224" spans="1:3" x14ac:dyDescent="0.25">
      <c r="A224" s="93" t="str">
        <f>IFERROR(VLOOKUP("*"&amp;Table32[[#This Row],[Business Partner]]&amp;"*", 'Directory Snapshot'!A:A, 1, FALSE), "")</f>
        <v/>
      </c>
      <c r="B224" s="93" t="str">
        <f t="shared" si="8"/>
        <v/>
      </c>
      <c r="C224" s="93" t="str">
        <f t="shared" si="9"/>
        <v/>
      </c>
    </row>
    <row r="225" spans="1:3" x14ac:dyDescent="0.25">
      <c r="A225" s="93" t="str">
        <f>IFERROR(VLOOKUP("*"&amp;Table32[[#This Row],[Business Partner]]&amp;"*", 'Directory Snapshot'!A:A, 1, FALSE), "")</f>
        <v/>
      </c>
      <c r="B225" s="93" t="str">
        <f t="shared" si="8"/>
        <v/>
      </c>
      <c r="C225" s="93" t="str">
        <f t="shared" si="9"/>
        <v/>
      </c>
    </row>
    <row r="226" spans="1:3" x14ac:dyDescent="0.25">
      <c r="A226" s="93" t="str">
        <f>IFERROR(VLOOKUP("*"&amp;Table32[[#This Row],[Business Partner]]&amp;"*", 'Directory Snapshot'!A:A, 1, FALSE), "")</f>
        <v/>
      </c>
      <c r="B226" s="93" t="str">
        <f t="shared" si="8"/>
        <v/>
      </c>
      <c r="C226" s="93" t="str">
        <f t="shared" si="9"/>
        <v/>
      </c>
    </row>
    <row r="227" spans="1:3" x14ac:dyDescent="0.25">
      <c r="A227" s="93" t="str">
        <f>IFERROR(VLOOKUP("*"&amp;Table32[[#This Row],[Business Partner]]&amp;"*", 'Directory Snapshot'!A:A, 1, FALSE), "")</f>
        <v/>
      </c>
      <c r="B227" s="93" t="str">
        <f t="shared" si="8"/>
        <v/>
      </c>
      <c r="C227" s="93" t="str">
        <f t="shared" si="9"/>
        <v/>
      </c>
    </row>
    <row r="228" spans="1:3" x14ac:dyDescent="0.25">
      <c r="A228" s="93" t="str">
        <f>IFERROR(VLOOKUP("*"&amp;Table32[[#This Row],[Business Partner]]&amp;"*", 'Directory Snapshot'!A:A, 1, FALSE), "")</f>
        <v/>
      </c>
      <c r="B228" s="93" t="str">
        <f t="shared" ref="B228:B247" si="10">IF(LEN(A228)=0, "", "Statement")</f>
        <v/>
      </c>
      <c r="C228" s="93" t="str">
        <f t="shared" ref="C228:C247" si="11">IF(LEN(A228)=0, "", "Processing Sheet")</f>
        <v/>
      </c>
    </row>
    <row r="229" spans="1:3" x14ac:dyDescent="0.25">
      <c r="A229" s="93" t="str">
        <f>IFERROR(VLOOKUP("*"&amp;Table32[[#This Row],[Business Partner]]&amp;"*", 'Directory Snapshot'!A:A, 1, FALSE), "")</f>
        <v/>
      </c>
      <c r="B229" s="93" t="str">
        <f t="shared" si="10"/>
        <v/>
      </c>
      <c r="C229" s="93" t="str">
        <f t="shared" si="11"/>
        <v/>
      </c>
    </row>
    <row r="230" spans="1:3" x14ac:dyDescent="0.25">
      <c r="A230" s="93" t="str">
        <f>IFERROR(VLOOKUP("*"&amp;Table32[[#This Row],[Business Partner]]&amp;"*", 'Directory Snapshot'!A:A, 1, FALSE), "")</f>
        <v/>
      </c>
      <c r="B230" s="93" t="str">
        <f t="shared" si="10"/>
        <v/>
      </c>
      <c r="C230" s="93" t="str">
        <f t="shared" si="11"/>
        <v/>
      </c>
    </row>
    <row r="231" spans="1:3" x14ac:dyDescent="0.25">
      <c r="A231" s="93" t="str">
        <f>IFERROR(VLOOKUP("*"&amp;Table32[[#This Row],[Business Partner]]&amp;"*", 'Directory Snapshot'!A:A, 1, FALSE), "")</f>
        <v/>
      </c>
      <c r="B231" s="93" t="str">
        <f t="shared" si="10"/>
        <v/>
      </c>
      <c r="C231" s="93" t="str">
        <f t="shared" si="11"/>
        <v/>
      </c>
    </row>
    <row r="232" spans="1:3" x14ac:dyDescent="0.25">
      <c r="A232" s="93" t="str">
        <f>IFERROR(VLOOKUP("*"&amp;Table32[[#This Row],[Business Partner]]&amp;"*", 'Directory Snapshot'!A:A, 1, FALSE), "")</f>
        <v/>
      </c>
      <c r="B232" s="93" t="str">
        <f t="shared" si="10"/>
        <v/>
      </c>
      <c r="C232" s="93" t="str">
        <f t="shared" si="11"/>
        <v/>
      </c>
    </row>
    <row r="233" spans="1:3" x14ac:dyDescent="0.25">
      <c r="A233" s="93" t="str">
        <f>IFERROR(VLOOKUP("*"&amp;Table32[[#This Row],[Business Partner]]&amp;"*", 'Directory Snapshot'!A:A, 1, FALSE), "")</f>
        <v/>
      </c>
      <c r="B233" s="93" t="str">
        <f t="shared" si="10"/>
        <v/>
      </c>
      <c r="C233" s="93" t="str">
        <f t="shared" si="11"/>
        <v/>
      </c>
    </row>
    <row r="234" spans="1:3" x14ac:dyDescent="0.25">
      <c r="A234" s="93" t="str">
        <f>IFERROR(VLOOKUP("*"&amp;Table32[[#This Row],[Business Partner]]&amp;"*", 'Directory Snapshot'!A:A, 1, FALSE), "")</f>
        <v/>
      </c>
      <c r="B234" s="93" t="str">
        <f t="shared" si="10"/>
        <v/>
      </c>
      <c r="C234" s="93" t="str">
        <f t="shared" si="11"/>
        <v/>
      </c>
    </row>
    <row r="235" spans="1:3" x14ac:dyDescent="0.25">
      <c r="A235" s="93" t="str">
        <f>IFERROR(VLOOKUP("*"&amp;Table32[[#This Row],[Business Partner]]&amp;"*", 'Directory Snapshot'!A:A, 1, FALSE), "")</f>
        <v/>
      </c>
      <c r="B235" s="93" t="str">
        <f t="shared" si="10"/>
        <v/>
      </c>
      <c r="C235" s="93" t="str">
        <f t="shared" si="11"/>
        <v/>
      </c>
    </row>
    <row r="236" spans="1:3" x14ac:dyDescent="0.25">
      <c r="A236" s="93" t="str">
        <f>IFERROR(VLOOKUP("*"&amp;Table32[[#This Row],[Business Partner]]&amp;"*", 'Directory Snapshot'!A:A, 1, FALSE), "")</f>
        <v/>
      </c>
      <c r="B236" s="93" t="str">
        <f t="shared" si="10"/>
        <v/>
      </c>
      <c r="C236" s="93" t="str">
        <f t="shared" si="11"/>
        <v/>
      </c>
    </row>
    <row r="237" spans="1:3" x14ac:dyDescent="0.25">
      <c r="A237" s="93" t="str">
        <f>IFERROR(VLOOKUP("*"&amp;Table32[[#This Row],[Business Partner]]&amp;"*", 'Directory Snapshot'!A:A, 1, FALSE), "")</f>
        <v/>
      </c>
      <c r="B237" s="93" t="str">
        <f t="shared" si="10"/>
        <v/>
      </c>
      <c r="C237" s="93" t="str">
        <f t="shared" si="11"/>
        <v/>
      </c>
    </row>
    <row r="238" spans="1:3" x14ac:dyDescent="0.25">
      <c r="A238" s="93" t="str">
        <f>IFERROR(VLOOKUP("*"&amp;Table32[[#This Row],[Business Partner]]&amp;"*", 'Directory Snapshot'!A:A, 1, FALSE), "")</f>
        <v/>
      </c>
      <c r="B238" s="93" t="str">
        <f t="shared" si="10"/>
        <v/>
      </c>
      <c r="C238" s="93" t="str">
        <f t="shared" si="11"/>
        <v/>
      </c>
    </row>
    <row r="239" spans="1:3" x14ac:dyDescent="0.25">
      <c r="A239" s="93" t="str">
        <f>IFERROR(VLOOKUP("*"&amp;Table32[[#This Row],[Business Partner]]&amp;"*", 'Directory Snapshot'!A:A, 1, FALSE), "")</f>
        <v/>
      </c>
      <c r="B239" s="93" t="str">
        <f t="shared" si="10"/>
        <v/>
      </c>
      <c r="C239" s="93" t="str">
        <f t="shared" si="11"/>
        <v/>
      </c>
    </row>
    <row r="240" spans="1:3" x14ac:dyDescent="0.25">
      <c r="A240" s="93" t="str">
        <f>IFERROR(VLOOKUP("*"&amp;Table32[[#This Row],[Business Partner]]&amp;"*", 'Directory Snapshot'!A:A, 1, FALSE), "")</f>
        <v/>
      </c>
      <c r="B240" s="93" t="str">
        <f t="shared" si="10"/>
        <v/>
      </c>
      <c r="C240" s="93" t="str">
        <f t="shared" si="11"/>
        <v/>
      </c>
    </row>
    <row r="241" spans="1:3" x14ac:dyDescent="0.25">
      <c r="A241" s="93" t="str">
        <f>IFERROR(VLOOKUP("*"&amp;Table32[[#This Row],[Business Partner]]&amp;"*", 'Directory Snapshot'!A:A, 1, FALSE), "")</f>
        <v/>
      </c>
      <c r="B241" s="93" t="str">
        <f t="shared" si="10"/>
        <v/>
      </c>
      <c r="C241" s="93" t="str">
        <f t="shared" si="11"/>
        <v/>
      </c>
    </row>
    <row r="242" spans="1:3" x14ac:dyDescent="0.25">
      <c r="A242" s="93" t="str">
        <f>IFERROR(VLOOKUP("*"&amp;Table32[[#This Row],[Business Partner]]&amp;"*", 'Directory Snapshot'!A:A, 1, FALSE), "")</f>
        <v/>
      </c>
      <c r="B242" s="93" t="str">
        <f t="shared" si="10"/>
        <v/>
      </c>
      <c r="C242" s="93" t="str">
        <f t="shared" si="11"/>
        <v/>
      </c>
    </row>
    <row r="243" spans="1:3" x14ac:dyDescent="0.25">
      <c r="A243" s="93"/>
      <c r="B243" s="93" t="str">
        <f t="shared" si="10"/>
        <v/>
      </c>
      <c r="C243" s="93" t="str">
        <f t="shared" si="11"/>
        <v/>
      </c>
    </row>
    <row r="244" spans="1:3" x14ac:dyDescent="0.25">
      <c r="A244" s="93"/>
      <c r="B244" s="93" t="str">
        <f t="shared" si="10"/>
        <v/>
      </c>
      <c r="C244" s="93" t="str">
        <f t="shared" si="11"/>
        <v/>
      </c>
    </row>
    <row r="245" spans="1:3" x14ac:dyDescent="0.25">
      <c r="A245" s="93"/>
      <c r="B245" s="93" t="str">
        <f t="shared" si="10"/>
        <v/>
      </c>
      <c r="C245" s="93" t="str">
        <f t="shared" si="11"/>
        <v/>
      </c>
    </row>
    <row r="246" spans="1:3" x14ac:dyDescent="0.25">
      <c r="A246" s="93"/>
      <c r="B246" s="93" t="str">
        <f t="shared" si="10"/>
        <v/>
      </c>
      <c r="C246" s="93" t="str">
        <f t="shared" si="11"/>
        <v/>
      </c>
    </row>
    <row r="247" spans="1:3" x14ac:dyDescent="0.25">
      <c r="A247" s="93"/>
      <c r="B247" s="93" t="str">
        <f t="shared" si="10"/>
        <v/>
      </c>
      <c r="C247" s="93" t="str">
        <f t="shared" si="11"/>
        <v/>
      </c>
    </row>
    <row r="248" spans="1:3" x14ac:dyDescent="0.25">
      <c r="A248" s="93"/>
    </row>
    <row r="249" spans="1:3" x14ac:dyDescent="0.25">
      <c r="A249" s="93"/>
    </row>
    <row r="250" spans="1:3" x14ac:dyDescent="0.25">
      <c r="A250" s="93"/>
    </row>
    <row r="251" spans="1:3" x14ac:dyDescent="0.25">
      <c r="A251" s="93"/>
    </row>
    <row r="252" spans="1:3" x14ac:dyDescent="0.25">
      <c r="A252" s="93"/>
    </row>
    <row r="253" spans="1:3" x14ac:dyDescent="0.25">
      <c r="A253" s="93"/>
    </row>
    <row r="254" spans="1:3" x14ac:dyDescent="0.25">
      <c r="A254" s="93"/>
    </row>
    <row r="255" spans="1:3" x14ac:dyDescent="0.25">
      <c r="A255" s="93"/>
    </row>
    <row r="256" spans="1:3" x14ac:dyDescent="0.25">
      <c r="A256" s="93"/>
    </row>
    <row r="257" spans="1:1" x14ac:dyDescent="0.25">
      <c r="A257" s="93"/>
    </row>
    <row r="258" spans="1:1" x14ac:dyDescent="0.25">
      <c r="A258" s="93"/>
    </row>
    <row r="259" spans="1:1" x14ac:dyDescent="0.25">
      <c r="A259" s="93"/>
    </row>
    <row r="260" spans="1:1" x14ac:dyDescent="0.25">
      <c r="A260" s="93"/>
    </row>
    <row r="261" spans="1:1" x14ac:dyDescent="0.25">
      <c r="A261" s="93"/>
    </row>
    <row r="262" spans="1:1" x14ac:dyDescent="0.25">
      <c r="A262" s="93"/>
    </row>
    <row r="263" spans="1:1" x14ac:dyDescent="0.25">
      <c r="A263" s="93"/>
    </row>
    <row r="264" spans="1:1" x14ac:dyDescent="0.25">
      <c r="A264" s="93"/>
    </row>
    <row r="265" spans="1:1" x14ac:dyDescent="0.25">
      <c r="A265" s="93"/>
    </row>
    <row r="266" spans="1:1" x14ac:dyDescent="0.25">
      <c r="A266" s="93"/>
    </row>
    <row r="267" spans="1:1" x14ac:dyDescent="0.25">
      <c r="A267" s="93"/>
    </row>
    <row r="268" spans="1:1" x14ac:dyDescent="0.25">
      <c r="A268" s="93"/>
    </row>
    <row r="269" spans="1:1" x14ac:dyDescent="0.25">
      <c r="A269" s="93"/>
    </row>
    <row r="270" spans="1:1" x14ac:dyDescent="0.25">
      <c r="A270" s="93"/>
    </row>
    <row r="271" spans="1:1" x14ac:dyDescent="0.25">
      <c r="A271" s="93"/>
    </row>
    <row r="272" spans="1:1" x14ac:dyDescent="0.25">
      <c r="A272" s="93"/>
    </row>
    <row r="273" spans="1:1" x14ac:dyDescent="0.25">
      <c r="A273" s="93"/>
    </row>
    <row r="274" spans="1:1" x14ac:dyDescent="0.25">
      <c r="A274" s="93"/>
    </row>
    <row r="275" spans="1:1" x14ac:dyDescent="0.25">
      <c r="A275" s="93"/>
    </row>
    <row r="276" spans="1:1" x14ac:dyDescent="0.25">
      <c r="A276" s="93"/>
    </row>
    <row r="277" spans="1:1" x14ac:dyDescent="0.25">
      <c r="A277" s="93"/>
    </row>
    <row r="278" spans="1:1" x14ac:dyDescent="0.25">
      <c r="A278" s="93"/>
    </row>
    <row r="279" spans="1:1" x14ac:dyDescent="0.25">
      <c r="A279" s="93"/>
    </row>
    <row r="280" spans="1:1" x14ac:dyDescent="0.25">
      <c r="A280" s="93"/>
    </row>
    <row r="281" spans="1:1" x14ac:dyDescent="0.25">
      <c r="A281" s="93"/>
    </row>
    <row r="282" spans="1:1" x14ac:dyDescent="0.25">
      <c r="A282" s="93"/>
    </row>
    <row r="283" spans="1:1" x14ac:dyDescent="0.25">
      <c r="A283" s="93"/>
    </row>
    <row r="284" spans="1:1" x14ac:dyDescent="0.25">
      <c r="A284" s="93"/>
    </row>
    <row r="285" spans="1:1" x14ac:dyDescent="0.25">
      <c r="A285" s="93"/>
    </row>
    <row r="286" spans="1:1" x14ac:dyDescent="0.25">
      <c r="A286" s="93"/>
    </row>
    <row r="287" spans="1:1" x14ac:dyDescent="0.25">
      <c r="A287" s="93"/>
    </row>
    <row r="288" spans="1:1" x14ac:dyDescent="0.25">
      <c r="A288" s="93"/>
    </row>
    <row r="289" spans="1:1" x14ac:dyDescent="0.25">
      <c r="A289" s="93"/>
    </row>
    <row r="290" spans="1:1" x14ac:dyDescent="0.25">
      <c r="A290" s="93"/>
    </row>
    <row r="291" spans="1:1" x14ac:dyDescent="0.25">
      <c r="A291" s="93"/>
    </row>
    <row r="292" spans="1:1" x14ac:dyDescent="0.25">
      <c r="A292" s="93"/>
    </row>
    <row r="293" spans="1:1" x14ac:dyDescent="0.25">
      <c r="A293" s="93"/>
    </row>
    <row r="294" spans="1:1" x14ac:dyDescent="0.25">
      <c r="A294" s="93"/>
    </row>
    <row r="295" spans="1:1" x14ac:dyDescent="0.25">
      <c r="A295" s="93"/>
    </row>
    <row r="296" spans="1:1" x14ac:dyDescent="0.25">
      <c r="A296" s="93"/>
    </row>
    <row r="297" spans="1:1" x14ac:dyDescent="0.25">
      <c r="A297" s="93"/>
    </row>
    <row r="298" spans="1:1" x14ac:dyDescent="0.25">
      <c r="A298" s="93"/>
    </row>
    <row r="299" spans="1:1" x14ac:dyDescent="0.25">
      <c r="A299" s="93"/>
    </row>
    <row r="300" spans="1:1" x14ac:dyDescent="0.25">
      <c r="A300" s="93"/>
    </row>
    <row r="301" spans="1:1" x14ac:dyDescent="0.25">
      <c r="A301" s="93"/>
    </row>
    <row r="302" spans="1:1" x14ac:dyDescent="0.25">
      <c r="A302" s="93"/>
    </row>
    <row r="303" spans="1:1" x14ac:dyDescent="0.25">
      <c r="A303" s="93"/>
    </row>
    <row r="304" spans="1:1" x14ac:dyDescent="0.25">
      <c r="A304" s="93"/>
    </row>
    <row r="305" spans="1:1" x14ac:dyDescent="0.25">
      <c r="A305" s="93"/>
    </row>
    <row r="306" spans="1:1" x14ac:dyDescent="0.25">
      <c r="A306" s="93"/>
    </row>
    <row r="307" spans="1:1" x14ac:dyDescent="0.25">
      <c r="A307" s="93"/>
    </row>
    <row r="308" spans="1:1" x14ac:dyDescent="0.25">
      <c r="A308" s="93"/>
    </row>
    <row r="309" spans="1:1" x14ac:dyDescent="0.25">
      <c r="A309" s="93"/>
    </row>
    <row r="310" spans="1:1" x14ac:dyDescent="0.25">
      <c r="A310" s="93"/>
    </row>
    <row r="311" spans="1:1" x14ac:dyDescent="0.25">
      <c r="A311" s="93"/>
    </row>
    <row r="312" spans="1:1" x14ac:dyDescent="0.25">
      <c r="A312" s="93"/>
    </row>
    <row r="313" spans="1:1" x14ac:dyDescent="0.25">
      <c r="A313" s="93"/>
    </row>
    <row r="314" spans="1:1" x14ac:dyDescent="0.25">
      <c r="A314" s="93"/>
    </row>
    <row r="315" spans="1:1" x14ac:dyDescent="0.25">
      <c r="A315" s="93"/>
    </row>
    <row r="316" spans="1:1" x14ac:dyDescent="0.25">
      <c r="A316" s="93"/>
    </row>
    <row r="317" spans="1:1" x14ac:dyDescent="0.25">
      <c r="A317" s="93"/>
    </row>
    <row r="318" spans="1:1" x14ac:dyDescent="0.25">
      <c r="A318" s="93"/>
    </row>
    <row r="319" spans="1:1" x14ac:dyDescent="0.25">
      <c r="A319" s="93"/>
    </row>
    <row r="320" spans="1:1" x14ac:dyDescent="0.25">
      <c r="A320" s="93"/>
    </row>
    <row r="321" spans="1:1" x14ac:dyDescent="0.25">
      <c r="A321" s="93"/>
    </row>
    <row r="322" spans="1:1" x14ac:dyDescent="0.25">
      <c r="A322" s="93"/>
    </row>
    <row r="323" spans="1:1" x14ac:dyDescent="0.25">
      <c r="A323" s="93"/>
    </row>
    <row r="324" spans="1:1" x14ac:dyDescent="0.25">
      <c r="A324" s="93"/>
    </row>
    <row r="325" spans="1:1" x14ac:dyDescent="0.25">
      <c r="A325" s="93"/>
    </row>
    <row r="326" spans="1:1" x14ac:dyDescent="0.25">
      <c r="A326" s="93"/>
    </row>
    <row r="327" spans="1:1" x14ac:dyDescent="0.25">
      <c r="A327" s="93"/>
    </row>
    <row r="328" spans="1:1" x14ac:dyDescent="0.25">
      <c r="A328" s="93"/>
    </row>
    <row r="329" spans="1:1" x14ac:dyDescent="0.25">
      <c r="A329" s="93"/>
    </row>
    <row r="330" spans="1:1" x14ac:dyDescent="0.25">
      <c r="A330" s="93"/>
    </row>
    <row r="331" spans="1:1" x14ac:dyDescent="0.25">
      <c r="A331" s="93"/>
    </row>
    <row r="332" spans="1:1" x14ac:dyDescent="0.25">
      <c r="A332" s="93"/>
    </row>
    <row r="333" spans="1:1" x14ac:dyDescent="0.25">
      <c r="A333" s="93"/>
    </row>
    <row r="334" spans="1:1" x14ac:dyDescent="0.25">
      <c r="A334" s="93"/>
    </row>
    <row r="335" spans="1:1" x14ac:dyDescent="0.25">
      <c r="A335" s="93"/>
    </row>
    <row r="336" spans="1:1" x14ac:dyDescent="0.25">
      <c r="A336" s="93"/>
    </row>
    <row r="337" spans="1:1" x14ac:dyDescent="0.25">
      <c r="A337" s="93"/>
    </row>
    <row r="338" spans="1:1" x14ac:dyDescent="0.25">
      <c r="A338" s="93"/>
    </row>
    <row r="339" spans="1:1" x14ac:dyDescent="0.25">
      <c r="A339" s="93"/>
    </row>
    <row r="340" spans="1:1" x14ac:dyDescent="0.25">
      <c r="A340" s="93"/>
    </row>
    <row r="341" spans="1:1" x14ac:dyDescent="0.25">
      <c r="A341" s="93"/>
    </row>
    <row r="342" spans="1:1" x14ac:dyDescent="0.25">
      <c r="A342" s="93"/>
    </row>
    <row r="343" spans="1:1" x14ac:dyDescent="0.25">
      <c r="A343" s="93"/>
    </row>
    <row r="344" spans="1:1" x14ac:dyDescent="0.25">
      <c r="A344" s="93"/>
    </row>
    <row r="345" spans="1:1" x14ac:dyDescent="0.25">
      <c r="A345" s="93"/>
    </row>
    <row r="346" spans="1:1" x14ac:dyDescent="0.25">
      <c r="A346" s="93"/>
    </row>
    <row r="347" spans="1:1" x14ac:dyDescent="0.25">
      <c r="A347" s="93"/>
    </row>
    <row r="348" spans="1:1" x14ac:dyDescent="0.25">
      <c r="A348" s="93"/>
    </row>
    <row r="349" spans="1:1" x14ac:dyDescent="0.25">
      <c r="A349" s="93"/>
    </row>
    <row r="350" spans="1:1" x14ac:dyDescent="0.25">
      <c r="A350" s="93"/>
    </row>
    <row r="351" spans="1:1" x14ac:dyDescent="0.25">
      <c r="A351" s="93"/>
    </row>
    <row r="352" spans="1:1" x14ac:dyDescent="0.25">
      <c r="A352" s="93"/>
    </row>
    <row r="353" spans="1:1" x14ac:dyDescent="0.25">
      <c r="A353" s="93"/>
    </row>
    <row r="354" spans="1:1" x14ac:dyDescent="0.25">
      <c r="A354" s="93"/>
    </row>
    <row r="355" spans="1:1" x14ac:dyDescent="0.25">
      <c r="A355" s="93"/>
    </row>
    <row r="356" spans="1:1" x14ac:dyDescent="0.25">
      <c r="A356" s="93"/>
    </row>
    <row r="357" spans="1:1" x14ac:dyDescent="0.25">
      <c r="A357" s="93"/>
    </row>
    <row r="358" spans="1:1" x14ac:dyDescent="0.25">
      <c r="A358" s="93"/>
    </row>
    <row r="359" spans="1:1" x14ac:dyDescent="0.25">
      <c r="A359" s="93"/>
    </row>
    <row r="360" spans="1:1" x14ac:dyDescent="0.25">
      <c r="A360" s="93"/>
    </row>
    <row r="361" spans="1:1" x14ac:dyDescent="0.25">
      <c r="A361" s="93"/>
    </row>
    <row r="362" spans="1:1" x14ac:dyDescent="0.25">
      <c r="A362" s="93"/>
    </row>
    <row r="363" spans="1:1" x14ac:dyDescent="0.25">
      <c r="A363" s="93"/>
    </row>
    <row r="364" spans="1:1" x14ac:dyDescent="0.25">
      <c r="A364" s="93"/>
    </row>
    <row r="365" spans="1:1" x14ac:dyDescent="0.25">
      <c r="A365" s="93"/>
    </row>
    <row r="366" spans="1:1" x14ac:dyDescent="0.25">
      <c r="A366" s="93"/>
    </row>
    <row r="367" spans="1:1" x14ac:dyDescent="0.25">
      <c r="A367" s="93"/>
    </row>
    <row r="368" spans="1:1" x14ac:dyDescent="0.25">
      <c r="A368" s="93"/>
    </row>
    <row r="369" spans="1:1" x14ac:dyDescent="0.25">
      <c r="A369" s="93"/>
    </row>
    <row r="370" spans="1:1" x14ac:dyDescent="0.25">
      <c r="A370" s="93"/>
    </row>
    <row r="371" spans="1:1" x14ac:dyDescent="0.25">
      <c r="A371" s="93"/>
    </row>
    <row r="372" spans="1:1" x14ac:dyDescent="0.25">
      <c r="A372" s="93"/>
    </row>
    <row r="373" spans="1:1" x14ac:dyDescent="0.25">
      <c r="A373" s="93"/>
    </row>
    <row r="374" spans="1:1" x14ac:dyDescent="0.25">
      <c r="A374" s="93"/>
    </row>
    <row r="375" spans="1:1" x14ac:dyDescent="0.25">
      <c r="A375" s="93"/>
    </row>
    <row r="376" spans="1:1" x14ac:dyDescent="0.25">
      <c r="A376" s="93"/>
    </row>
    <row r="377" spans="1:1" x14ac:dyDescent="0.25">
      <c r="A377" s="93"/>
    </row>
    <row r="378" spans="1:1" x14ac:dyDescent="0.25">
      <c r="A378" s="93"/>
    </row>
    <row r="379" spans="1:1" x14ac:dyDescent="0.25">
      <c r="A379" s="93"/>
    </row>
    <row r="380" spans="1:1" x14ac:dyDescent="0.25">
      <c r="A380" s="93"/>
    </row>
    <row r="381" spans="1:1" x14ac:dyDescent="0.25">
      <c r="A381" s="93"/>
    </row>
    <row r="382" spans="1:1" x14ac:dyDescent="0.25">
      <c r="A382" s="93"/>
    </row>
    <row r="383" spans="1:1" x14ac:dyDescent="0.25">
      <c r="A383" s="93"/>
    </row>
    <row r="384" spans="1:1" x14ac:dyDescent="0.25">
      <c r="A384" s="93"/>
    </row>
    <row r="385" spans="1:1" x14ac:dyDescent="0.25">
      <c r="A385" s="93"/>
    </row>
    <row r="386" spans="1:1" x14ac:dyDescent="0.25">
      <c r="A386" s="93"/>
    </row>
    <row r="387" spans="1:1" x14ac:dyDescent="0.25">
      <c r="A387" s="93"/>
    </row>
    <row r="388" spans="1:1" x14ac:dyDescent="0.25">
      <c r="A388" s="93"/>
    </row>
    <row r="389" spans="1:1" x14ac:dyDescent="0.25">
      <c r="A389" s="93"/>
    </row>
    <row r="390" spans="1:1" x14ac:dyDescent="0.25">
      <c r="A390" s="93"/>
    </row>
    <row r="391" spans="1:1" x14ac:dyDescent="0.25">
      <c r="A391" s="93"/>
    </row>
    <row r="392" spans="1:1" x14ac:dyDescent="0.25">
      <c r="A392" s="93"/>
    </row>
    <row r="393" spans="1:1" x14ac:dyDescent="0.25">
      <c r="A393" s="93"/>
    </row>
    <row r="394" spans="1:1" x14ac:dyDescent="0.25">
      <c r="A394" s="93"/>
    </row>
    <row r="395" spans="1:1" x14ac:dyDescent="0.25">
      <c r="A395" s="93"/>
    </row>
    <row r="396" spans="1:1" x14ac:dyDescent="0.25">
      <c r="A396" s="93"/>
    </row>
    <row r="397" spans="1:1" x14ac:dyDescent="0.25">
      <c r="A397" s="93"/>
    </row>
    <row r="398" spans="1:1" x14ac:dyDescent="0.25">
      <c r="A398" s="93"/>
    </row>
    <row r="399" spans="1:1" x14ac:dyDescent="0.25">
      <c r="A399" s="93"/>
    </row>
    <row r="400" spans="1:1" x14ac:dyDescent="0.25">
      <c r="A400" s="93"/>
    </row>
    <row r="401" spans="1:1" x14ac:dyDescent="0.25">
      <c r="A401" s="93"/>
    </row>
    <row r="402" spans="1:1" x14ac:dyDescent="0.25">
      <c r="A402" s="93"/>
    </row>
    <row r="403" spans="1:1" x14ac:dyDescent="0.25">
      <c r="A403" s="93"/>
    </row>
    <row r="404" spans="1:1" x14ac:dyDescent="0.25">
      <c r="A404" s="93"/>
    </row>
    <row r="405" spans="1:1" x14ac:dyDescent="0.25">
      <c r="A405" s="93"/>
    </row>
    <row r="406" spans="1:1" x14ac:dyDescent="0.25">
      <c r="A406" s="93"/>
    </row>
    <row r="407" spans="1:1" x14ac:dyDescent="0.25">
      <c r="A407" s="93"/>
    </row>
    <row r="408" spans="1:1" x14ac:dyDescent="0.25">
      <c r="A408" s="93"/>
    </row>
    <row r="409" spans="1:1" x14ac:dyDescent="0.25">
      <c r="A409" s="93"/>
    </row>
    <row r="410" spans="1:1" x14ac:dyDescent="0.25">
      <c r="A410" s="93"/>
    </row>
    <row r="411" spans="1:1" x14ac:dyDescent="0.25">
      <c r="A411" s="93"/>
    </row>
    <row r="412" spans="1:1" x14ac:dyDescent="0.25">
      <c r="A412" s="93"/>
    </row>
    <row r="413" spans="1:1" x14ac:dyDescent="0.25">
      <c r="A413" s="93"/>
    </row>
    <row r="414" spans="1:1" x14ac:dyDescent="0.25">
      <c r="A414" s="93"/>
    </row>
    <row r="415" spans="1:1" x14ac:dyDescent="0.25">
      <c r="A415" s="93"/>
    </row>
    <row r="416" spans="1:1" x14ac:dyDescent="0.25">
      <c r="A416" s="93"/>
    </row>
    <row r="417" spans="1:1" x14ac:dyDescent="0.25">
      <c r="A417" s="93"/>
    </row>
    <row r="418" spans="1:1" x14ac:dyDescent="0.25">
      <c r="A418" s="93"/>
    </row>
    <row r="419" spans="1:1" x14ac:dyDescent="0.25">
      <c r="A419" s="93"/>
    </row>
    <row r="420" spans="1:1" x14ac:dyDescent="0.25">
      <c r="A420" s="93"/>
    </row>
    <row r="421" spans="1:1" x14ac:dyDescent="0.25">
      <c r="A421" s="93"/>
    </row>
    <row r="422" spans="1:1" x14ac:dyDescent="0.25">
      <c r="A422" s="93"/>
    </row>
    <row r="423" spans="1:1" x14ac:dyDescent="0.25">
      <c r="A423" s="93"/>
    </row>
    <row r="424" spans="1:1" x14ac:dyDescent="0.25">
      <c r="A424" s="93"/>
    </row>
    <row r="425" spans="1:1" x14ac:dyDescent="0.25">
      <c r="A425" s="93"/>
    </row>
    <row r="426" spans="1:1" x14ac:dyDescent="0.25">
      <c r="A426" s="93"/>
    </row>
    <row r="427" spans="1:1" x14ac:dyDescent="0.25">
      <c r="A427" s="93"/>
    </row>
    <row r="428" spans="1:1" x14ac:dyDescent="0.25">
      <c r="A428" s="93"/>
    </row>
    <row r="429" spans="1:1" x14ac:dyDescent="0.25">
      <c r="A429" s="93"/>
    </row>
    <row r="430" spans="1:1" x14ac:dyDescent="0.25">
      <c r="A430" s="93"/>
    </row>
    <row r="431" spans="1:1" x14ac:dyDescent="0.25">
      <c r="A431" s="93"/>
    </row>
    <row r="432" spans="1:1" x14ac:dyDescent="0.25">
      <c r="A432" s="93"/>
    </row>
    <row r="433" spans="1:1" x14ac:dyDescent="0.25">
      <c r="A433" s="93"/>
    </row>
    <row r="434" spans="1:1" x14ac:dyDescent="0.25">
      <c r="A434" s="93"/>
    </row>
    <row r="435" spans="1:1" x14ac:dyDescent="0.25">
      <c r="A435" s="93"/>
    </row>
    <row r="436" spans="1:1" x14ac:dyDescent="0.25">
      <c r="A436" s="93"/>
    </row>
    <row r="437" spans="1:1" x14ac:dyDescent="0.25">
      <c r="A437" s="93"/>
    </row>
    <row r="438" spans="1:1" x14ac:dyDescent="0.25">
      <c r="A438" s="93"/>
    </row>
    <row r="439" spans="1:1" x14ac:dyDescent="0.25">
      <c r="A439" s="93"/>
    </row>
    <row r="440" spans="1:1" x14ac:dyDescent="0.25">
      <c r="A440" s="93"/>
    </row>
    <row r="441" spans="1:1" x14ac:dyDescent="0.25">
      <c r="A441" s="93"/>
    </row>
    <row r="442" spans="1:1" x14ac:dyDescent="0.25">
      <c r="A442" s="93"/>
    </row>
    <row r="443" spans="1:1" x14ac:dyDescent="0.25">
      <c r="A443" s="93"/>
    </row>
    <row r="444" spans="1:1" x14ac:dyDescent="0.25">
      <c r="A444" s="93"/>
    </row>
    <row r="445" spans="1:1" x14ac:dyDescent="0.25">
      <c r="A445" s="93"/>
    </row>
    <row r="446" spans="1:1" x14ac:dyDescent="0.25">
      <c r="A446" s="93"/>
    </row>
    <row r="447" spans="1:1" x14ac:dyDescent="0.25">
      <c r="A447" s="93"/>
    </row>
    <row r="448" spans="1:1" x14ac:dyDescent="0.25">
      <c r="A448" s="93"/>
    </row>
    <row r="449" spans="1:1" x14ac:dyDescent="0.25">
      <c r="A449" s="93"/>
    </row>
    <row r="450" spans="1:1" x14ac:dyDescent="0.25">
      <c r="A450" s="93"/>
    </row>
    <row r="451" spans="1:1" x14ac:dyDescent="0.25">
      <c r="A451" s="93"/>
    </row>
    <row r="452" spans="1:1" x14ac:dyDescent="0.25">
      <c r="A452" s="93"/>
    </row>
    <row r="453" spans="1:1" x14ac:dyDescent="0.25">
      <c r="A453" s="93"/>
    </row>
    <row r="454" spans="1:1" x14ac:dyDescent="0.25">
      <c r="A454" s="93"/>
    </row>
    <row r="455" spans="1:1" x14ac:dyDescent="0.25">
      <c r="A455" s="93"/>
    </row>
    <row r="456" spans="1:1" x14ac:dyDescent="0.25">
      <c r="A456" s="93"/>
    </row>
    <row r="457" spans="1:1" x14ac:dyDescent="0.25">
      <c r="A457" s="93"/>
    </row>
    <row r="458" spans="1:1" x14ac:dyDescent="0.25">
      <c r="A458" s="93"/>
    </row>
    <row r="459" spans="1:1" x14ac:dyDescent="0.25">
      <c r="A459" s="93"/>
    </row>
    <row r="460" spans="1:1" x14ac:dyDescent="0.25">
      <c r="A460" s="93"/>
    </row>
    <row r="461" spans="1:1" x14ac:dyDescent="0.25">
      <c r="A461" s="93"/>
    </row>
    <row r="462" spans="1:1" x14ac:dyDescent="0.25">
      <c r="A462" s="93"/>
    </row>
    <row r="463" spans="1:1" x14ac:dyDescent="0.25">
      <c r="A463" s="93"/>
    </row>
    <row r="464" spans="1:1" x14ac:dyDescent="0.25">
      <c r="A464" s="93"/>
    </row>
    <row r="465" spans="1:1" x14ac:dyDescent="0.25">
      <c r="A465" s="93"/>
    </row>
    <row r="466" spans="1:1" x14ac:dyDescent="0.25">
      <c r="A466" s="93"/>
    </row>
    <row r="467" spans="1:1" x14ac:dyDescent="0.25">
      <c r="A467" s="93"/>
    </row>
    <row r="468" spans="1:1" x14ac:dyDescent="0.25">
      <c r="A468" s="93"/>
    </row>
    <row r="469" spans="1:1" x14ac:dyDescent="0.25">
      <c r="A469" s="93"/>
    </row>
    <row r="470" spans="1:1" x14ac:dyDescent="0.25">
      <c r="A470" s="93"/>
    </row>
    <row r="471" spans="1:1" x14ac:dyDescent="0.25">
      <c r="A471" s="93"/>
    </row>
    <row r="472" spans="1:1" x14ac:dyDescent="0.25">
      <c r="A472" s="93"/>
    </row>
    <row r="473" spans="1:1" x14ac:dyDescent="0.25">
      <c r="A473" s="93"/>
    </row>
    <row r="474" spans="1:1" x14ac:dyDescent="0.25">
      <c r="A474" s="93"/>
    </row>
    <row r="475" spans="1:1" x14ac:dyDescent="0.25">
      <c r="A475" s="93"/>
    </row>
    <row r="476" spans="1:1" x14ac:dyDescent="0.25">
      <c r="A476" s="93"/>
    </row>
    <row r="477" spans="1:1" x14ac:dyDescent="0.25">
      <c r="A477" s="93"/>
    </row>
    <row r="478" spans="1:1" x14ac:dyDescent="0.25">
      <c r="A478" s="93"/>
    </row>
    <row r="479" spans="1:1" x14ac:dyDescent="0.25">
      <c r="A479" s="93"/>
    </row>
    <row r="480" spans="1:1" x14ac:dyDescent="0.25">
      <c r="A480" s="93"/>
    </row>
    <row r="481" spans="1:1" x14ac:dyDescent="0.25">
      <c r="A481" s="93"/>
    </row>
    <row r="482" spans="1:1" x14ac:dyDescent="0.25">
      <c r="A482" s="93"/>
    </row>
    <row r="483" spans="1:1" x14ac:dyDescent="0.25">
      <c r="A483" s="93"/>
    </row>
    <row r="484" spans="1:1" x14ac:dyDescent="0.25">
      <c r="A484" s="93"/>
    </row>
    <row r="485" spans="1:1" x14ac:dyDescent="0.25">
      <c r="A485" s="93"/>
    </row>
    <row r="486" spans="1:1" x14ac:dyDescent="0.25">
      <c r="A486" s="93"/>
    </row>
    <row r="487" spans="1:1" x14ac:dyDescent="0.25">
      <c r="A487" s="93"/>
    </row>
    <row r="488" spans="1:1" x14ac:dyDescent="0.25">
      <c r="A488" s="93"/>
    </row>
    <row r="489" spans="1:1" x14ac:dyDescent="0.25">
      <c r="A489" s="93"/>
    </row>
    <row r="490" spans="1:1" x14ac:dyDescent="0.25">
      <c r="A490" s="93"/>
    </row>
    <row r="491" spans="1:1" x14ac:dyDescent="0.25">
      <c r="A491" s="93"/>
    </row>
    <row r="492" spans="1:1" x14ac:dyDescent="0.25">
      <c r="A492" s="93"/>
    </row>
    <row r="493" spans="1:1" x14ac:dyDescent="0.25">
      <c r="A493" s="93"/>
    </row>
    <row r="494" spans="1:1" x14ac:dyDescent="0.25">
      <c r="A494" s="93"/>
    </row>
    <row r="495" spans="1:1" x14ac:dyDescent="0.25">
      <c r="A495" s="93"/>
    </row>
    <row r="496" spans="1:1" x14ac:dyDescent="0.25">
      <c r="A496" s="93"/>
    </row>
    <row r="497" spans="1:1" x14ac:dyDescent="0.25">
      <c r="A497" s="93"/>
    </row>
    <row r="498" spans="1:1" x14ac:dyDescent="0.25">
      <c r="A498" s="93"/>
    </row>
    <row r="499" spans="1:1" x14ac:dyDescent="0.25">
      <c r="A499" s="93"/>
    </row>
    <row r="500" spans="1:1" x14ac:dyDescent="0.25">
      <c r="A500" s="93"/>
    </row>
    <row r="501" spans="1:1" x14ac:dyDescent="0.25">
      <c r="A501" s="93"/>
    </row>
    <row r="502" spans="1:1" x14ac:dyDescent="0.25">
      <c r="A502" s="93"/>
    </row>
    <row r="503" spans="1:1" x14ac:dyDescent="0.25">
      <c r="A503" s="93"/>
    </row>
    <row r="504" spans="1:1" x14ac:dyDescent="0.25">
      <c r="A504" s="93"/>
    </row>
    <row r="505" spans="1:1" x14ac:dyDescent="0.25">
      <c r="A505" s="93"/>
    </row>
    <row r="506" spans="1:1" x14ac:dyDescent="0.25">
      <c r="A506" s="93"/>
    </row>
    <row r="507" spans="1:1" x14ac:dyDescent="0.25">
      <c r="A507" s="93"/>
    </row>
    <row r="508" spans="1:1" x14ac:dyDescent="0.25">
      <c r="A508" s="93"/>
    </row>
    <row r="509" spans="1:1" x14ac:dyDescent="0.25">
      <c r="A509" s="93"/>
    </row>
    <row r="510" spans="1:1" x14ac:dyDescent="0.25">
      <c r="A510" s="93"/>
    </row>
    <row r="511" spans="1:1" x14ac:dyDescent="0.25">
      <c r="A511" s="93"/>
    </row>
    <row r="512" spans="1:1" x14ac:dyDescent="0.25">
      <c r="A512" s="93"/>
    </row>
    <row r="513" spans="1:1" x14ac:dyDescent="0.25">
      <c r="A513" s="93"/>
    </row>
    <row r="514" spans="1:1" x14ac:dyDescent="0.25">
      <c r="A514" s="93"/>
    </row>
    <row r="515" spans="1:1" x14ac:dyDescent="0.25">
      <c r="A515" s="93"/>
    </row>
    <row r="516" spans="1:1" x14ac:dyDescent="0.25">
      <c r="A516" s="93"/>
    </row>
    <row r="517" spans="1:1" x14ac:dyDescent="0.25">
      <c r="A517" s="93"/>
    </row>
    <row r="518" spans="1:1" x14ac:dyDescent="0.25">
      <c r="A518" s="93"/>
    </row>
    <row r="519" spans="1:1" x14ac:dyDescent="0.25">
      <c r="A519" s="93"/>
    </row>
    <row r="520" spans="1:1" x14ac:dyDescent="0.25">
      <c r="A520" s="93"/>
    </row>
    <row r="521" spans="1:1" x14ac:dyDescent="0.25">
      <c r="A521" s="93"/>
    </row>
    <row r="522" spans="1:1" x14ac:dyDescent="0.25">
      <c r="A522" s="93"/>
    </row>
    <row r="523" spans="1:1" x14ac:dyDescent="0.25">
      <c r="A523" s="93"/>
    </row>
    <row r="524" spans="1:1" x14ac:dyDescent="0.25">
      <c r="A524" s="93"/>
    </row>
    <row r="525" spans="1:1" x14ac:dyDescent="0.25">
      <c r="A525" s="93"/>
    </row>
    <row r="526" spans="1:1" x14ac:dyDescent="0.25">
      <c r="A526" s="93"/>
    </row>
  </sheetData>
  <autoFilter ref="A1:C214" xr:uid="{6BBFD067-6C3C-49F4-AFEC-6D4742F007DD}"/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E2116-2DBF-4887-82B0-D0B0386E2C6D}">
  <sheetPr codeName="Sheet4"/>
  <dimension ref="A1:F17"/>
  <sheetViews>
    <sheetView workbookViewId="0">
      <selection activeCell="C28" sqref="C28"/>
    </sheetView>
  </sheetViews>
  <sheetFormatPr defaultRowHeight="15" x14ac:dyDescent="0.25"/>
  <cols>
    <col min="1" max="1" width="31.28515625" bestFit="1" customWidth="1"/>
    <col min="2" max="2" width="18.5703125" customWidth="1"/>
    <col min="3" max="3" width="16.85546875" customWidth="1"/>
    <col min="4" max="4" width="13.28515625" customWidth="1"/>
    <col min="5" max="5" width="15.7109375" customWidth="1"/>
    <col min="6" max="6" width="15" customWidth="1"/>
  </cols>
  <sheetData>
    <row r="1" spans="1:6" ht="15.75" thickBot="1" x14ac:dyDescent="0.3">
      <c r="A1" s="100" t="s">
        <v>0</v>
      </c>
      <c r="B1" s="92" t="s">
        <v>557</v>
      </c>
      <c r="C1" s="92" t="s">
        <v>558</v>
      </c>
      <c r="D1" s="92" t="s">
        <v>559</v>
      </c>
      <c r="E1" s="92" t="s">
        <v>560</v>
      </c>
      <c r="F1" s="92" t="s">
        <v>561</v>
      </c>
    </row>
    <row r="2" spans="1:6" x14ac:dyDescent="0.25">
      <c r="A2" s="102" t="s">
        <v>542</v>
      </c>
      <c r="B2" s="103"/>
      <c r="C2" s="103"/>
      <c r="D2" s="103"/>
      <c r="E2" s="103"/>
      <c r="F2" s="103"/>
    </row>
    <row r="3" spans="1:6" x14ac:dyDescent="0.25">
      <c r="A3" s="104" t="s">
        <v>543</v>
      </c>
      <c r="B3" s="101"/>
      <c r="C3" s="101"/>
      <c r="D3" s="101"/>
      <c r="E3" s="101"/>
      <c r="F3" s="101"/>
    </row>
    <row r="4" spans="1:6" x14ac:dyDescent="0.25">
      <c r="A4" s="102" t="s">
        <v>544</v>
      </c>
      <c r="B4" s="103"/>
      <c r="C4" s="103"/>
      <c r="D4" s="103"/>
      <c r="E4" s="103"/>
      <c r="F4" s="103"/>
    </row>
    <row r="5" spans="1:6" x14ac:dyDescent="0.25">
      <c r="A5" s="104" t="s">
        <v>545</v>
      </c>
      <c r="B5" s="101"/>
      <c r="C5" s="101"/>
      <c r="D5" s="101"/>
      <c r="E5" s="101"/>
      <c r="F5" s="101"/>
    </row>
    <row r="6" spans="1:6" x14ac:dyDescent="0.25">
      <c r="A6" s="102" t="s">
        <v>546</v>
      </c>
      <c r="B6" s="103"/>
      <c r="C6" s="103"/>
      <c r="D6" s="103"/>
      <c r="E6" s="103"/>
      <c r="F6" s="103"/>
    </row>
    <row r="7" spans="1:6" x14ac:dyDescent="0.25">
      <c r="A7" s="104" t="s">
        <v>547</v>
      </c>
      <c r="B7" s="101">
        <v>9620000303</v>
      </c>
      <c r="C7" s="101">
        <v>9620000304</v>
      </c>
      <c r="D7" s="101">
        <v>9620000305</v>
      </c>
      <c r="E7" s="101"/>
      <c r="F7" s="101"/>
    </row>
    <row r="8" spans="1:6" x14ac:dyDescent="0.25">
      <c r="A8" s="102" t="s">
        <v>548</v>
      </c>
      <c r="B8" s="103"/>
      <c r="C8" s="103"/>
      <c r="D8" s="103"/>
      <c r="E8" s="103"/>
      <c r="F8" s="103"/>
    </row>
    <row r="9" spans="1:6" x14ac:dyDescent="0.25">
      <c r="A9" s="104" t="s">
        <v>549</v>
      </c>
      <c r="B9" s="101"/>
      <c r="C9" s="101"/>
      <c r="D9" s="101"/>
      <c r="E9" s="101"/>
      <c r="F9" s="101"/>
    </row>
    <row r="10" spans="1:6" x14ac:dyDescent="0.25">
      <c r="A10" s="102" t="s">
        <v>550</v>
      </c>
      <c r="B10" s="103"/>
      <c r="C10" s="103"/>
      <c r="D10" s="103"/>
      <c r="E10" s="103"/>
      <c r="F10" s="103"/>
    </row>
    <row r="11" spans="1:6" x14ac:dyDescent="0.25">
      <c r="A11" s="104" t="s">
        <v>527</v>
      </c>
      <c r="B11" s="101"/>
      <c r="C11" s="101"/>
      <c r="D11" s="101"/>
      <c r="E11" s="101"/>
      <c r="F11" s="101"/>
    </row>
    <row r="12" spans="1:6" x14ac:dyDescent="0.25">
      <c r="A12" s="102" t="s">
        <v>551</v>
      </c>
      <c r="B12" s="103"/>
      <c r="C12" s="103"/>
      <c r="D12" s="103"/>
      <c r="E12" s="103"/>
      <c r="F12" s="103"/>
    </row>
    <row r="13" spans="1:6" x14ac:dyDescent="0.25">
      <c r="A13" s="104" t="s">
        <v>552</v>
      </c>
      <c r="B13" s="101"/>
      <c r="C13" s="101"/>
      <c r="D13" s="101"/>
      <c r="E13" s="101"/>
      <c r="F13" s="101"/>
    </row>
    <row r="14" spans="1:6" x14ac:dyDescent="0.25">
      <c r="A14" s="102" t="s">
        <v>553</v>
      </c>
      <c r="B14" s="103"/>
      <c r="C14" s="103"/>
      <c r="D14" s="103"/>
      <c r="E14" s="103"/>
      <c r="F14" s="103"/>
    </row>
    <row r="15" spans="1:6" x14ac:dyDescent="0.25">
      <c r="A15" s="104" t="s">
        <v>554</v>
      </c>
      <c r="B15" s="101"/>
      <c r="C15" s="101"/>
      <c r="D15" s="101"/>
      <c r="E15" s="101"/>
      <c r="F15" s="101"/>
    </row>
    <row r="16" spans="1:6" x14ac:dyDescent="0.25">
      <c r="A16" s="102" t="s">
        <v>555</v>
      </c>
      <c r="B16" s="103"/>
      <c r="C16" s="103"/>
      <c r="D16" s="103"/>
      <c r="E16" s="103"/>
      <c r="F16" s="103"/>
    </row>
    <row r="17" spans="1:6" x14ac:dyDescent="0.25">
      <c r="A17" s="104" t="s">
        <v>556</v>
      </c>
      <c r="B17" s="101"/>
      <c r="C17" s="101"/>
      <c r="D17" s="101"/>
      <c r="E17" s="101"/>
      <c r="F17" s="101"/>
    </row>
  </sheetData>
  <autoFilter ref="A1:B1" xr:uid="{DC1DC2E7-7ADA-4768-AD2D-6E3FE784D2F3}"/>
  <conditionalFormatting sqref="B1:F1">
    <cfRule type="duplicateValues" dxfId="178" priority="1"/>
  </conditionalFormatting>
  <conditionalFormatting sqref="B2:F17">
    <cfRule type="duplicateValues" dxfId="177" priority="188"/>
  </conditionalFormatting>
  <conditionalFormatting sqref="A2:A17">
    <cfRule type="duplicateValues" dxfId="176" priority="189"/>
  </conditionalFormatting>
  <conditionalFormatting sqref="A2:F17">
    <cfRule type="duplicateValues" dxfId="175" priority="192"/>
  </conditionalFormatting>
  <conditionalFormatting sqref="B2:F17">
    <cfRule type="duplicateValues" dxfId="174" priority="193"/>
    <cfRule type="duplicateValues" dxfId="173" priority="194"/>
  </conditionalFormatting>
  <pageMargins left="0.7" right="0.7" top="0.75" bottom="0.75" header="0.3" footer="0.3"/>
  <customProperties>
    <customPr name="_pios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E425-B428-4C6F-87FD-B0C3BBA06DA5}">
  <sheetPr codeName="Sheet5"/>
  <dimension ref="A1:L42"/>
  <sheetViews>
    <sheetView workbookViewId="0">
      <selection activeCell="C39" sqref="C2:C39"/>
    </sheetView>
  </sheetViews>
  <sheetFormatPr defaultRowHeight="15" x14ac:dyDescent="0.25"/>
  <cols>
    <col min="1" max="1" width="30.42578125" style="99" bestFit="1" customWidth="1"/>
    <col min="2" max="2" width="1.7109375" style="99" customWidth="1"/>
    <col min="3" max="3" width="13.140625" bestFit="1" customWidth="1"/>
    <col min="4" max="4" width="1.7109375" style="93" customWidth="1"/>
    <col min="6" max="6" width="1.7109375" style="93" customWidth="1"/>
  </cols>
  <sheetData>
    <row r="1" spans="1:12" x14ac:dyDescent="0.25">
      <c r="A1" s="97" t="s">
        <v>537</v>
      </c>
      <c r="B1" s="97"/>
      <c r="C1" s="96" t="s">
        <v>538</v>
      </c>
      <c r="D1" s="96"/>
      <c r="E1" s="96" t="s">
        <v>540</v>
      </c>
      <c r="F1" s="96"/>
      <c r="G1" s="96" t="s">
        <v>539</v>
      </c>
    </row>
    <row r="2" spans="1:12" x14ac:dyDescent="0.25">
      <c r="A2" s="98">
        <v>44095</v>
      </c>
      <c r="B2" s="98"/>
      <c r="C2" s="94">
        <v>4</v>
      </c>
      <c r="D2" s="94"/>
      <c r="E2" s="94">
        <v>8</v>
      </c>
      <c r="F2" s="94"/>
      <c r="G2" s="95">
        <f>(C2*E2)/8</f>
        <v>4</v>
      </c>
    </row>
    <row r="3" spans="1:12" x14ac:dyDescent="0.25">
      <c r="A3" s="98">
        <v>44096</v>
      </c>
      <c r="B3" s="98"/>
      <c r="C3" s="94">
        <v>4</v>
      </c>
      <c r="D3" s="94"/>
      <c r="E3" s="94">
        <v>8</v>
      </c>
      <c r="F3" s="94"/>
      <c r="G3" s="95">
        <f>(C3*E3)/8</f>
        <v>4</v>
      </c>
    </row>
    <row r="4" spans="1:12" x14ac:dyDescent="0.25">
      <c r="A4" s="98">
        <v>44097</v>
      </c>
      <c r="B4" s="98"/>
      <c r="C4" s="94">
        <v>6</v>
      </c>
      <c r="D4" s="94"/>
      <c r="E4" s="94">
        <v>8</v>
      </c>
      <c r="F4" s="94"/>
      <c r="G4" s="95">
        <f>(C4*E4)/8</f>
        <v>6</v>
      </c>
    </row>
    <row r="5" spans="1:12" x14ac:dyDescent="0.25">
      <c r="A5" s="98">
        <v>44098</v>
      </c>
      <c r="B5" s="98"/>
      <c r="C5" s="94">
        <v>6</v>
      </c>
      <c r="D5" s="94"/>
      <c r="E5" s="94">
        <v>8</v>
      </c>
      <c r="F5" s="94"/>
      <c r="G5" s="95">
        <f>(C5*E5)/8</f>
        <v>6</v>
      </c>
    </row>
    <row r="6" spans="1:12" x14ac:dyDescent="0.25">
      <c r="A6" s="98">
        <v>44099</v>
      </c>
      <c r="B6" s="98"/>
      <c r="C6" s="94">
        <v>6</v>
      </c>
      <c r="D6" s="94"/>
      <c r="E6" s="94">
        <v>8</v>
      </c>
      <c r="F6" s="94"/>
      <c r="G6" s="95">
        <f>(C6*E6)/8</f>
        <v>6</v>
      </c>
    </row>
    <row r="7" spans="1:12" x14ac:dyDescent="0.25">
      <c r="A7" s="98">
        <v>44100</v>
      </c>
      <c r="B7" s="98"/>
      <c r="C7" s="94"/>
      <c r="D7" s="94"/>
      <c r="E7" s="94"/>
      <c r="F7" s="94"/>
      <c r="G7" s="95"/>
    </row>
    <row r="8" spans="1:12" x14ac:dyDescent="0.25">
      <c r="A8" s="98">
        <v>44101</v>
      </c>
      <c r="B8" s="98"/>
      <c r="C8" s="94"/>
      <c r="D8" s="94"/>
      <c r="E8" s="94"/>
      <c r="F8" s="94"/>
      <c r="G8" s="95"/>
    </row>
    <row r="9" spans="1:12" x14ac:dyDescent="0.25">
      <c r="A9" s="98">
        <v>44102</v>
      </c>
      <c r="B9" s="98"/>
      <c r="C9" s="94">
        <v>6</v>
      </c>
      <c r="D9" s="94"/>
      <c r="E9" s="94">
        <v>8</v>
      </c>
      <c r="F9" s="94"/>
      <c r="G9" s="95">
        <f>(C9*E9)/8</f>
        <v>6</v>
      </c>
    </row>
    <row r="10" spans="1:12" x14ac:dyDescent="0.25">
      <c r="A10" s="98">
        <v>44103</v>
      </c>
      <c r="B10" s="98"/>
      <c r="C10" s="94">
        <v>3</v>
      </c>
      <c r="D10" s="94"/>
      <c r="E10" s="94">
        <v>8</v>
      </c>
      <c r="F10" s="94"/>
      <c r="G10" s="95">
        <f>(C10*E10)/8</f>
        <v>3</v>
      </c>
    </row>
    <row r="11" spans="1:12" x14ac:dyDescent="0.25">
      <c r="A11" s="98">
        <v>44104</v>
      </c>
      <c r="B11" s="98"/>
      <c r="C11" s="94">
        <v>4</v>
      </c>
      <c r="D11" s="94"/>
      <c r="E11" s="94">
        <v>8</v>
      </c>
      <c r="F11" s="94"/>
      <c r="G11" s="95">
        <f>(C11*E11)/8</f>
        <v>4</v>
      </c>
    </row>
    <row r="12" spans="1:12" x14ac:dyDescent="0.25">
      <c r="A12" s="98">
        <v>44105</v>
      </c>
      <c r="B12" s="98"/>
      <c r="C12" s="94">
        <v>4</v>
      </c>
      <c r="D12" s="94"/>
      <c r="E12" s="94">
        <v>8</v>
      </c>
      <c r="F12" s="94"/>
      <c r="G12" s="95">
        <f>(C12*E12)/8</f>
        <v>4</v>
      </c>
    </row>
    <row r="13" spans="1:12" x14ac:dyDescent="0.25">
      <c r="A13" s="98">
        <v>44106</v>
      </c>
      <c r="B13" s="98"/>
      <c r="C13" s="94">
        <v>4</v>
      </c>
      <c r="D13" s="94"/>
      <c r="E13" s="94">
        <v>8</v>
      </c>
      <c r="F13" s="94"/>
      <c r="G13" s="95">
        <f>(C13*E13)/8</f>
        <v>4</v>
      </c>
    </row>
    <row r="14" spans="1:12" x14ac:dyDescent="0.25">
      <c r="A14" s="98">
        <v>44107</v>
      </c>
      <c r="B14" s="98"/>
      <c r="C14" s="94"/>
      <c r="D14" s="94"/>
      <c r="E14" s="94"/>
      <c r="F14" s="94"/>
      <c r="G14" s="95"/>
      <c r="L14" t="s">
        <v>562</v>
      </c>
    </row>
    <row r="15" spans="1:12" x14ac:dyDescent="0.25">
      <c r="A15" s="98">
        <v>44108</v>
      </c>
      <c r="B15" s="98"/>
      <c r="C15" s="94"/>
      <c r="D15" s="94"/>
      <c r="E15" s="94"/>
      <c r="F15" s="94"/>
      <c r="G15" s="95"/>
    </row>
    <row r="16" spans="1:12" x14ac:dyDescent="0.25">
      <c r="A16" s="98">
        <v>44109</v>
      </c>
      <c r="B16" s="98"/>
      <c r="C16" s="94">
        <v>4</v>
      </c>
      <c r="D16" s="94"/>
      <c r="E16" s="94">
        <v>8</v>
      </c>
      <c r="F16" s="94"/>
      <c r="G16" s="95">
        <f>(C16*E16)/8</f>
        <v>4</v>
      </c>
    </row>
    <row r="17" spans="1:7" x14ac:dyDescent="0.25">
      <c r="A17" s="98">
        <v>44110</v>
      </c>
      <c r="B17" s="98"/>
      <c r="C17" s="94">
        <v>4</v>
      </c>
      <c r="D17" s="94"/>
      <c r="E17" s="94">
        <v>8</v>
      </c>
      <c r="F17" s="94"/>
      <c r="G17" s="95">
        <f>(C17*E17)/8</f>
        <v>4</v>
      </c>
    </row>
    <row r="18" spans="1:7" x14ac:dyDescent="0.25">
      <c r="A18" s="98">
        <v>44111</v>
      </c>
      <c r="B18" s="98"/>
      <c r="C18" s="94">
        <v>4</v>
      </c>
      <c r="D18" s="94"/>
      <c r="E18" s="94">
        <v>8</v>
      </c>
      <c r="F18" s="94"/>
      <c r="G18" s="95">
        <f>(C18*E18)/8</f>
        <v>4</v>
      </c>
    </row>
    <row r="19" spans="1:7" x14ac:dyDescent="0.25">
      <c r="A19" s="98">
        <v>44112</v>
      </c>
      <c r="B19" s="98"/>
      <c r="C19" s="94">
        <v>5</v>
      </c>
      <c r="D19" s="94"/>
      <c r="E19" s="94">
        <v>8</v>
      </c>
      <c r="F19" s="94"/>
      <c r="G19" s="95">
        <f>(C19*E19)/8</f>
        <v>5</v>
      </c>
    </row>
    <row r="20" spans="1:7" x14ac:dyDescent="0.25">
      <c r="A20" s="98">
        <v>44113</v>
      </c>
      <c r="B20" s="98"/>
      <c r="C20" s="94">
        <v>7</v>
      </c>
      <c r="E20" s="94">
        <v>8</v>
      </c>
      <c r="F20" s="94"/>
      <c r="G20" s="95">
        <f>(C20*E20)/8</f>
        <v>7</v>
      </c>
    </row>
    <row r="21" spans="1:7" x14ac:dyDescent="0.25">
      <c r="A21" s="98">
        <v>44114</v>
      </c>
      <c r="B21" s="98"/>
      <c r="C21" s="93"/>
      <c r="E21" s="93"/>
      <c r="G21" s="95"/>
    </row>
    <row r="22" spans="1:7" x14ac:dyDescent="0.25">
      <c r="A22" s="98">
        <v>44115</v>
      </c>
      <c r="B22" s="98"/>
      <c r="C22" s="94"/>
      <c r="D22" s="94"/>
      <c r="E22" s="94"/>
      <c r="F22" s="94"/>
      <c r="G22" s="95"/>
    </row>
    <row r="23" spans="1:7" x14ac:dyDescent="0.25">
      <c r="A23" s="98">
        <v>44116</v>
      </c>
      <c r="B23" s="98"/>
      <c r="C23" s="94">
        <v>6</v>
      </c>
      <c r="E23" s="94">
        <v>8</v>
      </c>
      <c r="F23" s="94"/>
      <c r="G23" s="95">
        <f>(C23*E23)/8</f>
        <v>6</v>
      </c>
    </row>
    <row r="24" spans="1:7" x14ac:dyDescent="0.25">
      <c r="A24" s="98">
        <v>44117</v>
      </c>
      <c r="B24" s="98"/>
      <c r="C24" s="94">
        <v>6</v>
      </c>
      <c r="E24" s="94">
        <v>8</v>
      </c>
      <c r="F24" s="94"/>
      <c r="G24" s="95">
        <f>(C24*E24)/8</f>
        <v>6</v>
      </c>
    </row>
    <row r="25" spans="1:7" x14ac:dyDescent="0.25">
      <c r="A25" s="98">
        <v>44118</v>
      </c>
      <c r="B25" s="98"/>
      <c r="C25" s="94">
        <v>6</v>
      </c>
      <c r="E25" s="94">
        <v>8</v>
      </c>
      <c r="F25" s="94"/>
      <c r="G25" s="95">
        <f>(C25*E25)/8</f>
        <v>6</v>
      </c>
    </row>
    <row r="26" spans="1:7" x14ac:dyDescent="0.25">
      <c r="A26" s="98">
        <v>44119</v>
      </c>
      <c r="B26" s="98"/>
      <c r="C26" s="94">
        <v>6</v>
      </c>
      <c r="E26" s="94">
        <v>8</v>
      </c>
      <c r="F26" s="94"/>
      <c r="G26" s="95">
        <f>(C26*E26)/8</f>
        <v>6</v>
      </c>
    </row>
    <row r="27" spans="1:7" x14ac:dyDescent="0.25">
      <c r="A27" s="98">
        <v>44120</v>
      </c>
      <c r="B27" s="98"/>
      <c r="C27" s="94">
        <v>6</v>
      </c>
      <c r="E27" s="94">
        <v>8</v>
      </c>
      <c r="F27" s="94"/>
      <c r="G27" s="95">
        <f>(C27*E27)/8</f>
        <v>6</v>
      </c>
    </row>
    <row r="28" spans="1:7" x14ac:dyDescent="0.25">
      <c r="A28" s="98">
        <v>44121</v>
      </c>
      <c r="B28" s="98"/>
    </row>
    <row r="29" spans="1:7" x14ac:dyDescent="0.25">
      <c r="A29" s="98">
        <v>44122</v>
      </c>
      <c r="B29" s="98"/>
    </row>
    <row r="30" spans="1:7" x14ac:dyDescent="0.25">
      <c r="A30" s="98">
        <v>44123</v>
      </c>
      <c r="B30" s="98"/>
      <c r="C30" s="94">
        <v>6</v>
      </c>
      <c r="E30" s="94">
        <v>8</v>
      </c>
      <c r="F30" s="94"/>
      <c r="G30" s="95">
        <f>(C30*E30)/8</f>
        <v>6</v>
      </c>
    </row>
    <row r="31" spans="1:7" x14ac:dyDescent="0.25">
      <c r="A31" s="98">
        <v>44124</v>
      </c>
      <c r="B31" s="98"/>
      <c r="C31" s="94">
        <v>6</v>
      </c>
      <c r="E31" s="94">
        <v>8</v>
      </c>
      <c r="F31" s="94"/>
      <c r="G31" s="95">
        <f>(C31*E31)/8</f>
        <v>6</v>
      </c>
    </row>
    <row r="32" spans="1:7" x14ac:dyDescent="0.25">
      <c r="A32" s="98">
        <v>44125</v>
      </c>
      <c r="B32" s="98"/>
      <c r="C32" s="94">
        <v>6</v>
      </c>
      <c r="E32" s="94">
        <v>8</v>
      </c>
      <c r="F32" s="94"/>
      <c r="G32" s="95">
        <f>(C32*E32)/8</f>
        <v>6</v>
      </c>
    </row>
    <row r="33" spans="1:7" x14ac:dyDescent="0.25">
      <c r="A33" s="98">
        <v>44126</v>
      </c>
      <c r="B33" s="98"/>
      <c r="C33" s="94">
        <v>5</v>
      </c>
      <c r="E33" s="94">
        <v>8</v>
      </c>
      <c r="F33" s="94"/>
      <c r="G33" s="95">
        <f>(C33*E33)/8</f>
        <v>5</v>
      </c>
    </row>
    <row r="34" spans="1:7" x14ac:dyDescent="0.25">
      <c r="A34" s="98">
        <v>44127</v>
      </c>
      <c r="B34" s="98"/>
      <c r="C34" s="94">
        <v>4</v>
      </c>
      <c r="E34" s="94">
        <v>8</v>
      </c>
      <c r="F34" s="94"/>
      <c r="G34" s="95">
        <f>(C34*E34)/8</f>
        <v>4</v>
      </c>
    </row>
    <row r="35" spans="1:7" x14ac:dyDescent="0.25">
      <c r="A35" s="98">
        <v>44128</v>
      </c>
      <c r="B35" s="98"/>
    </row>
    <row r="36" spans="1:7" x14ac:dyDescent="0.25">
      <c r="A36" s="98">
        <v>44129</v>
      </c>
      <c r="B36" s="98"/>
    </row>
    <row r="37" spans="1:7" x14ac:dyDescent="0.25">
      <c r="A37" s="98">
        <v>44130</v>
      </c>
      <c r="B37" s="98"/>
      <c r="C37" s="94">
        <v>2</v>
      </c>
      <c r="E37" s="94">
        <v>8</v>
      </c>
      <c r="F37" s="94"/>
      <c r="G37" s="95">
        <f>(C37*E37)/8</f>
        <v>2</v>
      </c>
    </row>
    <row r="38" spans="1:7" x14ac:dyDescent="0.25">
      <c r="A38" s="98">
        <v>44131</v>
      </c>
      <c r="B38" s="98"/>
      <c r="C38" s="94">
        <v>3</v>
      </c>
      <c r="E38" s="94">
        <v>8</v>
      </c>
      <c r="F38" s="94"/>
      <c r="G38" s="95">
        <f>(C38*E38)/8</f>
        <v>3</v>
      </c>
    </row>
    <row r="39" spans="1:7" x14ac:dyDescent="0.25">
      <c r="A39" s="98">
        <v>44132</v>
      </c>
      <c r="B39" s="98"/>
      <c r="C39" s="94">
        <v>4</v>
      </c>
      <c r="E39" s="94">
        <v>8</v>
      </c>
      <c r="F39" s="94"/>
      <c r="G39" s="95">
        <f>(C39*E39)/8</f>
        <v>4</v>
      </c>
    </row>
    <row r="40" spans="1:7" x14ac:dyDescent="0.25">
      <c r="A40" s="98">
        <v>44133</v>
      </c>
      <c r="B40" s="98"/>
    </row>
    <row r="41" spans="1:7" x14ac:dyDescent="0.25">
      <c r="A41" s="98">
        <v>44134</v>
      </c>
      <c r="B41" s="98"/>
    </row>
    <row r="42" spans="1:7" x14ac:dyDescent="0.25">
      <c r="A42" s="98">
        <v>44135</v>
      </c>
      <c r="B42" s="98"/>
    </row>
  </sheetData>
  <pageMargins left="0.7" right="0.7" top="0.75" bottom="0.75" header="0.3" footer="0.3"/>
  <customProperties>
    <customPr name="_pios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E3482-DAD0-4C58-A922-8E063BA63029}">
  <sheetPr codeName="Sheet6" filterMode="1"/>
  <dimension ref="A1:AH325"/>
  <sheetViews>
    <sheetView topLeftCell="A250" workbookViewId="0">
      <selection activeCell="B305" sqref="B305"/>
    </sheetView>
  </sheetViews>
  <sheetFormatPr defaultColWidth="9.140625" defaultRowHeight="12.75" x14ac:dyDescent="0.2"/>
  <cols>
    <col min="1" max="1" width="21.42578125" style="76" customWidth="1"/>
    <col min="2" max="2" width="37.140625" style="75" bestFit="1" customWidth="1"/>
    <col min="3" max="3" width="16.5703125" style="76" customWidth="1"/>
    <col min="4" max="22" width="12.7109375" style="76" customWidth="1"/>
    <col min="23" max="33" width="9.140625" style="80"/>
    <col min="34" max="34" width="11" style="80" bestFit="1" customWidth="1"/>
    <col min="35" max="16384" width="9.140625" style="80"/>
  </cols>
  <sheetData>
    <row r="1" spans="1:34" ht="15" customHeight="1" x14ac:dyDescent="0.2">
      <c r="A1" s="77" t="s">
        <v>465</v>
      </c>
      <c r="B1" s="78" t="s">
        <v>466</v>
      </c>
      <c r="C1" s="79" t="s">
        <v>467</v>
      </c>
      <c r="D1" s="77" t="s">
        <v>468</v>
      </c>
      <c r="E1" s="77" t="s">
        <v>469</v>
      </c>
      <c r="F1" s="77" t="s">
        <v>470</v>
      </c>
      <c r="G1" s="77" t="s">
        <v>471</v>
      </c>
      <c r="H1" s="77" t="s">
        <v>472</v>
      </c>
      <c r="I1" s="77" t="s">
        <v>473</v>
      </c>
      <c r="J1" s="77" t="s">
        <v>474</v>
      </c>
      <c r="K1" s="77" t="s">
        <v>475</v>
      </c>
      <c r="L1" s="77" t="s">
        <v>476</v>
      </c>
      <c r="M1" s="77" t="s">
        <v>477</v>
      </c>
      <c r="N1" s="77" t="s">
        <v>478</v>
      </c>
      <c r="O1" s="77" t="s">
        <v>479</v>
      </c>
      <c r="P1" s="77" t="s">
        <v>480</v>
      </c>
      <c r="Q1" s="77" t="s">
        <v>481</v>
      </c>
      <c r="R1" s="77" t="s">
        <v>482</v>
      </c>
      <c r="S1" s="77" t="s">
        <v>483</v>
      </c>
      <c r="T1" s="77" t="s">
        <v>484</v>
      </c>
      <c r="U1" s="77" t="s">
        <v>485</v>
      </c>
      <c r="V1" s="77" t="s">
        <v>486</v>
      </c>
    </row>
    <row r="2" spans="1:34" s="81" customFormat="1" ht="15" customHeight="1" x14ac:dyDescent="0.2">
      <c r="A2" s="58">
        <v>2020</v>
      </c>
      <c r="B2" s="55" t="s">
        <v>6</v>
      </c>
      <c r="C2" s="56">
        <v>9620000002</v>
      </c>
      <c r="D2" s="56">
        <v>9620000004</v>
      </c>
      <c r="E2" s="56">
        <v>9620033341</v>
      </c>
      <c r="F2" s="56">
        <v>9620033389</v>
      </c>
      <c r="G2" s="56">
        <v>9620004979</v>
      </c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</row>
    <row r="3" spans="1:34" s="81" customFormat="1" ht="15" hidden="1" customHeight="1" x14ac:dyDescent="0.2">
      <c r="A3" s="69">
        <v>2019</v>
      </c>
      <c r="B3" s="61" t="s">
        <v>7</v>
      </c>
      <c r="C3" s="62">
        <v>9620000006</v>
      </c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</row>
    <row r="4" spans="1:34" s="81" customFormat="1" ht="15" customHeight="1" x14ac:dyDescent="0.2">
      <c r="A4" s="58">
        <v>2020</v>
      </c>
      <c r="B4" s="57" t="s">
        <v>8</v>
      </c>
      <c r="C4" s="58">
        <v>9620000009</v>
      </c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</row>
    <row r="5" spans="1:34" s="81" customFormat="1" ht="15" hidden="1" customHeight="1" x14ac:dyDescent="0.2">
      <c r="A5" s="58">
        <v>2017</v>
      </c>
      <c r="B5" s="57" t="s">
        <v>9</v>
      </c>
      <c r="C5" s="58">
        <v>9620000730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</row>
    <row r="6" spans="1:34" s="81" customFormat="1" ht="15" customHeight="1" x14ac:dyDescent="0.2">
      <c r="A6" s="69">
        <v>2020</v>
      </c>
      <c r="B6" s="55" t="s">
        <v>10</v>
      </c>
      <c r="C6" s="56">
        <v>9620000731</v>
      </c>
      <c r="D6" s="56">
        <v>9620000012</v>
      </c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</row>
    <row r="7" spans="1:34" s="81" customFormat="1" ht="15" customHeight="1" x14ac:dyDescent="0.2">
      <c r="A7" s="69">
        <v>2020</v>
      </c>
      <c r="B7" s="59" t="s">
        <v>14</v>
      </c>
      <c r="C7" s="60">
        <v>9620000732</v>
      </c>
      <c r="D7" s="56"/>
      <c r="E7" s="56"/>
      <c r="F7" s="56"/>
      <c r="G7" s="56"/>
      <c r="H7" s="56"/>
      <c r="I7" s="56"/>
      <c r="J7" s="56"/>
      <c r="K7" s="56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</row>
    <row r="8" spans="1:34" s="81" customFormat="1" ht="15" hidden="1" customHeight="1" x14ac:dyDescent="0.2">
      <c r="A8" s="69">
        <v>2019</v>
      </c>
      <c r="B8" s="61" t="s">
        <v>487</v>
      </c>
      <c r="C8" s="62">
        <v>9620000733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</row>
    <row r="9" spans="1:34" s="81" customFormat="1" ht="15" hidden="1" customHeight="1" x14ac:dyDescent="0.2">
      <c r="A9" s="69" t="s">
        <v>488</v>
      </c>
      <c r="B9" s="59" t="s">
        <v>16</v>
      </c>
      <c r="C9" s="60">
        <v>9620000025</v>
      </c>
      <c r="D9" s="82"/>
      <c r="E9" s="82"/>
      <c r="F9" s="82"/>
      <c r="G9" s="82"/>
      <c r="H9" s="82"/>
      <c r="I9" s="82"/>
      <c r="J9" s="82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</row>
    <row r="10" spans="1:34" s="81" customFormat="1" ht="15" customHeight="1" x14ac:dyDescent="0.2">
      <c r="A10" s="69">
        <v>2020</v>
      </c>
      <c r="B10" s="59" t="s">
        <v>17</v>
      </c>
      <c r="C10" s="60">
        <v>9620000026</v>
      </c>
      <c r="D10" s="82"/>
      <c r="E10" s="82"/>
      <c r="F10" s="82"/>
      <c r="G10" s="82"/>
      <c r="H10" s="82"/>
      <c r="I10" s="82"/>
      <c r="J10" s="82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</row>
    <row r="11" spans="1:34" s="81" customFormat="1" ht="15" customHeight="1" x14ac:dyDescent="0.2">
      <c r="A11" s="58">
        <v>2020</v>
      </c>
      <c r="B11" s="57" t="s">
        <v>18</v>
      </c>
      <c r="C11" s="58">
        <v>9620000027</v>
      </c>
      <c r="D11" s="58">
        <v>9620000734</v>
      </c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</row>
    <row r="12" spans="1:34" s="81" customFormat="1" ht="15" hidden="1" customHeight="1" x14ac:dyDescent="0.2">
      <c r="A12" s="69">
        <v>2018</v>
      </c>
      <c r="B12" s="63" t="s">
        <v>489</v>
      </c>
      <c r="C12" s="62">
        <v>9620000028</v>
      </c>
      <c r="D12" s="83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</row>
    <row r="13" spans="1:34" s="81" customFormat="1" ht="15" customHeight="1" x14ac:dyDescent="0.2">
      <c r="A13" s="69">
        <v>2020</v>
      </c>
      <c r="B13" s="61" t="s">
        <v>20</v>
      </c>
      <c r="C13" s="62">
        <v>9620000031</v>
      </c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</row>
    <row r="14" spans="1:34" s="81" customFormat="1" ht="15" hidden="1" customHeight="1" x14ac:dyDescent="0.2">
      <c r="A14" s="69" t="s">
        <v>488</v>
      </c>
      <c r="B14" s="64" t="s">
        <v>21</v>
      </c>
      <c r="C14" s="65">
        <v>9620000735</v>
      </c>
      <c r="D14" s="65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</row>
    <row r="15" spans="1:34" s="81" customFormat="1" ht="15" hidden="1" customHeight="1" x14ac:dyDescent="0.2">
      <c r="A15" s="69" t="s">
        <v>488</v>
      </c>
      <c r="B15" s="59" t="s">
        <v>25</v>
      </c>
      <c r="C15" s="60">
        <v>9620000737</v>
      </c>
      <c r="D15" s="82"/>
      <c r="E15" s="82"/>
      <c r="F15" s="82"/>
      <c r="G15" s="82"/>
      <c r="H15" s="82"/>
      <c r="I15" s="82"/>
      <c r="J15" s="82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</row>
    <row r="16" spans="1:34" s="81" customFormat="1" ht="15" customHeight="1" x14ac:dyDescent="0.2">
      <c r="A16" s="58">
        <v>2020</v>
      </c>
      <c r="B16" s="57" t="s">
        <v>26</v>
      </c>
      <c r="C16" s="58">
        <v>9620000034</v>
      </c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</row>
    <row r="17" spans="1:34" s="81" customFormat="1" ht="15" customHeight="1" x14ac:dyDescent="0.2">
      <c r="A17" s="69">
        <v>2020</v>
      </c>
      <c r="B17" s="61" t="s">
        <v>27</v>
      </c>
      <c r="C17" s="62">
        <v>9620000035</v>
      </c>
      <c r="D17" s="62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</row>
    <row r="18" spans="1:34" s="81" customFormat="1" ht="15" customHeight="1" x14ac:dyDescent="0.2">
      <c r="A18" s="58">
        <v>2020</v>
      </c>
      <c r="B18" s="57" t="s">
        <v>28</v>
      </c>
      <c r="C18" s="58">
        <v>9620000037</v>
      </c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</row>
    <row r="19" spans="1:34" s="81" customFormat="1" ht="15" hidden="1" customHeight="1" x14ac:dyDescent="0.2">
      <c r="A19" s="69">
        <v>2019</v>
      </c>
      <c r="B19" s="61" t="s">
        <v>29</v>
      </c>
      <c r="C19" s="62">
        <v>9620000044</v>
      </c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</row>
    <row r="20" spans="1:34" s="81" customFormat="1" ht="15" customHeight="1" x14ac:dyDescent="0.2">
      <c r="A20" s="69">
        <v>2020</v>
      </c>
      <c r="B20" s="61" t="s">
        <v>34</v>
      </c>
      <c r="C20" s="62">
        <v>9620000056</v>
      </c>
      <c r="D20" s="56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</row>
    <row r="21" spans="1:34" s="81" customFormat="1" ht="15" customHeight="1" x14ac:dyDescent="0.2">
      <c r="A21" s="58">
        <v>2020</v>
      </c>
      <c r="B21" s="57" t="s">
        <v>36</v>
      </c>
      <c r="C21" s="58">
        <v>9620000738</v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</row>
    <row r="22" spans="1:34" s="81" customFormat="1" ht="15" customHeight="1" x14ac:dyDescent="0.2">
      <c r="A22" s="58">
        <v>2020</v>
      </c>
      <c r="B22" s="57" t="s">
        <v>38</v>
      </c>
      <c r="C22" s="58">
        <v>9620000062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</row>
    <row r="23" spans="1:34" s="81" customFormat="1" ht="15" customHeight="1" x14ac:dyDescent="0.2">
      <c r="A23" s="58">
        <v>2020</v>
      </c>
      <c r="B23" s="57" t="s">
        <v>40</v>
      </c>
      <c r="C23" s="58">
        <v>9620000063</v>
      </c>
      <c r="D23" s="58">
        <v>9620000740</v>
      </c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</row>
    <row r="24" spans="1:34" s="81" customFormat="1" ht="15" hidden="1" customHeight="1" x14ac:dyDescent="0.2">
      <c r="A24" s="58">
        <v>2017</v>
      </c>
      <c r="B24" s="57" t="s">
        <v>42</v>
      </c>
      <c r="C24" s="58">
        <v>9620000066</v>
      </c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</row>
    <row r="25" spans="1:34" s="81" customFormat="1" ht="15" customHeight="1" x14ac:dyDescent="0.2">
      <c r="A25" s="58">
        <v>2020</v>
      </c>
      <c r="B25" s="57" t="s">
        <v>43</v>
      </c>
      <c r="C25" s="58">
        <v>9620000071</v>
      </c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</row>
    <row r="26" spans="1:34" s="81" customFormat="1" ht="15" customHeight="1" x14ac:dyDescent="0.2">
      <c r="A26" s="58">
        <v>2020</v>
      </c>
      <c r="B26" s="63" t="s">
        <v>44</v>
      </c>
      <c r="C26" s="62">
        <v>9620000072</v>
      </c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</row>
    <row r="27" spans="1:34" s="81" customFormat="1" ht="15" customHeight="1" x14ac:dyDescent="0.2">
      <c r="A27" s="58">
        <v>2020</v>
      </c>
      <c r="B27" s="57" t="s">
        <v>47</v>
      </c>
      <c r="C27" s="58">
        <v>9620000075</v>
      </c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</row>
    <row r="28" spans="1:34" s="81" customFormat="1" ht="15" hidden="1" customHeight="1" x14ac:dyDescent="0.2">
      <c r="A28" s="69" t="s">
        <v>488</v>
      </c>
      <c r="B28" s="61" t="s">
        <v>48</v>
      </c>
      <c r="C28" s="62">
        <v>9620000741</v>
      </c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</row>
    <row r="29" spans="1:34" s="81" customFormat="1" ht="15" hidden="1" customHeight="1" x14ac:dyDescent="0.2">
      <c r="A29" s="58">
        <v>2018</v>
      </c>
      <c r="B29" s="57" t="s">
        <v>49</v>
      </c>
      <c r="C29" s="58">
        <v>9620000077</v>
      </c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</row>
    <row r="30" spans="1:34" s="81" customFormat="1" ht="15" hidden="1" customHeight="1" x14ac:dyDescent="0.2">
      <c r="A30" s="69" t="s">
        <v>488</v>
      </c>
      <c r="B30" s="61" t="s">
        <v>490</v>
      </c>
      <c r="C30" s="62">
        <v>9620046939</v>
      </c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</row>
    <row r="31" spans="1:34" s="81" customFormat="1" ht="15" customHeight="1" x14ac:dyDescent="0.2">
      <c r="A31" s="58">
        <v>2020</v>
      </c>
      <c r="B31" s="57" t="s">
        <v>51</v>
      </c>
      <c r="C31" s="58">
        <v>9620000078</v>
      </c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</row>
    <row r="32" spans="1:34" s="81" customFormat="1" ht="15" customHeight="1" x14ac:dyDescent="0.2">
      <c r="A32" s="76">
        <v>2020</v>
      </c>
      <c r="B32" s="63" t="s">
        <v>52</v>
      </c>
      <c r="C32" s="62">
        <v>9620000080</v>
      </c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</row>
    <row r="33" spans="1:34" s="81" customFormat="1" ht="15" customHeight="1" x14ac:dyDescent="0.2">
      <c r="A33" s="58">
        <v>2020</v>
      </c>
      <c r="B33" s="57" t="s">
        <v>53</v>
      </c>
      <c r="C33" s="58">
        <v>9620000083</v>
      </c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</row>
    <row r="34" spans="1:34" s="81" customFormat="1" ht="15" customHeight="1" x14ac:dyDescent="0.2">
      <c r="A34" s="76">
        <v>2020</v>
      </c>
      <c r="B34" s="63" t="s">
        <v>423</v>
      </c>
      <c r="C34" s="62">
        <v>9620000084</v>
      </c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</row>
    <row r="35" spans="1:34" s="81" customFormat="1" ht="15" customHeight="1" x14ac:dyDescent="0.2">
      <c r="A35" s="58">
        <v>2020</v>
      </c>
      <c r="B35" s="57" t="s">
        <v>54</v>
      </c>
      <c r="C35" s="58">
        <v>9620000086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</row>
    <row r="36" spans="1:34" s="81" customFormat="1" ht="15" customHeight="1" x14ac:dyDescent="0.2">
      <c r="A36" s="58">
        <v>2020</v>
      </c>
      <c r="B36" s="57" t="s">
        <v>55</v>
      </c>
      <c r="C36" s="58">
        <v>9620000087</v>
      </c>
      <c r="D36" s="85">
        <v>9620003326</v>
      </c>
      <c r="E36" s="58"/>
      <c r="F36" s="85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</row>
    <row r="37" spans="1:34" s="81" customFormat="1" ht="15" customHeight="1" x14ac:dyDescent="0.2">
      <c r="A37" s="58">
        <v>2020</v>
      </c>
      <c r="B37" s="57" t="s">
        <v>56</v>
      </c>
      <c r="C37" s="58">
        <v>9620000088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</row>
    <row r="38" spans="1:34" s="81" customFormat="1" ht="15" customHeight="1" x14ac:dyDescent="0.2">
      <c r="A38" s="58">
        <v>2020</v>
      </c>
      <c r="B38" s="57" t="s">
        <v>57</v>
      </c>
      <c r="C38" s="58">
        <v>9620000089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</row>
    <row r="39" spans="1:34" s="81" customFormat="1" ht="15" customHeight="1" x14ac:dyDescent="0.2">
      <c r="A39" s="58">
        <v>2020</v>
      </c>
      <c r="B39" s="57" t="s">
        <v>58</v>
      </c>
      <c r="C39" s="58">
        <v>9620000090</v>
      </c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</row>
    <row r="40" spans="1:34" s="81" customFormat="1" ht="15" customHeight="1" x14ac:dyDescent="0.2">
      <c r="A40" s="65">
        <v>2020</v>
      </c>
      <c r="B40" s="64" t="s">
        <v>433</v>
      </c>
      <c r="C40" s="65">
        <v>9620000093</v>
      </c>
      <c r="D40" s="65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</row>
    <row r="41" spans="1:34" s="81" customFormat="1" ht="15" customHeight="1" x14ac:dyDescent="0.2">
      <c r="A41" s="69">
        <v>2020</v>
      </c>
      <c r="B41" s="61" t="s">
        <v>434</v>
      </c>
      <c r="C41" s="62">
        <v>9620050081</v>
      </c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</row>
    <row r="42" spans="1:34" s="81" customFormat="1" ht="15" customHeight="1" x14ac:dyDescent="0.2">
      <c r="A42" s="58">
        <v>2020</v>
      </c>
      <c r="B42" s="66" t="s">
        <v>435</v>
      </c>
      <c r="C42" s="56">
        <v>9620000096</v>
      </c>
      <c r="D42" s="56">
        <v>9620000743</v>
      </c>
      <c r="E42" s="56">
        <v>9620000744</v>
      </c>
      <c r="F42" s="56">
        <v>9620000745</v>
      </c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</row>
    <row r="43" spans="1:34" s="81" customFormat="1" ht="15" customHeight="1" x14ac:dyDescent="0.2">
      <c r="A43" s="58">
        <v>2020</v>
      </c>
      <c r="B43" s="66" t="s">
        <v>436</v>
      </c>
      <c r="C43" s="56">
        <v>9620000097</v>
      </c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</row>
    <row r="44" spans="1:34" s="81" customFormat="1" ht="15" hidden="1" customHeight="1" x14ac:dyDescent="0.2">
      <c r="A44" s="58">
        <v>2019</v>
      </c>
      <c r="B44" s="57" t="s">
        <v>66</v>
      </c>
      <c r="C44" s="58">
        <v>9620000098</v>
      </c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</row>
    <row r="45" spans="1:34" s="81" customFormat="1" ht="15" hidden="1" customHeight="1" x14ac:dyDescent="0.2">
      <c r="A45" s="69">
        <v>2017</v>
      </c>
      <c r="B45" s="61" t="s">
        <v>67</v>
      </c>
      <c r="C45" s="62">
        <v>9620000099</v>
      </c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</row>
    <row r="46" spans="1:34" s="81" customFormat="1" ht="15" customHeight="1" x14ac:dyDescent="0.2">
      <c r="A46" s="69">
        <v>2020</v>
      </c>
      <c r="B46" s="63" t="s">
        <v>68</v>
      </c>
      <c r="C46" s="62">
        <v>9620000100</v>
      </c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</row>
    <row r="47" spans="1:34" s="81" customFormat="1" ht="15" hidden="1" customHeight="1" x14ac:dyDescent="0.2">
      <c r="A47" s="58">
        <v>2019</v>
      </c>
      <c r="B47" s="57" t="s">
        <v>71</v>
      </c>
      <c r="C47" s="58">
        <v>9620000106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</row>
    <row r="48" spans="1:34" s="81" customFormat="1" ht="15" customHeight="1" x14ac:dyDescent="0.2">
      <c r="A48" s="69">
        <v>2020</v>
      </c>
      <c r="B48" s="67" t="s">
        <v>73</v>
      </c>
      <c r="C48" s="68">
        <v>9620047084</v>
      </c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</row>
    <row r="49" spans="1:34" s="81" customFormat="1" ht="15" customHeight="1" x14ac:dyDescent="0.2">
      <c r="A49" s="69">
        <v>2020</v>
      </c>
      <c r="B49" s="67" t="s">
        <v>74</v>
      </c>
      <c r="C49" s="68">
        <v>9620000746</v>
      </c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</row>
    <row r="50" spans="1:34" s="81" customFormat="1" ht="15" hidden="1" customHeight="1" x14ac:dyDescent="0.2">
      <c r="A50" s="69" t="s">
        <v>488</v>
      </c>
      <c r="B50" s="61" t="s">
        <v>75</v>
      </c>
      <c r="C50" s="62">
        <v>9620048518</v>
      </c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</row>
    <row r="51" spans="1:34" s="81" customFormat="1" ht="15" hidden="1" customHeight="1" x14ac:dyDescent="0.2">
      <c r="A51" s="69">
        <v>2018</v>
      </c>
      <c r="B51" s="59" t="s">
        <v>76</v>
      </c>
      <c r="C51" s="60">
        <v>9620000113</v>
      </c>
      <c r="D51" s="82"/>
      <c r="E51" s="82"/>
      <c r="F51" s="82"/>
      <c r="G51" s="82"/>
      <c r="H51" s="82"/>
      <c r="I51" s="82"/>
      <c r="J51" s="82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</row>
    <row r="52" spans="1:34" s="81" customFormat="1" ht="15" hidden="1" customHeight="1" x14ac:dyDescent="0.2">
      <c r="A52" s="58">
        <v>2019</v>
      </c>
      <c r="B52" s="57" t="s">
        <v>77</v>
      </c>
      <c r="C52" s="58">
        <v>9620000115</v>
      </c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</row>
    <row r="53" spans="1:34" s="81" customFormat="1" ht="15" hidden="1" customHeight="1" x14ac:dyDescent="0.2">
      <c r="A53" s="69" t="s">
        <v>488</v>
      </c>
      <c r="B53" s="64" t="s">
        <v>491</v>
      </c>
      <c r="C53" s="72">
        <v>9620000120</v>
      </c>
      <c r="D53" s="65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</row>
    <row r="54" spans="1:34" s="81" customFormat="1" ht="15" hidden="1" customHeight="1" x14ac:dyDescent="0.2">
      <c r="A54" s="58">
        <v>2018</v>
      </c>
      <c r="B54" s="57" t="s">
        <v>80</v>
      </c>
      <c r="C54" s="58">
        <v>9620000123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</row>
    <row r="55" spans="1:34" s="81" customFormat="1" ht="15" customHeight="1" x14ac:dyDescent="0.2">
      <c r="A55" s="69">
        <v>2020</v>
      </c>
      <c r="B55" s="61" t="s">
        <v>81</v>
      </c>
      <c r="C55" s="62">
        <v>9620000124</v>
      </c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</row>
    <row r="56" spans="1:34" s="81" customFormat="1" ht="15" customHeight="1" x14ac:dyDescent="0.2">
      <c r="A56" s="58">
        <v>2020</v>
      </c>
      <c r="B56" s="57" t="s">
        <v>82</v>
      </c>
      <c r="C56" s="58">
        <v>9620000125</v>
      </c>
      <c r="D56" s="58">
        <v>9620000748</v>
      </c>
      <c r="E56" s="58">
        <v>9620000749</v>
      </c>
      <c r="F56" s="58">
        <v>9620000750</v>
      </c>
      <c r="G56" s="58">
        <v>9620000751</v>
      </c>
      <c r="H56" s="58">
        <v>9620000752</v>
      </c>
      <c r="I56" s="58">
        <v>9620000753</v>
      </c>
      <c r="J56" s="58">
        <v>9620033238</v>
      </c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</row>
    <row r="57" spans="1:34" s="81" customFormat="1" ht="15" customHeight="1" x14ac:dyDescent="0.2">
      <c r="A57" s="69">
        <v>2020</v>
      </c>
      <c r="B57" s="63" t="s">
        <v>83</v>
      </c>
      <c r="C57" s="62">
        <v>9620000127</v>
      </c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</row>
    <row r="58" spans="1:34" s="81" customFormat="1" ht="15" hidden="1" customHeight="1" x14ac:dyDescent="0.2">
      <c r="A58" s="69" t="s">
        <v>488</v>
      </c>
      <c r="B58" s="61" t="s">
        <v>86</v>
      </c>
      <c r="C58" s="62">
        <v>9620048529</v>
      </c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</row>
    <row r="59" spans="1:34" s="81" customFormat="1" ht="15" customHeight="1" x14ac:dyDescent="0.2">
      <c r="A59" s="69">
        <v>2020</v>
      </c>
      <c r="B59" s="59" t="s">
        <v>88</v>
      </c>
      <c r="C59" s="60">
        <v>9620000133</v>
      </c>
      <c r="D59" s="56"/>
      <c r="E59" s="56"/>
      <c r="F59" s="56"/>
      <c r="G59" s="56"/>
      <c r="H59" s="56"/>
      <c r="I59" s="56"/>
      <c r="J59" s="56"/>
      <c r="K59" s="56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</row>
    <row r="60" spans="1:34" s="81" customFormat="1" ht="15" hidden="1" customHeight="1" x14ac:dyDescent="0.2">
      <c r="A60" s="69">
        <v>2019</v>
      </c>
      <c r="B60" s="61" t="s">
        <v>91</v>
      </c>
      <c r="C60" s="62">
        <v>9620000137</v>
      </c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</row>
    <row r="61" spans="1:34" s="81" customFormat="1" ht="15" customHeight="1" x14ac:dyDescent="0.2">
      <c r="A61" s="58">
        <v>2020</v>
      </c>
      <c r="B61" s="57" t="s">
        <v>92</v>
      </c>
      <c r="C61" s="58">
        <v>9620000139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</row>
    <row r="62" spans="1:34" s="81" customFormat="1" ht="15" customHeight="1" x14ac:dyDescent="0.2">
      <c r="A62" s="65">
        <v>2020</v>
      </c>
      <c r="B62" s="64" t="s">
        <v>437</v>
      </c>
      <c r="C62" s="65">
        <v>9620000142</v>
      </c>
      <c r="D62" s="65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</row>
    <row r="63" spans="1:34" s="81" customFormat="1" ht="15" customHeight="1" x14ac:dyDescent="0.2">
      <c r="A63" s="58">
        <v>2020</v>
      </c>
      <c r="B63" s="57" t="s">
        <v>95</v>
      </c>
      <c r="C63" s="58">
        <v>9620000183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</row>
    <row r="64" spans="1:34" s="81" customFormat="1" ht="15" customHeight="1" x14ac:dyDescent="0.2">
      <c r="A64" s="58">
        <v>2020</v>
      </c>
      <c r="B64" s="57" t="s">
        <v>96</v>
      </c>
      <c r="C64" s="58">
        <v>9620000145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</row>
    <row r="65" spans="1:34" s="81" customFormat="1" ht="15" hidden="1" customHeight="1" x14ac:dyDescent="0.2">
      <c r="A65" s="69">
        <v>2017</v>
      </c>
      <c r="B65" s="59" t="s">
        <v>97</v>
      </c>
      <c r="C65" s="60">
        <v>9620000148</v>
      </c>
      <c r="D65" s="82"/>
      <c r="E65" s="82"/>
      <c r="F65" s="82"/>
      <c r="G65" s="82"/>
      <c r="H65" s="82"/>
      <c r="I65" s="82"/>
      <c r="J65" s="82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</row>
    <row r="66" spans="1:34" s="81" customFormat="1" ht="15" hidden="1" customHeight="1" x14ac:dyDescent="0.2">
      <c r="A66" s="69">
        <v>2017</v>
      </c>
      <c r="B66" s="59" t="s">
        <v>100</v>
      </c>
      <c r="C66" s="60">
        <v>9620000154</v>
      </c>
      <c r="D66" s="82">
        <v>9620000760</v>
      </c>
      <c r="E66" s="82"/>
      <c r="F66" s="82"/>
      <c r="G66" s="82"/>
      <c r="H66" s="82"/>
      <c r="I66" s="82"/>
      <c r="J66" s="82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</row>
    <row r="67" spans="1:34" s="81" customFormat="1" ht="15" hidden="1" customHeight="1" x14ac:dyDescent="0.2">
      <c r="A67" s="69" t="s">
        <v>488</v>
      </c>
      <c r="B67" s="57" t="s">
        <v>102</v>
      </c>
      <c r="C67" s="58">
        <v>9620000155</v>
      </c>
      <c r="D67" s="58">
        <v>9620004372</v>
      </c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</row>
    <row r="68" spans="1:34" s="81" customFormat="1" ht="15" hidden="1" customHeight="1" x14ac:dyDescent="0.2">
      <c r="A68" s="58">
        <v>2019</v>
      </c>
      <c r="B68" s="57" t="s">
        <v>103</v>
      </c>
      <c r="C68" s="58">
        <v>9620000160</v>
      </c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</row>
    <row r="69" spans="1:34" s="81" customFormat="1" ht="15" hidden="1" customHeight="1" x14ac:dyDescent="0.2">
      <c r="A69" s="69" t="s">
        <v>488</v>
      </c>
      <c r="B69" s="59" t="s">
        <v>104</v>
      </c>
      <c r="C69" s="60">
        <v>9620000161</v>
      </c>
      <c r="D69" s="82"/>
      <c r="E69" s="82"/>
      <c r="F69" s="82"/>
      <c r="G69" s="82"/>
      <c r="H69" s="82"/>
      <c r="I69" s="82"/>
      <c r="J69" s="82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</row>
    <row r="70" spans="1:34" s="81" customFormat="1" ht="15" customHeight="1" x14ac:dyDescent="0.2">
      <c r="A70" s="58">
        <v>2020</v>
      </c>
      <c r="B70" s="57" t="s">
        <v>438</v>
      </c>
      <c r="C70" s="58">
        <v>9620044379</v>
      </c>
      <c r="D70" s="58">
        <v>9620045801</v>
      </c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</row>
    <row r="71" spans="1:34" s="81" customFormat="1" ht="15" customHeight="1" x14ac:dyDescent="0.2">
      <c r="A71" s="69">
        <v>2020</v>
      </c>
      <c r="B71" s="61" t="s">
        <v>106</v>
      </c>
      <c r="C71" s="62">
        <v>9620046790</v>
      </c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</row>
    <row r="72" spans="1:34" s="81" customFormat="1" ht="15" customHeight="1" x14ac:dyDescent="0.2">
      <c r="A72" s="69">
        <v>2020</v>
      </c>
      <c r="B72" s="61" t="s">
        <v>439</v>
      </c>
      <c r="C72" s="62">
        <v>9620000762</v>
      </c>
      <c r="D72" s="62">
        <v>9620002329</v>
      </c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</row>
    <row r="73" spans="1:34" s="81" customFormat="1" ht="15" customHeight="1" x14ac:dyDescent="0.2">
      <c r="A73" s="58">
        <v>2020</v>
      </c>
      <c r="B73" s="57" t="s">
        <v>109</v>
      </c>
      <c r="C73" s="58">
        <v>9620000167</v>
      </c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</row>
    <row r="74" spans="1:34" s="81" customFormat="1" ht="15" customHeight="1" x14ac:dyDescent="0.2">
      <c r="A74" s="58">
        <v>2020</v>
      </c>
      <c r="B74" s="57" t="s">
        <v>110</v>
      </c>
      <c r="C74" s="58">
        <v>9620000168</v>
      </c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</row>
    <row r="75" spans="1:34" s="81" customFormat="1" ht="15" customHeight="1" x14ac:dyDescent="0.2">
      <c r="A75" s="69">
        <v>2020</v>
      </c>
      <c r="B75" s="61" t="s">
        <v>440</v>
      </c>
      <c r="C75" s="62">
        <v>9620000169</v>
      </c>
      <c r="D75" s="83">
        <v>9620005091</v>
      </c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</row>
    <row r="76" spans="1:34" s="81" customFormat="1" ht="15" hidden="1" customHeight="1" x14ac:dyDescent="0.2">
      <c r="A76" s="69">
        <v>2018</v>
      </c>
      <c r="B76" s="59" t="s">
        <v>111</v>
      </c>
      <c r="C76" s="60">
        <v>9620000170</v>
      </c>
      <c r="D76" s="60">
        <v>9620000895</v>
      </c>
      <c r="E76" s="56"/>
      <c r="F76" s="56"/>
      <c r="G76" s="56"/>
      <c r="H76" s="56"/>
      <c r="I76" s="56"/>
      <c r="J76" s="56"/>
      <c r="K76" s="56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</row>
    <row r="77" spans="1:34" s="81" customFormat="1" ht="15" customHeight="1" x14ac:dyDescent="0.2">
      <c r="A77" s="69">
        <v>2020</v>
      </c>
      <c r="B77" s="59" t="s">
        <v>441</v>
      </c>
      <c r="C77" s="60">
        <v>9620000172</v>
      </c>
      <c r="D77" s="56"/>
      <c r="E77" s="56"/>
      <c r="F77" s="56"/>
      <c r="G77" s="56"/>
      <c r="H77" s="56"/>
      <c r="I77" s="56"/>
      <c r="J77" s="56"/>
      <c r="K77" s="56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</row>
    <row r="78" spans="1:34" s="81" customFormat="1" ht="15" customHeight="1" x14ac:dyDescent="0.2">
      <c r="A78" s="69">
        <v>2020</v>
      </c>
      <c r="B78" s="61" t="s">
        <v>442</v>
      </c>
      <c r="C78" s="62">
        <v>9620002293</v>
      </c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</row>
    <row r="79" spans="1:34" s="81" customFormat="1" ht="15" hidden="1" customHeight="1" x14ac:dyDescent="0.2">
      <c r="A79" s="69">
        <v>2019</v>
      </c>
      <c r="B79" s="61" t="s">
        <v>112</v>
      </c>
      <c r="C79" s="62">
        <v>9620000173</v>
      </c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</row>
    <row r="80" spans="1:34" s="81" customFormat="1" ht="15" customHeight="1" x14ac:dyDescent="0.2">
      <c r="A80" s="58">
        <v>2020</v>
      </c>
      <c r="B80" s="57" t="s">
        <v>113</v>
      </c>
      <c r="C80" s="58">
        <v>9620000174</v>
      </c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</row>
    <row r="81" spans="1:34" s="81" customFormat="1" ht="15" customHeight="1" x14ac:dyDescent="0.2">
      <c r="A81" s="58">
        <v>2020</v>
      </c>
      <c r="B81" s="66" t="s">
        <v>443</v>
      </c>
      <c r="C81" s="56">
        <v>9620000176</v>
      </c>
      <c r="D81" s="56">
        <v>9620011299</v>
      </c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</row>
    <row r="82" spans="1:34" s="81" customFormat="1" ht="15" customHeight="1" x14ac:dyDescent="0.2">
      <c r="A82" s="69">
        <v>2020</v>
      </c>
      <c r="B82" s="61" t="s">
        <v>115</v>
      </c>
      <c r="C82" s="62">
        <v>9620000182</v>
      </c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</row>
    <row r="83" spans="1:34" s="81" customFormat="1" ht="15" customHeight="1" x14ac:dyDescent="0.2">
      <c r="A83" s="58">
        <v>2020</v>
      </c>
      <c r="B83" s="57" t="s">
        <v>118</v>
      </c>
      <c r="C83" s="58">
        <v>9620000764</v>
      </c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</row>
    <row r="84" spans="1:34" s="81" customFormat="1" ht="15" customHeight="1" x14ac:dyDescent="0.2">
      <c r="A84" s="69">
        <v>2020</v>
      </c>
      <c r="B84" s="61" t="s">
        <v>119</v>
      </c>
      <c r="C84" s="62">
        <v>9620000185</v>
      </c>
      <c r="D84" s="68">
        <v>9620000765</v>
      </c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</row>
    <row r="85" spans="1:34" s="81" customFormat="1" ht="15" customHeight="1" x14ac:dyDescent="0.2">
      <c r="A85" s="69">
        <v>2020</v>
      </c>
      <c r="B85" s="61" t="s">
        <v>120</v>
      </c>
      <c r="C85" s="62">
        <v>9620000186</v>
      </c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</row>
    <row r="86" spans="1:34" s="81" customFormat="1" ht="15" customHeight="1" x14ac:dyDescent="0.2">
      <c r="A86" s="69">
        <v>2020</v>
      </c>
      <c r="B86" s="59" t="s">
        <v>444</v>
      </c>
      <c r="C86" s="60">
        <v>9620000192</v>
      </c>
      <c r="D86" s="56"/>
      <c r="E86" s="56"/>
      <c r="F86" s="56"/>
      <c r="G86" s="56"/>
      <c r="H86" s="56"/>
      <c r="I86" s="56"/>
      <c r="J86" s="56"/>
      <c r="K86" s="56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</row>
    <row r="87" spans="1:34" s="81" customFormat="1" ht="15" hidden="1" customHeight="1" x14ac:dyDescent="0.2">
      <c r="A87" s="58">
        <v>2018</v>
      </c>
      <c r="B87" s="57" t="s">
        <v>122</v>
      </c>
      <c r="C87" s="58">
        <v>9620000194</v>
      </c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</row>
    <row r="88" spans="1:34" s="81" customFormat="1" ht="15" hidden="1" customHeight="1" x14ac:dyDescent="0.2">
      <c r="A88" s="69">
        <v>2018</v>
      </c>
      <c r="B88" s="59" t="s">
        <v>123</v>
      </c>
      <c r="C88" s="60">
        <v>9620000767</v>
      </c>
      <c r="D88" s="56"/>
      <c r="E88" s="56"/>
      <c r="F88" s="56"/>
      <c r="G88" s="56"/>
      <c r="H88" s="56"/>
      <c r="I88" s="56"/>
      <c r="J88" s="56"/>
      <c r="K88" s="56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</row>
    <row r="89" spans="1:34" s="81" customFormat="1" ht="15" hidden="1" customHeight="1" x14ac:dyDescent="0.2">
      <c r="A89" s="69" t="s">
        <v>488</v>
      </c>
      <c r="B89" s="59" t="s">
        <v>125</v>
      </c>
      <c r="C89" s="60">
        <v>9620000206</v>
      </c>
      <c r="D89" s="82"/>
      <c r="E89" s="82"/>
      <c r="F89" s="82"/>
      <c r="G89" s="82"/>
      <c r="H89" s="82"/>
      <c r="I89" s="82"/>
      <c r="J89" s="82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</row>
    <row r="90" spans="1:34" s="81" customFormat="1" ht="15" customHeight="1" x14ac:dyDescent="0.2">
      <c r="A90" s="69">
        <v>2020</v>
      </c>
      <c r="B90" s="59" t="s">
        <v>445</v>
      </c>
      <c r="C90" s="60">
        <v>9620000208</v>
      </c>
      <c r="D90" s="56"/>
      <c r="E90" s="56"/>
      <c r="F90" s="56"/>
      <c r="G90" s="56"/>
      <c r="H90" s="56"/>
      <c r="I90" s="56"/>
      <c r="J90" s="56"/>
      <c r="K90" s="56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</row>
    <row r="91" spans="1:34" s="81" customFormat="1" ht="15" customHeight="1" x14ac:dyDescent="0.2">
      <c r="A91" s="69">
        <v>2020</v>
      </c>
      <c r="B91" s="61" t="s">
        <v>126</v>
      </c>
      <c r="C91" s="62">
        <v>9620000209</v>
      </c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</row>
    <row r="92" spans="1:34" s="81" customFormat="1" ht="15" hidden="1" customHeight="1" x14ac:dyDescent="0.2">
      <c r="A92" s="69" t="s">
        <v>488</v>
      </c>
      <c r="B92" s="61" t="s">
        <v>127</v>
      </c>
      <c r="C92" s="62">
        <v>9620000768</v>
      </c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</row>
    <row r="93" spans="1:34" s="81" customFormat="1" ht="15" hidden="1" customHeight="1" x14ac:dyDescent="0.2">
      <c r="A93" s="69">
        <v>2019</v>
      </c>
      <c r="B93" s="61" t="s">
        <v>492</v>
      </c>
      <c r="C93" s="62">
        <v>9620000769</v>
      </c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</row>
    <row r="94" spans="1:34" s="81" customFormat="1" ht="15" customHeight="1" x14ac:dyDescent="0.2">
      <c r="A94" s="58">
        <v>2020</v>
      </c>
      <c r="B94" s="57" t="s">
        <v>129</v>
      </c>
      <c r="C94" s="58">
        <v>9620000218</v>
      </c>
      <c r="D94" s="58">
        <v>9620000770</v>
      </c>
      <c r="E94" s="58">
        <v>9620000771</v>
      </c>
      <c r="F94" s="58">
        <v>9620000772</v>
      </c>
      <c r="G94" s="58">
        <v>9620000773</v>
      </c>
      <c r="H94" s="58">
        <v>9620000774</v>
      </c>
      <c r="I94" s="58">
        <v>9620000775</v>
      </c>
      <c r="J94" s="58">
        <v>9620000776</v>
      </c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</row>
    <row r="95" spans="1:34" s="81" customFormat="1" ht="15" customHeight="1" x14ac:dyDescent="0.2">
      <c r="A95" s="58">
        <v>2020</v>
      </c>
      <c r="B95" s="57" t="s">
        <v>421</v>
      </c>
      <c r="C95" s="58">
        <v>9620035814</v>
      </c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</row>
    <row r="96" spans="1:34" s="81" customFormat="1" ht="15" customHeight="1" x14ac:dyDescent="0.2">
      <c r="A96" s="69">
        <v>2020</v>
      </c>
      <c r="B96" s="59" t="s">
        <v>446</v>
      </c>
      <c r="C96" s="60">
        <v>9620000224</v>
      </c>
      <c r="D96" s="56"/>
      <c r="E96" s="56"/>
      <c r="F96" s="56"/>
      <c r="G96" s="56"/>
      <c r="H96" s="56"/>
      <c r="I96" s="56"/>
      <c r="J96" s="56"/>
      <c r="K96" s="56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</row>
    <row r="97" spans="1:34" s="81" customFormat="1" ht="15" hidden="1" customHeight="1" x14ac:dyDescent="0.2">
      <c r="A97" s="69">
        <v>2019</v>
      </c>
      <c r="B97" s="61" t="s">
        <v>133</v>
      </c>
      <c r="C97" s="62">
        <v>9620000227</v>
      </c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</row>
    <row r="98" spans="1:34" s="81" customFormat="1" ht="15" hidden="1" customHeight="1" x14ac:dyDescent="0.2">
      <c r="A98" s="69">
        <v>2019</v>
      </c>
      <c r="B98" s="63" t="s">
        <v>137</v>
      </c>
      <c r="C98" s="62">
        <v>9620046925</v>
      </c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</row>
    <row r="99" spans="1:34" s="81" customFormat="1" ht="15" hidden="1" customHeight="1" x14ac:dyDescent="0.2">
      <c r="A99" s="69">
        <v>2018</v>
      </c>
      <c r="B99" s="67" t="s">
        <v>139</v>
      </c>
      <c r="C99" s="68">
        <v>9620000231</v>
      </c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</row>
    <row r="100" spans="1:34" s="81" customFormat="1" ht="15" customHeight="1" x14ac:dyDescent="0.2">
      <c r="A100" s="69">
        <v>2020</v>
      </c>
      <c r="B100" s="61" t="s">
        <v>140</v>
      </c>
      <c r="C100" s="62">
        <v>9620045927</v>
      </c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</row>
    <row r="101" spans="1:34" s="81" customFormat="1" ht="15" customHeight="1" x14ac:dyDescent="0.2">
      <c r="A101" s="69">
        <v>2020</v>
      </c>
      <c r="B101" s="59" t="s">
        <v>141</v>
      </c>
      <c r="C101" s="60">
        <v>9620000233</v>
      </c>
      <c r="D101" s="56"/>
      <c r="E101" s="82"/>
      <c r="F101" s="82"/>
      <c r="G101" s="82"/>
      <c r="H101" s="82"/>
      <c r="I101" s="82"/>
      <c r="J101" s="82"/>
      <c r="K101" s="82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</row>
    <row r="102" spans="1:34" s="81" customFormat="1" ht="15" hidden="1" customHeight="1" x14ac:dyDescent="0.2">
      <c r="A102" s="65">
        <v>2018</v>
      </c>
      <c r="B102" s="71" t="s">
        <v>144</v>
      </c>
      <c r="C102" s="72">
        <v>9620000239</v>
      </c>
      <c r="D102" s="65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</row>
    <row r="103" spans="1:34" s="68" customFormat="1" ht="15" hidden="1" customHeight="1" x14ac:dyDescent="0.25">
      <c r="A103" s="69">
        <v>2018</v>
      </c>
      <c r="B103" s="61" t="s">
        <v>147</v>
      </c>
      <c r="C103" s="62">
        <v>9620000245</v>
      </c>
    </row>
    <row r="104" spans="1:34" s="68" customFormat="1" ht="15" hidden="1" customHeight="1" x14ac:dyDescent="0.2">
      <c r="A104" s="58">
        <v>2019</v>
      </c>
      <c r="B104" s="57" t="s">
        <v>151</v>
      </c>
      <c r="C104" s="58">
        <v>9620000246</v>
      </c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</row>
    <row r="105" spans="1:34" s="68" customFormat="1" ht="15" customHeight="1" x14ac:dyDescent="0.2">
      <c r="A105" s="58">
        <v>2020</v>
      </c>
      <c r="B105" s="57" t="s">
        <v>154</v>
      </c>
      <c r="C105" s="58">
        <v>9620000254</v>
      </c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</row>
    <row r="106" spans="1:34" s="68" customFormat="1" ht="15" customHeight="1" x14ac:dyDescent="0.25">
      <c r="A106" s="69">
        <v>2020</v>
      </c>
      <c r="B106" s="61" t="s">
        <v>155</v>
      </c>
      <c r="C106" s="62">
        <v>9620000256</v>
      </c>
    </row>
    <row r="107" spans="1:34" s="68" customFormat="1" ht="15" customHeight="1" x14ac:dyDescent="0.2">
      <c r="A107" s="69">
        <v>2020</v>
      </c>
      <c r="B107" s="61" t="s">
        <v>156</v>
      </c>
      <c r="C107" s="62">
        <v>9620000794</v>
      </c>
      <c r="W107" s="81"/>
      <c r="X107" s="81"/>
      <c r="Y107" s="81"/>
      <c r="Z107" s="81"/>
      <c r="AA107" s="81"/>
      <c r="AB107" s="81"/>
      <c r="AC107" s="81"/>
      <c r="AD107" s="81"/>
      <c r="AE107" s="81"/>
      <c r="AF107" s="81"/>
      <c r="AG107" s="81"/>
      <c r="AH107" s="81"/>
    </row>
    <row r="108" spans="1:34" s="68" customFormat="1" ht="15" customHeight="1" x14ac:dyDescent="0.2">
      <c r="A108" s="69">
        <v>2020</v>
      </c>
      <c r="B108" s="59" t="s">
        <v>447</v>
      </c>
      <c r="C108" s="60">
        <v>9620000258</v>
      </c>
      <c r="D108" s="82"/>
      <c r="E108" s="82"/>
      <c r="F108" s="82"/>
      <c r="G108" s="82"/>
      <c r="H108" s="82"/>
      <c r="I108" s="82"/>
      <c r="J108" s="82"/>
    </row>
    <row r="109" spans="1:34" s="68" customFormat="1" ht="15" hidden="1" customHeight="1" x14ac:dyDescent="0.2">
      <c r="A109" s="69">
        <v>2019</v>
      </c>
      <c r="B109" s="61" t="s">
        <v>158</v>
      </c>
      <c r="C109" s="62">
        <v>9620000259</v>
      </c>
      <c r="W109" s="81"/>
      <c r="X109" s="81"/>
      <c r="Y109" s="81"/>
      <c r="Z109" s="81"/>
      <c r="AA109" s="81"/>
      <c r="AB109" s="81"/>
      <c r="AC109" s="81"/>
      <c r="AD109" s="81"/>
      <c r="AE109" s="81"/>
      <c r="AF109" s="81"/>
      <c r="AG109" s="81"/>
      <c r="AH109" s="81"/>
    </row>
    <row r="110" spans="1:34" s="68" customFormat="1" ht="15" hidden="1" customHeight="1" x14ac:dyDescent="0.2">
      <c r="A110" s="69">
        <v>2019</v>
      </c>
      <c r="B110" s="59" t="s">
        <v>159</v>
      </c>
      <c r="C110" s="60">
        <v>9620000260</v>
      </c>
      <c r="D110" s="60"/>
      <c r="E110" s="82"/>
      <c r="F110" s="82"/>
      <c r="G110" s="82"/>
      <c r="H110" s="82"/>
      <c r="I110" s="82"/>
      <c r="J110" s="82"/>
      <c r="K110" s="82"/>
    </row>
    <row r="111" spans="1:34" s="68" customFormat="1" ht="15" hidden="1" customHeight="1" x14ac:dyDescent="0.2">
      <c r="A111" s="69">
        <v>2017</v>
      </c>
      <c r="B111" s="61" t="s">
        <v>493</v>
      </c>
      <c r="C111" s="62">
        <v>9620000261</v>
      </c>
      <c r="W111" s="81"/>
      <c r="X111" s="81"/>
      <c r="Y111" s="81"/>
      <c r="Z111" s="81"/>
      <c r="AA111" s="81"/>
      <c r="AB111" s="81"/>
      <c r="AC111" s="81"/>
      <c r="AD111" s="81"/>
      <c r="AE111" s="81"/>
      <c r="AF111" s="81"/>
      <c r="AG111" s="81"/>
      <c r="AH111" s="81"/>
    </row>
    <row r="112" spans="1:34" s="68" customFormat="1" ht="15" customHeight="1" x14ac:dyDescent="0.2">
      <c r="A112" s="58">
        <v>2020</v>
      </c>
      <c r="B112" s="67" t="s">
        <v>161</v>
      </c>
      <c r="C112" s="69">
        <v>9620000262</v>
      </c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81"/>
      <c r="X112" s="81"/>
      <c r="Y112" s="81"/>
      <c r="Z112" s="81"/>
      <c r="AA112" s="81"/>
      <c r="AB112" s="81"/>
      <c r="AC112" s="81"/>
      <c r="AD112" s="81"/>
      <c r="AE112" s="81"/>
      <c r="AF112" s="81"/>
      <c r="AG112" s="81"/>
      <c r="AH112" s="81"/>
    </row>
    <row r="113" spans="1:34" s="68" customFormat="1" ht="15" customHeight="1" x14ac:dyDescent="0.2">
      <c r="A113" s="69">
        <v>2020</v>
      </c>
      <c r="B113" s="63" t="s">
        <v>162</v>
      </c>
      <c r="C113" s="62">
        <v>9620000263</v>
      </c>
      <c r="D113" s="62">
        <v>9620054093</v>
      </c>
      <c r="E113" s="62">
        <v>9620054090</v>
      </c>
      <c r="F113" s="62">
        <v>9620054091</v>
      </c>
      <c r="G113" s="62">
        <v>9620054092</v>
      </c>
      <c r="H113" s="62">
        <v>9620000280</v>
      </c>
    </row>
    <row r="114" spans="1:34" s="68" customFormat="1" ht="15" customHeight="1" x14ac:dyDescent="0.2">
      <c r="A114" s="58">
        <v>2020</v>
      </c>
      <c r="B114" s="57" t="s">
        <v>163</v>
      </c>
      <c r="C114" s="58">
        <v>9620000264</v>
      </c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</row>
    <row r="115" spans="1:34" s="68" customFormat="1" ht="15" customHeight="1" x14ac:dyDescent="0.2">
      <c r="A115" s="69">
        <v>2020</v>
      </c>
      <c r="B115" s="63" t="s">
        <v>165</v>
      </c>
      <c r="C115" s="62">
        <v>9620000265</v>
      </c>
      <c r="D115" s="62">
        <v>9620000795</v>
      </c>
      <c r="E115" s="62">
        <v>9620054094</v>
      </c>
      <c r="F115" s="62">
        <v>9620054095</v>
      </c>
    </row>
    <row r="116" spans="1:34" s="68" customFormat="1" ht="15" customHeight="1" x14ac:dyDescent="0.2">
      <c r="A116" s="58">
        <v>2020</v>
      </c>
      <c r="B116" s="57" t="s">
        <v>167</v>
      </c>
      <c r="C116" s="58">
        <v>9620000268</v>
      </c>
      <c r="D116" s="58">
        <v>9620000267</v>
      </c>
      <c r="E116" s="58">
        <v>9620054084</v>
      </c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</row>
    <row r="117" spans="1:34" s="68" customFormat="1" ht="15" customHeight="1" x14ac:dyDescent="0.2">
      <c r="A117" s="58">
        <v>2020</v>
      </c>
      <c r="B117" s="57" t="s">
        <v>448</v>
      </c>
      <c r="C117" s="58">
        <v>9620000269</v>
      </c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81"/>
      <c r="X117" s="81"/>
      <c r="Y117" s="81"/>
      <c r="Z117" s="81"/>
      <c r="AA117" s="81"/>
      <c r="AB117" s="81"/>
      <c r="AC117" s="81"/>
      <c r="AD117" s="81"/>
      <c r="AE117" s="81"/>
      <c r="AF117" s="81"/>
      <c r="AG117" s="81"/>
      <c r="AH117" s="81"/>
    </row>
    <row r="118" spans="1:34" s="68" customFormat="1" ht="15" customHeight="1" x14ac:dyDescent="0.2">
      <c r="A118" s="69">
        <v>2020</v>
      </c>
      <c r="B118" s="61" t="s">
        <v>168</v>
      </c>
      <c r="C118" s="62">
        <v>9620000270</v>
      </c>
      <c r="D118" s="68">
        <v>9620000796</v>
      </c>
      <c r="E118" s="68">
        <v>9620000797</v>
      </c>
      <c r="W118" s="81"/>
      <c r="X118" s="81"/>
      <c r="Y118" s="81"/>
      <c r="Z118" s="81"/>
      <c r="AA118" s="81"/>
      <c r="AB118" s="81"/>
      <c r="AC118" s="81"/>
      <c r="AD118" s="81"/>
      <c r="AE118" s="81"/>
      <c r="AF118" s="81"/>
      <c r="AG118" s="81"/>
      <c r="AH118" s="81"/>
    </row>
    <row r="119" spans="1:34" s="68" customFormat="1" ht="15" customHeight="1" x14ac:dyDescent="0.2">
      <c r="A119" s="69">
        <v>2020</v>
      </c>
      <c r="B119" s="63" t="s">
        <v>171</v>
      </c>
      <c r="C119" s="62">
        <v>9620000278</v>
      </c>
      <c r="W119" s="81"/>
      <c r="X119" s="81"/>
      <c r="Y119" s="81"/>
      <c r="Z119" s="81"/>
      <c r="AA119" s="81"/>
      <c r="AB119" s="81"/>
      <c r="AC119" s="81"/>
      <c r="AD119" s="81"/>
      <c r="AE119" s="81"/>
      <c r="AF119" s="81"/>
      <c r="AG119" s="81"/>
      <c r="AH119" s="81"/>
    </row>
    <row r="120" spans="1:34" s="68" customFormat="1" ht="15" customHeight="1" x14ac:dyDescent="0.25">
      <c r="A120" s="69">
        <v>2020</v>
      </c>
      <c r="B120" s="61" t="s">
        <v>449</v>
      </c>
      <c r="C120" s="62">
        <v>9620000279</v>
      </c>
    </row>
    <row r="121" spans="1:34" s="68" customFormat="1" ht="15" customHeight="1" x14ac:dyDescent="0.2">
      <c r="A121" s="76">
        <v>2020</v>
      </c>
      <c r="B121" s="70" t="s">
        <v>173</v>
      </c>
      <c r="C121" s="62">
        <v>9620000277</v>
      </c>
      <c r="D121" s="84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</row>
    <row r="122" spans="1:34" s="68" customFormat="1" ht="15" hidden="1" customHeight="1" x14ac:dyDescent="0.2">
      <c r="A122" s="58">
        <v>2017</v>
      </c>
      <c r="B122" s="57" t="s">
        <v>174</v>
      </c>
      <c r="C122" s="58">
        <v>9620000284</v>
      </c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81"/>
      <c r="X122" s="81"/>
      <c r="Y122" s="81"/>
      <c r="Z122" s="81"/>
      <c r="AA122" s="81"/>
      <c r="AB122" s="81"/>
      <c r="AC122" s="81"/>
      <c r="AD122" s="81"/>
      <c r="AE122" s="81"/>
      <c r="AF122" s="81"/>
      <c r="AG122" s="81"/>
      <c r="AH122" s="81"/>
    </row>
    <row r="123" spans="1:34" s="68" customFormat="1" ht="15" hidden="1" customHeight="1" x14ac:dyDescent="0.2">
      <c r="A123" s="58">
        <v>2018</v>
      </c>
      <c r="B123" s="57" t="s">
        <v>176</v>
      </c>
      <c r="C123" s="58">
        <v>9620000276</v>
      </c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</row>
    <row r="124" spans="1:34" s="68" customFormat="1" ht="15" customHeight="1" x14ac:dyDescent="0.2">
      <c r="A124" s="58">
        <v>2020</v>
      </c>
      <c r="B124" s="57" t="s">
        <v>178</v>
      </c>
      <c r="C124" s="58">
        <v>9620000294</v>
      </c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81"/>
      <c r="X124" s="81"/>
      <c r="Y124" s="81"/>
      <c r="Z124" s="81"/>
      <c r="AA124" s="81"/>
      <c r="AB124" s="81"/>
      <c r="AC124" s="81"/>
      <c r="AD124" s="81"/>
      <c r="AE124" s="81"/>
      <c r="AF124" s="81"/>
      <c r="AG124" s="81"/>
      <c r="AH124" s="81"/>
    </row>
    <row r="125" spans="1:34" s="68" customFormat="1" ht="15" customHeight="1" x14ac:dyDescent="0.2">
      <c r="A125" s="65">
        <v>2020</v>
      </c>
      <c r="B125" s="71" t="s">
        <v>450</v>
      </c>
      <c r="C125" s="72">
        <v>9620000803</v>
      </c>
      <c r="D125" s="65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</row>
    <row r="126" spans="1:34" s="68" customFormat="1" ht="15" customHeight="1" x14ac:dyDescent="0.2">
      <c r="A126" s="69">
        <v>2020</v>
      </c>
      <c r="B126" s="59" t="s">
        <v>181</v>
      </c>
      <c r="C126" s="60">
        <v>9620000300</v>
      </c>
      <c r="D126" s="82"/>
      <c r="E126" s="82"/>
      <c r="F126" s="82"/>
      <c r="G126" s="82"/>
      <c r="H126" s="82"/>
      <c r="I126" s="82"/>
      <c r="J126" s="82"/>
    </row>
    <row r="127" spans="1:34" s="68" customFormat="1" ht="15" customHeight="1" x14ac:dyDescent="0.25">
      <c r="A127" s="69">
        <v>2020</v>
      </c>
      <c r="B127" s="61" t="s">
        <v>182</v>
      </c>
      <c r="C127" s="62">
        <v>9620000307</v>
      </c>
    </row>
    <row r="128" spans="1:34" s="68" customFormat="1" ht="15" customHeight="1" x14ac:dyDescent="0.2">
      <c r="A128" s="58">
        <v>2020</v>
      </c>
      <c r="B128" s="57" t="s">
        <v>183</v>
      </c>
      <c r="C128" s="58">
        <v>9620000308</v>
      </c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</row>
    <row r="129" spans="1:34" s="68" customFormat="1" ht="15" customHeight="1" x14ac:dyDescent="0.2">
      <c r="A129" s="65">
        <v>2020</v>
      </c>
      <c r="B129" s="64" t="s">
        <v>451</v>
      </c>
      <c r="C129" s="65">
        <v>9620000315</v>
      </c>
      <c r="D129" s="65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</row>
    <row r="130" spans="1:34" s="68" customFormat="1" ht="15" customHeight="1" x14ac:dyDescent="0.2">
      <c r="A130" s="76">
        <v>2020</v>
      </c>
      <c r="B130" s="70" t="s">
        <v>189</v>
      </c>
      <c r="C130" s="62">
        <v>9620000316</v>
      </c>
      <c r="D130" s="84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</row>
    <row r="131" spans="1:34" s="68" customFormat="1" ht="15" hidden="1" customHeight="1" x14ac:dyDescent="0.2">
      <c r="A131" s="58">
        <v>2019</v>
      </c>
      <c r="B131" s="57" t="s">
        <v>191</v>
      </c>
      <c r="C131" s="58">
        <v>9620000317</v>
      </c>
      <c r="D131" s="58">
        <v>9620000805</v>
      </c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</row>
    <row r="132" spans="1:34" s="68" customFormat="1" ht="15" customHeight="1" x14ac:dyDescent="0.25">
      <c r="A132" s="69">
        <v>2020</v>
      </c>
      <c r="B132" s="61" t="s">
        <v>193</v>
      </c>
      <c r="C132" s="62">
        <v>9620000323</v>
      </c>
    </row>
    <row r="133" spans="1:34" s="68" customFormat="1" ht="15" customHeight="1" x14ac:dyDescent="0.2">
      <c r="A133" s="69">
        <v>2020</v>
      </c>
      <c r="B133" s="61" t="s">
        <v>420</v>
      </c>
      <c r="C133" s="62">
        <v>9620000324</v>
      </c>
      <c r="W133" s="81"/>
      <c r="X133" s="81"/>
      <c r="Y133" s="81"/>
      <c r="Z133" s="81"/>
      <c r="AA133" s="81"/>
      <c r="AB133" s="81"/>
      <c r="AC133" s="81"/>
      <c r="AD133" s="81"/>
      <c r="AE133" s="81"/>
      <c r="AF133" s="81"/>
      <c r="AG133" s="81"/>
      <c r="AH133" s="81"/>
    </row>
    <row r="134" spans="1:34" s="68" customFormat="1" ht="15" customHeight="1" x14ac:dyDescent="0.25">
      <c r="A134" s="69">
        <v>2020</v>
      </c>
      <c r="B134" s="61" t="s">
        <v>194</v>
      </c>
      <c r="C134" s="62">
        <v>9620000326</v>
      </c>
    </row>
    <row r="135" spans="1:34" s="68" customFormat="1" ht="15" hidden="1" customHeight="1" x14ac:dyDescent="0.2">
      <c r="A135" s="69">
        <v>2019</v>
      </c>
      <c r="B135" s="59" t="s">
        <v>195</v>
      </c>
      <c r="C135" s="60">
        <v>9620000327</v>
      </c>
      <c r="D135" s="56"/>
      <c r="E135" s="82"/>
      <c r="F135" s="82"/>
      <c r="G135" s="82"/>
      <c r="H135" s="82"/>
      <c r="I135" s="82"/>
      <c r="J135" s="82"/>
      <c r="K135" s="82"/>
    </row>
    <row r="136" spans="1:34" s="68" customFormat="1" ht="15" hidden="1" customHeight="1" x14ac:dyDescent="0.2">
      <c r="A136" s="69">
        <v>2018</v>
      </c>
      <c r="B136" s="59" t="s">
        <v>196</v>
      </c>
      <c r="C136" s="60">
        <v>9620000328</v>
      </c>
      <c r="D136" s="82">
        <v>9620000806</v>
      </c>
      <c r="E136" s="82"/>
      <c r="F136" s="82"/>
      <c r="G136" s="82"/>
      <c r="H136" s="82"/>
      <c r="I136" s="82"/>
      <c r="J136" s="82"/>
      <c r="W136" s="81"/>
      <c r="X136" s="81"/>
      <c r="Y136" s="81"/>
      <c r="Z136" s="81"/>
      <c r="AA136" s="81"/>
      <c r="AB136" s="81"/>
      <c r="AC136" s="81"/>
      <c r="AD136" s="81"/>
      <c r="AE136" s="81"/>
      <c r="AF136" s="81"/>
      <c r="AG136" s="81"/>
      <c r="AH136" s="81"/>
    </row>
    <row r="137" spans="1:34" s="68" customFormat="1" ht="15" customHeight="1" x14ac:dyDescent="0.25">
      <c r="A137" s="69">
        <v>2020</v>
      </c>
      <c r="B137" s="61" t="s">
        <v>452</v>
      </c>
      <c r="C137" s="62">
        <v>9620048519</v>
      </c>
    </row>
    <row r="138" spans="1:34" s="68" customFormat="1" ht="15" customHeight="1" x14ac:dyDescent="0.2">
      <c r="A138" s="76">
        <v>2020</v>
      </c>
      <c r="B138" s="64" t="s">
        <v>198</v>
      </c>
      <c r="C138" s="65">
        <v>9620000329</v>
      </c>
      <c r="D138" s="84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</row>
    <row r="139" spans="1:34" s="68" customFormat="1" ht="15" customHeight="1" x14ac:dyDescent="0.25">
      <c r="A139" s="69">
        <v>2020</v>
      </c>
      <c r="B139" s="61" t="s">
        <v>199</v>
      </c>
      <c r="C139" s="62">
        <v>9620048811</v>
      </c>
    </row>
    <row r="140" spans="1:34" s="68" customFormat="1" ht="15" customHeight="1" x14ac:dyDescent="0.2">
      <c r="A140" s="58">
        <v>2020</v>
      </c>
      <c r="B140" s="57" t="s">
        <v>201</v>
      </c>
      <c r="C140" s="58">
        <v>9620000331</v>
      </c>
      <c r="D140" s="58">
        <v>9620000807</v>
      </c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</row>
    <row r="141" spans="1:34" s="68" customFormat="1" ht="15" hidden="1" customHeight="1" x14ac:dyDescent="0.25">
      <c r="A141" s="69">
        <v>2019</v>
      </c>
      <c r="B141" s="61" t="s">
        <v>202</v>
      </c>
      <c r="C141" s="62">
        <v>9620000334</v>
      </c>
    </row>
    <row r="142" spans="1:34" s="68" customFormat="1" ht="15" hidden="1" customHeight="1" x14ac:dyDescent="0.25">
      <c r="A142" s="69">
        <v>2019</v>
      </c>
      <c r="B142" s="61" t="s">
        <v>494</v>
      </c>
      <c r="C142" s="62">
        <v>9620000336</v>
      </c>
    </row>
    <row r="143" spans="1:34" s="68" customFormat="1" ht="15" customHeight="1" x14ac:dyDescent="0.2">
      <c r="A143" s="58">
        <v>2020</v>
      </c>
      <c r="B143" s="57" t="s">
        <v>206</v>
      </c>
      <c r="C143" s="58">
        <v>9620000339</v>
      </c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</row>
    <row r="144" spans="1:34" s="68" customFormat="1" ht="15" customHeight="1" x14ac:dyDescent="0.2">
      <c r="A144" s="69">
        <v>2020</v>
      </c>
      <c r="B144" s="59" t="s">
        <v>207</v>
      </c>
      <c r="C144" s="60">
        <v>9620000340</v>
      </c>
      <c r="D144" s="60">
        <v>9620000810</v>
      </c>
      <c r="E144" s="60">
        <v>9620000811</v>
      </c>
      <c r="F144" s="60">
        <v>9620000812</v>
      </c>
      <c r="G144" s="60">
        <v>9620000814</v>
      </c>
      <c r="H144" s="60">
        <v>9620000815</v>
      </c>
      <c r="I144" s="60">
        <v>9620000816</v>
      </c>
      <c r="J144" s="60">
        <v>9620000809</v>
      </c>
      <c r="K144" s="60">
        <v>9620000817</v>
      </c>
      <c r="L144" s="68">
        <v>9620000813</v>
      </c>
    </row>
    <row r="145" spans="1:34" s="68" customFormat="1" ht="15" hidden="1" customHeight="1" x14ac:dyDescent="0.2">
      <c r="A145" s="69" t="s">
        <v>488</v>
      </c>
      <c r="B145" s="61" t="s">
        <v>210</v>
      </c>
      <c r="C145" s="62">
        <v>9620000344</v>
      </c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</row>
    <row r="146" spans="1:34" s="68" customFormat="1" ht="15" customHeight="1" x14ac:dyDescent="0.25">
      <c r="A146" s="69">
        <v>2020</v>
      </c>
      <c r="B146" s="61" t="s">
        <v>211</v>
      </c>
      <c r="C146" s="62">
        <v>9620000345</v>
      </c>
    </row>
    <row r="147" spans="1:34" s="68" customFormat="1" ht="15" customHeight="1" x14ac:dyDescent="0.25">
      <c r="A147" s="69">
        <v>2020</v>
      </c>
      <c r="B147" s="61" t="s">
        <v>453</v>
      </c>
      <c r="C147" s="62">
        <v>9620000349</v>
      </c>
    </row>
    <row r="148" spans="1:34" s="68" customFormat="1" ht="15" hidden="1" customHeight="1" x14ac:dyDescent="0.2">
      <c r="A148" s="69">
        <v>2019</v>
      </c>
      <c r="B148" s="59" t="s">
        <v>213</v>
      </c>
      <c r="C148" s="60">
        <v>9620000351</v>
      </c>
      <c r="D148" s="56"/>
      <c r="E148" s="82"/>
      <c r="F148" s="82"/>
      <c r="G148" s="82"/>
      <c r="H148" s="82"/>
      <c r="I148" s="82"/>
      <c r="J148" s="82"/>
      <c r="K148" s="82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</row>
    <row r="149" spans="1:34" s="68" customFormat="1" ht="15" customHeight="1" x14ac:dyDescent="0.2">
      <c r="A149" s="69">
        <v>2020</v>
      </c>
      <c r="B149" s="61" t="s">
        <v>214</v>
      </c>
      <c r="C149" s="62">
        <v>9620000352</v>
      </c>
      <c r="D149" s="68">
        <v>9620000818</v>
      </c>
      <c r="W149" s="81"/>
      <c r="X149" s="81"/>
      <c r="Y149" s="81"/>
      <c r="Z149" s="81"/>
      <c r="AA149" s="81"/>
      <c r="AB149" s="81"/>
      <c r="AC149" s="81"/>
      <c r="AD149" s="81"/>
      <c r="AE149" s="81"/>
      <c r="AF149" s="81"/>
      <c r="AG149" s="81"/>
      <c r="AH149" s="81"/>
    </row>
    <row r="150" spans="1:34" s="68" customFormat="1" ht="15" customHeight="1" x14ac:dyDescent="0.2">
      <c r="A150" s="76">
        <v>2020</v>
      </c>
      <c r="B150" s="59" t="s">
        <v>215</v>
      </c>
      <c r="C150" s="60">
        <v>9620000819</v>
      </c>
      <c r="D150" s="84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</row>
    <row r="151" spans="1:34" s="68" customFormat="1" ht="15" hidden="1" customHeight="1" x14ac:dyDescent="0.2">
      <c r="A151" s="69">
        <v>2019</v>
      </c>
      <c r="B151" s="61" t="s">
        <v>216</v>
      </c>
      <c r="C151" s="62">
        <v>9620000353</v>
      </c>
      <c r="W151" s="81"/>
      <c r="X151" s="81"/>
      <c r="Y151" s="81"/>
      <c r="Z151" s="81"/>
      <c r="AA151" s="81"/>
      <c r="AB151" s="81"/>
      <c r="AC151" s="81"/>
      <c r="AD151" s="81"/>
      <c r="AE151" s="81"/>
      <c r="AF151" s="81"/>
      <c r="AG151" s="81"/>
      <c r="AH151" s="81"/>
    </row>
    <row r="152" spans="1:34" s="68" customFormat="1" ht="15" customHeight="1" x14ac:dyDescent="0.2">
      <c r="A152" s="76">
        <v>2020</v>
      </c>
      <c r="B152" s="63" t="s">
        <v>218</v>
      </c>
      <c r="C152" s="62">
        <v>9620000355</v>
      </c>
      <c r="D152" s="84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</row>
    <row r="153" spans="1:34" s="68" customFormat="1" ht="15" hidden="1" customHeight="1" x14ac:dyDescent="0.25">
      <c r="A153" s="69">
        <v>2017</v>
      </c>
      <c r="B153" s="61" t="s">
        <v>424</v>
      </c>
      <c r="C153" s="62">
        <v>9620000356</v>
      </c>
    </row>
    <row r="154" spans="1:34" s="68" customFormat="1" ht="15" hidden="1" customHeight="1" x14ac:dyDescent="0.25">
      <c r="A154" s="69">
        <v>2018</v>
      </c>
      <c r="B154" s="61" t="s">
        <v>219</v>
      </c>
      <c r="C154" s="62">
        <v>9620000359</v>
      </c>
    </row>
    <row r="155" spans="1:34" s="68" customFormat="1" ht="15" hidden="1" customHeight="1" x14ac:dyDescent="0.2">
      <c r="A155" s="58">
        <v>2019</v>
      </c>
      <c r="B155" s="57" t="s">
        <v>221</v>
      </c>
      <c r="C155" s="58">
        <v>9620000362</v>
      </c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</row>
    <row r="156" spans="1:34" s="68" customFormat="1" ht="15" customHeight="1" x14ac:dyDescent="0.2">
      <c r="A156" s="58">
        <v>2020</v>
      </c>
      <c r="B156" s="57" t="s">
        <v>222</v>
      </c>
      <c r="C156" s="58">
        <v>9620000363</v>
      </c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81"/>
      <c r="X156" s="81"/>
      <c r="Y156" s="81"/>
      <c r="Z156" s="81"/>
      <c r="AA156" s="81"/>
      <c r="AB156" s="81"/>
      <c r="AC156" s="81"/>
      <c r="AD156" s="81"/>
      <c r="AE156" s="81"/>
      <c r="AF156" s="81"/>
      <c r="AG156" s="81"/>
      <c r="AH156" s="81"/>
    </row>
    <row r="157" spans="1:34" s="68" customFormat="1" ht="15" customHeight="1" x14ac:dyDescent="0.25">
      <c r="A157" s="69">
        <v>2020</v>
      </c>
      <c r="B157" s="61" t="s">
        <v>223</v>
      </c>
      <c r="C157" s="62">
        <v>9620048515</v>
      </c>
    </row>
    <row r="158" spans="1:34" s="68" customFormat="1" ht="15" customHeight="1" x14ac:dyDescent="0.2">
      <c r="A158" s="58">
        <v>2020</v>
      </c>
      <c r="B158" s="57" t="s">
        <v>224</v>
      </c>
      <c r="C158" s="58">
        <v>9620000365</v>
      </c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</row>
    <row r="159" spans="1:34" s="68" customFormat="1" ht="15" hidden="1" customHeight="1" x14ac:dyDescent="0.2">
      <c r="A159" s="69">
        <v>2018</v>
      </c>
      <c r="B159" s="59" t="s">
        <v>225</v>
      </c>
      <c r="C159" s="60">
        <v>9620000366</v>
      </c>
      <c r="E159" s="82"/>
      <c r="F159" s="82"/>
      <c r="G159" s="82"/>
      <c r="H159" s="82"/>
      <c r="I159" s="82"/>
      <c r="J159" s="82"/>
    </row>
    <row r="160" spans="1:34" s="68" customFormat="1" ht="15" customHeight="1" x14ac:dyDescent="0.2">
      <c r="A160" s="76">
        <v>2020</v>
      </c>
      <c r="B160" s="61" t="s">
        <v>227</v>
      </c>
      <c r="C160" s="62">
        <v>9620000367</v>
      </c>
      <c r="D160" s="68">
        <v>9620000821</v>
      </c>
    </row>
    <row r="161" spans="1:34" s="68" customFormat="1" ht="15" hidden="1" customHeight="1" x14ac:dyDescent="0.25">
      <c r="A161" s="69">
        <v>2019</v>
      </c>
      <c r="B161" s="71" t="s">
        <v>228</v>
      </c>
      <c r="C161" s="60">
        <v>9620000393</v>
      </c>
      <c r="W161" s="74" t="s">
        <v>495</v>
      </c>
      <c r="X161" s="74" t="s">
        <v>496</v>
      </c>
      <c r="Y161" s="74" t="s">
        <v>497</v>
      </c>
      <c r="Z161" s="74" t="s">
        <v>498</v>
      </c>
      <c r="AA161" s="74" t="s">
        <v>499</v>
      </c>
      <c r="AB161" s="74" t="s">
        <v>500</v>
      </c>
      <c r="AC161" s="74" t="s">
        <v>501</v>
      </c>
      <c r="AD161" s="74" t="s">
        <v>502</v>
      </c>
      <c r="AE161" s="74" t="s">
        <v>503</v>
      </c>
      <c r="AF161" s="74" t="s">
        <v>504</v>
      </c>
      <c r="AG161" s="74" t="s">
        <v>505</v>
      </c>
      <c r="AH161" s="68">
        <v>9620000823</v>
      </c>
    </row>
    <row r="162" spans="1:34" s="68" customFormat="1" ht="15" hidden="1" customHeight="1" x14ac:dyDescent="0.2">
      <c r="A162" s="69">
        <v>2018</v>
      </c>
      <c r="B162" s="61" t="s">
        <v>229</v>
      </c>
      <c r="C162" s="62">
        <v>9620000372</v>
      </c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80"/>
    </row>
    <row r="163" spans="1:34" s="68" customFormat="1" ht="15" hidden="1" customHeight="1" x14ac:dyDescent="0.2">
      <c r="A163" s="58">
        <v>2018</v>
      </c>
      <c r="B163" s="57" t="s">
        <v>230</v>
      </c>
      <c r="C163" s="58">
        <v>9620000375</v>
      </c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</row>
    <row r="164" spans="1:34" s="68" customFormat="1" ht="15" customHeight="1" x14ac:dyDescent="0.2">
      <c r="A164" s="69">
        <v>2020</v>
      </c>
      <c r="B164" s="61" t="s">
        <v>231</v>
      </c>
      <c r="C164" s="62">
        <v>9620000377</v>
      </c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</row>
    <row r="165" spans="1:34" s="68" customFormat="1" ht="15" hidden="1" customHeight="1" x14ac:dyDescent="0.25">
      <c r="A165" s="69">
        <v>2018</v>
      </c>
      <c r="B165" s="61" t="s">
        <v>506</v>
      </c>
      <c r="C165" s="62">
        <v>9620000476</v>
      </c>
    </row>
    <row r="166" spans="1:34" s="68" customFormat="1" ht="15" hidden="1" customHeight="1" x14ac:dyDescent="0.2">
      <c r="A166" s="69">
        <v>2018</v>
      </c>
      <c r="B166" s="61" t="s">
        <v>233</v>
      </c>
      <c r="C166" s="62">
        <v>9620000381</v>
      </c>
      <c r="W166" s="81"/>
      <c r="X166" s="81"/>
      <c r="Y166" s="81"/>
      <c r="Z166" s="81"/>
      <c r="AA166" s="81"/>
      <c r="AB166" s="81"/>
      <c r="AC166" s="81"/>
      <c r="AD166" s="81"/>
      <c r="AE166" s="81"/>
      <c r="AF166" s="81"/>
      <c r="AG166" s="81"/>
      <c r="AH166" s="81"/>
    </row>
    <row r="167" spans="1:34" s="68" customFormat="1" ht="15" customHeight="1" x14ac:dyDescent="0.25">
      <c r="A167" s="69">
        <v>2020</v>
      </c>
      <c r="B167" s="61" t="s">
        <v>234</v>
      </c>
      <c r="C167" s="62">
        <v>9620000382</v>
      </c>
    </row>
    <row r="168" spans="1:34" s="68" customFormat="1" ht="15" customHeight="1" x14ac:dyDescent="0.2">
      <c r="A168" s="69">
        <v>2020</v>
      </c>
      <c r="B168" s="73" t="s">
        <v>235</v>
      </c>
      <c r="C168" s="74" t="s">
        <v>454</v>
      </c>
      <c r="D168" s="74" t="s">
        <v>507</v>
      </c>
      <c r="E168" s="74" t="s">
        <v>508</v>
      </c>
      <c r="F168" s="74" t="s">
        <v>509</v>
      </c>
      <c r="G168" s="74" t="s">
        <v>510</v>
      </c>
      <c r="H168" s="74" t="s">
        <v>511</v>
      </c>
      <c r="I168" s="74" t="s">
        <v>512</v>
      </c>
      <c r="J168" s="74" t="s">
        <v>513</v>
      </c>
      <c r="K168" s="74" t="s">
        <v>514</v>
      </c>
      <c r="L168" s="74" t="s">
        <v>515</v>
      </c>
      <c r="M168" s="74" t="s">
        <v>516</v>
      </c>
      <c r="N168" s="74" t="s">
        <v>517</v>
      </c>
      <c r="O168" s="74" t="s">
        <v>518</v>
      </c>
      <c r="P168" s="74" t="s">
        <v>519</v>
      </c>
      <c r="Q168" s="74" t="s">
        <v>520</v>
      </c>
      <c r="R168" s="74" t="s">
        <v>521</v>
      </c>
      <c r="S168" s="74" t="s">
        <v>522</v>
      </c>
      <c r="T168" s="74" t="s">
        <v>523</v>
      </c>
      <c r="U168" s="74" t="s">
        <v>524</v>
      </c>
      <c r="V168" s="74" t="s">
        <v>525</v>
      </c>
      <c r="W168" s="81"/>
      <c r="X168" s="81"/>
      <c r="Y168" s="81"/>
      <c r="Z168" s="81"/>
      <c r="AA168" s="81"/>
      <c r="AB168" s="81"/>
      <c r="AC168" s="81"/>
      <c r="AD168" s="81"/>
      <c r="AE168" s="81"/>
      <c r="AF168" s="81"/>
      <c r="AG168" s="81"/>
      <c r="AH168" s="81"/>
    </row>
    <row r="169" spans="1:34" s="68" customFormat="1" ht="15" customHeight="1" x14ac:dyDescent="0.2">
      <c r="A169" s="76">
        <v>2020</v>
      </c>
      <c r="B169" s="63" t="s">
        <v>455</v>
      </c>
      <c r="C169" s="62">
        <v>9620000385</v>
      </c>
      <c r="D169" s="84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</row>
    <row r="170" spans="1:34" s="68" customFormat="1" ht="15" hidden="1" customHeight="1" x14ac:dyDescent="0.2">
      <c r="A170" s="69">
        <v>2018</v>
      </c>
      <c r="B170" s="61" t="s">
        <v>241</v>
      </c>
      <c r="C170" s="62">
        <v>9620000389</v>
      </c>
      <c r="W170" s="81"/>
      <c r="X170" s="81"/>
      <c r="Y170" s="81"/>
      <c r="Z170" s="81"/>
      <c r="AA170" s="81"/>
      <c r="AB170" s="81"/>
      <c r="AC170" s="81"/>
      <c r="AD170" s="81"/>
      <c r="AE170" s="81"/>
      <c r="AF170" s="81"/>
      <c r="AG170" s="81"/>
      <c r="AH170" s="81"/>
    </row>
    <row r="171" spans="1:34" s="68" customFormat="1" ht="15" customHeight="1" x14ac:dyDescent="0.2">
      <c r="A171" s="76">
        <v>2020</v>
      </c>
      <c r="B171" s="70" t="s">
        <v>242</v>
      </c>
      <c r="C171" s="62">
        <v>9620000395</v>
      </c>
      <c r="D171" s="84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</row>
    <row r="172" spans="1:34" s="68" customFormat="1" ht="15" customHeight="1" x14ac:dyDescent="0.25">
      <c r="A172" s="69">
        <v>2020</v>
      </c>
      <c r="B172" s="61" t="s">
        <v>243</v>
      </c>
      <c r="C172" s="62">
        <v>9620000397</v>
      </c>
    </row>
    <row r="173" spans="1:34" s="68" customFormat="1" ht="15" customHeight="1" x14ac:dyDescent="0.2">
      <c r="A173" s="58">
        <v>2020</v>
      </c>
      <c r="B173" s="55" t="s">
        <v>456</v>
      </c>
      <c r="C173" s="56">
        <v>9620000399</v>
      </c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81"/>
      <c r="X173" s="81"/>
      <c r="Y173" s="81"/>
      <c r="Z173" s="81"/>
      <c r="AA173" s="81"/>
      <c r="AB173" s="81"/>
      <c r="AC173" s="81"/>
      <c r="AD173" s="81"/>
      <c r="AE173" s="81"/>
      <c r="AF173" s="81"/>
      <c r="AG173" s="81"/>
      <c r="AH173" s="81"/>
    </row>
    <row r="174" spans="1:34" s="68" customFormat="1" ht="15" customHeight="1" x14ac:dyDescent="0.25">
      <c r="A174" s="69">
        <v>2020</v>
      </c>
      <c r="B174" s="61" t="s">
        <v>245</v>
      </c>
      <c r="C174" s="62">
        <v>9620000403</v>
      </c>
    </row>
    <row r="175" spans="1:34" s="68" customFormat="1" ht="15" customHeight="1" x14ac:dyDescent="0.2">
      <c r="A175" s="58">
        <v>2020</v>
      </c>
      <c r="B175" s="57" t="s">
        <v>246</v>
      </c>
      <c r="C175" s="58">
        <v>9620000405</v>
      </c>
      <c r="D175" s="58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</row>
    <row r="176" spans="1:34" s="68" customFormat="1" ht="15" hidden="1" customHeight="1" x14ac:dyDescent="0.25">
      <c r="A176" s="69">
        <v>2017</v>
      </c>
      <c r="B176" s="61" t="s">
        <v>247</v>
      </c>
      <c r="C176" s="62">
        <v>9620000834</v>
      </c>
    </row>
    <row r="177" spans="1:34" s="68" customFormat="1" ht="15" hidden="1" customHeight="1" x14ac:dyDescent="0.2">
      <c r="A177" s="58">
        <v>2019</v>
      </c>
      <c r="B177" s="57" t="s">
        <v>248</v>
      </c>
      <c r="C177" s="58">
        <v>9620000409</v>
      </c>
      <c r="D177" s="58">
        <v>9620000835</v>
      </c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</row>
    <row r="178" spans="1:34" s="68" customFormat="1" ht="15" hidden="1" customHeight="1" x14ac:dyDescent="0.2">
      <c r="A178" s="69">
        <v>2019</v>
      </c>
      <c r="B178" s="61" t="s">
        <v>249</v>
      </c>
      <c r="C178" s="62">
        <v>9620000836</v>
      </c>
      <c r="D178" s="62"/>
      <c r="E178" s="62"/>
      <c r="F178" s="62"/>
      <c r="G178" s="62"/>
      <c r="W178" s="81"/>
      <c r="X178" s="81"/>
      <c r="Y178" s="81"/>
      <c r="Z178" s="81"/>
      <c r="AA178" s="81"/>
      <c r="AB178" s="81"/>
      <c r="AC178" s="81"/>
      <c r="AD178" s="81"/>
      <c r="AE178" s="81"/>
      <c r="AF178" s="81"/>
      <c r="AG178" s="81"/>
      <c r="AH178" s="81"/>
    </row>
    <row r="179" spans="1:34" s="68" customFormat="1" ht="15" hidden="1" customHeight="1" x14ac:dyDescent="0.25">
      <c r="A179" s="69">
        <v>2018</v>
      </c>
      <c r="B179" s="61" t="s">
        <v>526</v>
      </c>
      <c r="C179" s="62">
        <v>9620000410</v>
      </c>
    </row>
    <row r="180" spans="1:34" s="68" customFormat="1" ht="15" hidden="1" customHeight="1" x14ac:dyDescent="0.2">
      <c r="A180" s="58">
        <v>2019</v>
      </c>
      <c r="B180" s="66" t="s">
        <v>527</v>
      </c>
      <c r="C180" s="56">
        <v>9620000414</v>
      </c>
      <c r="D180" s="56">
        <v>9620000837</v>
      </c>
      <c r="E180" s="56">
        <v>9620000838</v>
      </c>
      <c r="F180" s="56">
        <v>9620023086</v>
      </c>
      <c r="G180" s="56">
        <v>9620033214</v>
      </c>
      <c r="H180" s="56">
        <v>9620051465</v>
      </c>
      <c r="I180" s="56">
        <v>9620051844</v>
      </c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</row>
    <row r="181" spans="1:34" s="68" customFormat="1" ht="15" hidden="1" customHeight="1" x14ac:dyDescent="0.2">
      <c r="A181" s="69">
        <v>2019</v>
      </c>
      <c r="B181" s="67" t="s">
        <v>528</v>
      </c>
      <c r="C181" s="68">
        <v>9620000417</v>
      </c>
      <c r="W181" s="81"/>
      <c r="X181" s="81"/>
      <c r="Y181" s="81"/>
      <c r="Z181" s="81"/>
      <c r="AA181" s="81"/>
      <c r="AB181" s="81"/>
      <c r="AC181" s="81"/>
      <c r="AD181" s="81"/>
      <c r="AE181" s="81"/>
      <c r="AF181" s="81"/>
      <c r="AG181" s="81"/>
      <c r="AH181" s="81"/>
    </row>
    <row r="182" spans="1:34" s="68" customFormat="1" ht="15" hidden="1" customHeight="1" x14ac:dyDescent="0.2">
      <c r="A182" s="69" t="s">
        <v>488</v>
      </c>
      <c r="B182" s="61" t="s">
        <v>256</v>
      </c>
      <c r="C182" s="62">
        <v>9620000418</v>
      </c>
      <c r="W182" s="81"/>
      <c r="X182" s="81"/>
      <c r="Y182" s="81"/>
      <c r="Z182" s="81"/>
      <c r="AA182" s="81"/>
      <c r="AB182" s="81"/>
      <c r="AC182" s="81"/>
      <c r="AD182" s="81"/>
      <c r="AE182" s="81"/>
      <c r="AF182" s="81"/>
      <c r="AG182" s="81"/>
      <c r="AH182" s="81"/>
    </row>
    <row r="183" spans="1:34" s="68" customFormat="1" ht="15" customHeight="1" x14ac:dyDescent="0.2">
      <c r="A183" s="69">
        <v>2020</v>
      </c>
      <c r="B183" s="71" t="s">
        <v>457</v>
      </c>
      <c r="C183" s="60">
        <v>9620000419</v>
      </c>
      <c r="W183" s="81"/>
      <c r="X183" s="81"/>
      <c r="Y183" s="81"/>
      <c r="Z183" s="81"/>
      <c r="AA183" s="81"/>
      <c r="AB183" s="81"/>
      <c r="AC183" s="81"/>
      <c r="AD183" s="81"/>
      <c r="AE183" s="81"/>
      <c r="AF183" s="81"/>
      <c r="AG183" s="81"/>
      <c r="AH183" s="81"/>
    </row>
    <row r="184" spans="1:34" s="68" customFormat="1" ht="15" hidden="1" customHeight="1" x14ac:dyDescent="0.25">
      <c r="A184" s="69">
        <v>2018</v>
      </c>
      <c r="B184" s="67" t="s">
        <v>529</v>
      </c>
      <c r="C184" s="68">
        <v>9620000421</v>
      </c>
    </row>
    <row r="185" spans="1:34" s="68" customFormat="1" ht="15" hidden="1" customHeight="1" x14ac:dyDescent="0.2">
      <c r="A185" s="58">
        <v>2019</v>
      </c>
      <c r="B185" s="57" t="s">
        <v>260</v>
      </c>
      <c r="C185" s="58">
        <v>9620000423</v>
      </c>
      <c r="D185" s="58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</row>
    <row r="186" spans="1:34" s="68" customFormat="1" ht="15" hidden="1" customHeight="1" x14ac:dyDescent="0.2">
      <c r="A186" s="65">
        <v>2018</v>
      </c>
      <c r="B186" s="64" t="s">
        <v>530</v>
      </c>
      <c r="C186" s="72">
        <v>9620000428</v>
      </c>
      <c r="D186" s="65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</row>
    <row r="187" spans="1:34" s="68" customFormat="1" ht="15" hidden="1" customHeight="1" x14ac:dyDescent="0.2">
      <c r="A187" s="69">
        <v>2019</v>
      </c>
      <c r="B187" s="59" t="s">
        <v>263</v>
      </c>
      <c r="C187" s="60">
        <v>9620000431</v>
      </c>
      <c r="D187" s="56"/>
      <c r="E187" s="82"/>
      <c r="F187" s="82"/>
      <c r="G187" s="82"/>
      <c r="H187" s="82"/>
      <c r="I187" s="82"/>
      <c r="J187" s="82"/>
      <c r="K187" s="82"/>
    </row>
    <row r="188" spans="1:34" s="68" customFormat="1" ht="15" hidden="1" customHeight="1" x14ac:dyDescent="0.2">
      <c r="A188" s="69">
        <v>2019</v>
      </c>
      <c r="B188" s="61" t="s">
        <v>264</v>
      </c>
      <c r="C188" s="62">
        <v>9620000432</v>
      </c>
      <c r="W188" s="81"/>
      <c r="X188" s="81"/>
      <c r="Y188" s="81"/>
      <c r="Z188" s="81"/>
      <c r="AA188" s="81"/>
      <c r="AB188" s="81"/>
      <c r="AC188" s="81"/>
      <c r="AD188" s="81"/>
      <c r="AE188" s="81"/>
      <c r="AF188" s="81"/>
      <c r="AG188" s="81"/>
      <c r="AH188" s="81"/>
    </row>
    <row r="189" spans="1:34" s="68" customFormat="1" ht="15" hidden="1" customHeight="1" x14ac:dyDescent="0.2">
      <c r="A189" s="58">
        <v>2019</v>
      </c>
      <c r="B189" s="55" t="s">
        <v>531</v>
      </c>
      <c r="C189" s="56">
        <v>9620000433</v>
      </c>
      <c r="D189" s="56">
        <v>9620052025</v>
      </c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</row>
    <row r="190" spans="1:34" s="68" customFormat="1" ht="15" customHeight="1" x14ac:dyDescent="0.2">
      <c r="A190" s="58">
        <v>2020</v>
      </c>
      <c r="B190" s="55" t="s">
        <v>266</v>
      </c>
      <c r="C190" s="56">
        <v>9620000435</v>
      </c>
      <c r="D190" s="56">
        <v>9620000842</v>
      </c>
      <c r="E190" s="56">
        <v>9620005128</v>
      </c>
      <c r="F190" s="56">
        <v>9620052784</v>
      </c>
      <c r="G190" s="56">
        <v>9620052994</v>
      </c>
      <c r="H190" s="56">
        <v>9620053610</v>
      </c>
      <c r="I190" s="56">
        <v>9620051829</v>
      </c>
      <c r="J190" s="56">
        <v>9620033086</v>
      </c>
      <c r="K190" s="56">
        <v>9620052918</v>
      </c>
      <c r="L190" s="56">
        <v>9620000845</v>
      </c>
      <c r="M190" s="56">
        <v>9620000847</v>
      </c>
      <c r="N190" s="56">
        <v>9620000849</v>
      </c>
      <c r="O190" s="56">
        <v>9620000851</v>
      </c>
      <c r="P190" s="56">
        <v>9620000850</v>
      </c>
      <c r="Q190" s="56">
        <v>9620000852</v>
      </c>
      <c r="R190" s="56">
        <v>9620000844</v>
      </c>
      <c r="S190" s="56">
        <v>9620000846</v>
      </c>
      <c r="T190" s="56">
        <v>9620000853</v>
      </c>
      <c r="U190" s="56">
        <v>9620000854</v>
      </c>
      <c r="V190" s="56">
        <v>9620052688</v>
      </c>
      <c r="W190" s="81"/>
      <c r="X190" s="81"/>
      <c r="Y190" s="81"/>
      <c r="Z190" s="81"/>
      <c r="AA190" s="81"/>
      <c r="AB190" s="81"/>
      <c r="AC190" s="81"/>
      <c r="AD190" s="81"/>
      <c r="AE190" s="81"/>
      <c r="AF190" s="81"/>
      <c r="AG190" s="81"/>
      <c r="AH190" s="81"/>
    </row>
    <row r="191" spans="1:34" s="68" customFormat="1" ht="15" customHeight="1" x14ac:dyDescent="0.2">
      <c r="A191" s="58">
        <v>2020</v>
      </c>
      <c r="B191" s="57" t="s">
        <v>277</v>
      </c>
      <c r="C191" s="58">
        <v>9620000443</v>
      </c>
      <c r="D191" s="58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81"/>
      <c r="X191" s="81"/>
      <c r="Y191" s="81"/>
      <c r="Z191" s="81"/>
      <c r="AA191" s="81"/>
      <c r="AB191" s="81"/>
      <c r="AC191" s="81"/>
      <c r="AD191" s="81"/>
      <c r="AE191" s="81"/>
      <c r="AF191" s="81"/>
      <c r="AG191" s="81"/>
      <c r="AH191" s="81"/>
    </row>
    <row r="192" spans="1:34" s="68" customFormat="1" ht="15" customHeight="1" x14ac:dyDescent="0.25">
      <c r="A192" s="69">
        <v>2020</v>
      </c>
      <c r="B192" s="61" t="s">
        <v>458</v>
      </c>
      <c r="C192" s="62">
        <v>9620051177</v>
      </c>
    </row>
    <row r="193" spans="1:34" s="68" customFormat="1" ht="15" customHeight="1" x14ac:dyDescent="0.25">
      <c r="A193" s="69">
        <v>2020</v>
      </c>
      <c r="B193" s="67" t="s">
        <v>278</v>
      </c>
      <c r="C193" s="68">
        <v>9620000447</v>
      </c>
    </row>
    <row r="194" spans="1:34" s="68" customFormat="1" ht="15" hidden="1" customHeight="1" x14ac:dyDescent="0.2">
      <c r="A194" s="69">
        <v>2018</v>
      </c>
      <c r="B194" s="61" t="s">
        <v>279</v>
      </c>
      <c r="C194" s="62">
        <v>9620000448</v>
      </c>
      <c r="W194" s="81"/>
      <c r="X194" s="81"/>
      <c r="Y194" s="81"/>
      <c r="Z194" s="81"/>
      <c r="AA194" s="81"/>
      <c r="AB194" s="81"/>
      <c r="AC194" s="81"/>
      <c r="AD194" s="81"/>
      <c r="AE194" s="81"/>
      <c r="AF194" s="81"/>
      <c r="AG194" s="81"/>
      <c r="AH194" s="81"/>
    </row>
    <row r="195" spans="1:34" s="68" customFormat="1" ht="15" customHeight="1" x14ac:dyDescent="0.25">
      <c r="A195" s="69">
        <v>2020</v>
      </c>
      <c r="B195" s="61" t="s">
        <v>280</v>
      </c>
      <c r="C195" s="62">
        <v>9620000855</v>
      </c>
      <c r="D195" s="62">
        <v>9620000856</v>
      </c>
      <c r="E195" s="62">
        <v>9620000857</v>
      </c>
      <c r="F195" s="62">
        <v>9620000858</v>
      </c>
      <c r="G195" s="62">
        <v>9620000449</v>
      </c>
    </row>
    <row r="196" spans="1:34" s="68" customFormat="1" ht="15" customHeight="1" x14ac:dyDescent="0.2">
      <c r="A196" s="58">
        <v>2020</v>
      </c>
      <c r="B196" s="55" t="s">
        <v>281</v>
      </c>
      <c r="C196" s="56">
        <v>9620000456</v>
      </c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34" s="68" customFormat="1" ht="15" customHeight="1" x14ac:dyDescent="0.25">
      <c r="A197" s="69">
        <v>2020</v>
      </c>
      <c r="B197" s="61" t="s">
        <v>459</v>
      </c>
      <c r="C197" s="62">
        <v>9620000459</v>
      </c>
    </row>
    <row r="198" spans="1:34" s="68" customFormat="1" ht="15" customHeight="1" x14ac:dyDescent="0.2">
      <c r="A198" s="58">
        <v>2020</v>
      </c>
      <c r="B198" s="57" t="s">
        <v>282</v>
      </c>
      <c r="C198" s="58">
        <v>9620000460</v>
      </c>
      <c r="D198" s="5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</row>
    <row r="199" spans="1:34" s="68" customFormat="1" ht="15" hidden="1" customHeight="1" x14ac:dyDescent="0.2">
      <c r="A199" s="58">
        <v>2018</v>
      </c>
      <c r="B199" s="57" t="s">
        <v>283</v>
      </c>
      <c r="C199" s="58">
        <v>9620000462</v>
      </c>
      <c r="D199" s="58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</row>
    <row r="200" spans="1:34" s="68" customFormat="1" ht="15" customHeight="1" x14ac:dyDescent="0.2">
      <c r="A200" s="69">
        <v>2020</v>
      </c>
      <c r="B200" s="59" t="s">
        <v>285</v>
      </c>
      <c r="C200" s="60">
        <v>9620000464</v>
      </c>
      <c r="D200" s="60">
        <v>9620000860</v>
      </c>
      <c r="E200" s="60">
        <v>9620000861</v>
      </c>
      <c r="F200" s="60">
        <v>9620000862</v>
      </c>
      <c r="G200" s="60">
        <v>9620000863</v>
      </c>
      <c r="H200" s="60">
        <v>9620000864</v>
      </c>
      <c r="I200" s="60">
        <v>9620000865</v>
      </c>
      <c r="J200" s="60">
        <v>9620000866</v>
      </c>
      <c r="W200" s="81"/>
      <c r="X200" s="81"/>
      <c r="Y200" s="81"/>
      <c r="Z200" s="81"/>
      <c r="AA200" s="81"/>
      <c r="AB200" s="81"/>
      <c r="AC200" s="81"/>
      <c r="AD200" s="81"/>
      <c r="AE200" s="81"/>
      <c r="AF200" s="81"/>
      <c r="AG200" s="81"/>
      <c r="AH200" s="81"/>
    </row>
    <row r="201" spans="1:34" s="68" customFormat="1" ht="15" hidden="1" customHeight="1" x14ac:dyDescent="0.25">
      <c r="A201" s="69">
        <v>2019</v>
      </c>
      <c r="B201" s="61" t="s">
        <v>287</v>
      </c>
      <c r="C201" s="62">
        <v>9620000468</v>
      </c>
    </row>
    <row r="202" spans="1:34" s="68" customFormat="1" ht="15" hidden="1" customHeight="1" x14ac:dyDescent="0.2">
      <c r="A202" s="58">
        <v>2019</v>
      </c>
      <c r="B202" s="57" t="s">
        <v>288</v>
      </c>
      <c r="C202" s="58">
        <v>9620000472</v>
      </c>
      <c r="D202" s="58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  <c r="V202" s="58"/>
    </row>
    <row r="203" spans="1:34" s="68" customFormat="1" ht="15" customHeight="1" x14ac:dyDescent="0.25">
      <c r="A203" s="69">
        <v>2020</v>
      </c>
      <c r="B203" s="61" t="s">
        <v>289</v>
      </c>
      <c r="C203" s="62">
        <v>9620000474</v>
      </c>
    </row>
    <row r="204" spans="1:34" s="68" customFormat="1" ht="15" customHeight="1" x14ac:dyDescent="0.2">
      <c r="A204" s="69">
        <v>2020</v>
      </c>
      <c r="B204" s="61" t="s">
        <v>290</v>
      </c>
      <c r="C204" s="62">
        <v>9620000475</v>
      </c>
      <c r="W204" s="81"/>
      <c r="X204" s="81"/>
      <c r="Y204" s="81"/>
      <c r="Z204" s="81"/>
      <c r="AA204" s="81"/>
      <c r="AB204" s="81"/>
      <c r="AC204" s="81"/>
      <c r="AD204" s="81"/>
      <c r="AE204" s="81"/>
      <c r="AF204" s="81"/>
      <c r="AG204" s="81"/>
      <c r="AH204" s="81"/>
    </row>
    <row r="205" spans="1:34" s="68" customFormat="1" ht="15" hidden="1" customHeight="1" x14ac:dyDescent="0.2">
      <c r="A205" s="65">
        <v>2017</v>
      </c>
      <c r="B205" s="64" t="s">
        <v>532</v>
      </c>
      <c r="C205" s="65">
        <v>9620000477</v>
      </c>
      <c r="D205" s="65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</row>
    <row r="206" spans="1:34" s="68" customFormat="1" ht="15" hidden="1" customHeight="1" x14ac:dyDescent="0.2">
      <c r="A206" s="69">
        <v>2019</v>
      </c>
      <c r="B206" s="59" t="s">
        <v>293</v>
      </c>
      <c r="C206" s="60">
        <v>9620000478</v>
      </c>
      <c r="D206" s="56"/>
      <c r="E206" s="56"/>
      <c r="F206" s="56"/>
      <c r="G206" s="56"/>
      <c r="H206" s="56"/>
      <c r="I206" s="56"/>
      <c r="J206" s="56"/>
      <c r="K206" s="56"/>
      <c r="W206" s="81"/>
      <c r="X206" s="81"/>
      <c r="Y206" s="81"/>
      <c r="Z206" s="81"/>
      <c r="AA206" s="81"/>
      <c r="AB206" s="81"/>
      <c r="AC206" s="81"/>
      <c r="AD206" s="81"/>
      <c r="AE206" s="81"/>
      <c r="AF206" s="81"/>
      <c r="AG206" s="81"/>
      <c r="AH206" s="81"/>
    </row>
    <row r="207" spans="1:34" s="68" customFormat="1" ht="15" hidden="1" customHeight="1" x14ac:dyDescent="0.25">
      <c r="A207" s="69" t="s">
        <v>488</v>
      </c>
      <c r="B207" s="61" t="s">
        <v>294</v>
      </c>
      <c r="C207" s="62">
        <v>9620000481</v>
      </c>
    </row>
    <row r="208" spans="1:34" s="68" customFormat="1" ht="15" hidden="1" customHeight="1" x14ac:dyDescent="0.2">
      <c r="A208" s="65">
        <v>2018</v>
      </c>
      <c r="B208" s="86" t="s">
        <v>295</v>
      </c>
      <c r="C208" s="72">
        <v>9620000494</v>
      </c>
      <c r="D208" s="65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1"/>
      <c r="X208" s="81"/>
      <c r="Y208" s="81"/>
      <c r="Z208" s="81"/>
      <c r="AA208" s="81"/>
      <c r="AB208" s="81"/>
      <c r="AC208" s="81"/>
      <c r="AD208" s="81"/>
      <c r="AE208" s="81"/>
      <c r="AF208" s="81"/>
      <c r="AG208" s="81"/>
      <c r="AH208" s="81"/>
    </row>
    <row r="209" spans="1:34" s="68" customFormat="1" ht="15" customHeight="1" x14ac:dyDescent="0.25">
      <c r="A209" s="69">
        <v>2020</v>
      </c>
      <c r="B209" s="61" t="s">
        <v>460</v>
      </c>
      <c r="C209" s="62">
        <v>9620000498</v>
      </c>
    </row>
    <row r="210" spans="1:34" s="68" customFormat="1" ht="15" customHeight="1" x14ac:dyDescent="0.2">
      <c r="A210" s="58">
        <v>2020</v>
      </c>
      <c r="B210" s="57" t="s">
        <v>296</v>
      </c>
      <c r="C210" s="58">
        <v>9620047085</v>
      </c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</row>
    <row r="211" spans="1:34" s="68" customFormat="1" ht="15" hidden="1" customHeight="1" x14ac:dyDescent="0.2">
      <c r="A211" s="69">
        <v>2019</v>
      </c>
      <c r="B211" s="59" t="s">
        <v>297</v>
      </c>
      <c r="C211" s="60">
        <v>9620000500</v>
      </c>
      <c r="D211" s="56"/>
      <c r="E211" s="56"/>
      <c r="F211" s="56"/>
      <c r="G211" s="56"/>
      <c r="H211" s="56"/>
      <c r="I211" s="56"/>
      <c r="W211" s="81"/>
      <c r="X211" s="81"/>
      <c r="Y211" s="81"/>
      <c r="Z211" s="81"/>
      <c r="AA211" s="81"/>
      <c r="AB211" s="81"/>
      <c r="AC211" s="81"/>
      <c r="AD211" s="81"/>
      <c r="AE211" s="81"/>
      <c r="AF211" s="81"/>
      <c r="AG211" s="81"/>
      <c r="AH211" s="81"/>
    </row>
    <row r="212" spans="1:34" s="68" customFormat="1" ht="15" hidden="1" customHeight="1" x14ac:dyDescent="0.25">
      <c r="A212" s="69">
        <v>2019</v>
      </c>
      <c r="B212" s="61" t="s">
        <v>533</v>
      </c>
      <c r="C212" s="62">
        <v>9620000501</v>
      </c>
    </row>
    <row r="213" spans="1:34" s="68" customFormat="1" ht="15" hidden="1" customHeight="1" x14ac:dyDescent="0.2">
      <c r="A213" s="69">
        <v>2019</v>
      </c>
      <c r="B213" s="63" t="s">
        <v>298</v>
      </c>
      <c r="C213" s="62">
        <v>9620000503</v>
      </c>
    </row>
    <row r="214" spans="1:34" s="68" customFormat="1" ht="15" customHeight="1" x14ac:dyDescent="0.2">
      <c r="A214" s="58">
        <v>2020</v>
      </c>
      <c r="B214" s="57" t="s">
        <v>299</v>
      </c>
      <c r="C214" s="58">
        <v>9620000507</v>
      </c>
      <c r="D214" s="58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81"/>
      <c r="X214" s="81"/>
      <c r="Y214" s="81"/>
      <c r="Z214" s="81"/>
      <c r="AA214" s="81"/>
      <c r="AB214" s="81"/>
      <c r="AC214" s="81"/>
      <c r="AD214" s="81"/>
      <c r="AE214" s="81"/>
      <c r="AF214" s="81"/>
      <c r="AG214" s="81"/>
      <c r="AH214" s="81"/>
    </row>
    <row r="215" spans="1:34" s="68" customFormat="1" ht="15" customHeight="1" x14ac:dyDescent="0.2">
      <c r="A215" s="69">
        <v>2020</v>
      </c>
      <c r="B215" s="63" t="s">
        <v>300</v>
      </c>
      <c r="C215" s="62">
        <v>9620000509</v>
      </c>
      <c r="D215" s="62"/>
      <c r="W215" s="81"/>
      <c r="X215" s="81"/>
      <c r="Y215" s="81"/>
      <c r="Z215" s="81"/>
      <c r="AA215" s="81"/>
      <c r="AB215" s="81"/>
      <c r="AC215" s="81"/>
      <c r="AD215" s="81"/>
      <c r="AE215" s="81"/>
      <c r="AF215" s="81"/>
      <c r="AG215" s="81"/>
      <c r="AH215" s="81"/>
    </row>
    <row r="216" spans="1:34" s="68" customFormat="1" ht="15" hidden="1" customHeight="1" x14ac:dyDescent="0.2">
      <c r="A216" s="58">
        <v>2019</v>
      </c>
      <c r="B216" s="57" t="s">
        <v>302</v>
      </c>
      <c r="C216" s="58">
        <v>9620000868</v>
      </c>
      <c r="D216" s="58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81"/>
      <c r="X216" s="81"/>
      <c r="Y216" s="81"/>
      <c r="Z216" s="81"/>
      <c r="AA216" s="81"/>
      <c r="AB216" s="81"/>
      <c r="AC216" s="81"/>
      <c r="AD216" s="81"/>
      <c r="AE216" s="81"/>
      <c r="AF216" s="81"/>
      <c r="AG216" s="81"/>
      <c r="AH216" s="81"/>
    </row>
    <row r="217" spans="1:34" s="68" customFormat="1" ht="15" customHeight="1" x14ac:dyDescent="0.2">
      <c r="A217" s="69">
        <v>2020</v>
      </c>
      <c r="B217" s="63" t="s">
        <v>304</v>
      </c>
      <c r="C217" s="62">
        <v>9620000869</v>
      </c>
      <c r="D217" s="62">
        <v>9620000520</v>
      </c>
    </row>
    <row r="218" spans="1:34" s="68" customFormat="1" ht="15" customHeight="1" x14ac:dyDescent="0.2">
      <c r="A218" s="58">
        <v>2020</v>
      </c>
      <c r="B218" s="57" t="s">
        <v>307</v>
      </c>
      <c r="C218" s="58">
        <v>9620000522</v>
      </c>
      <c r="D218" s="58">
        <v>9620000870</v>
      </c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81"/>
      <c r="X218" s="81"/>
      <c r="Y218" s="81"/>
      <c r="Z218" s="81"/>
      <c r="AA218" s="81"/>
      <c r="AB218" s="81"/>
      <c r="AC218" s="81"/>
      <c r="AD218" s="81"/>
      <c r="AE218" s="81"/>
      <c r="AF218" s="81"/>
      <c r="AG218" s="81"/>
      <c r="AH218" s="81"/>
    </row>
    <row r="219" spans="1:34" s="68" customFormat="1" ht="15" customHeight="1" x14ac:dyDescent="0.25">
      <c r="A219" s="69">
        <v>2020</v>
      </c>
      <c r="B219" s="61" t="s">
        <v>309</v>
      </c>
      <c r="C219" s="62">
        <v>9620000523</v>
      </c>
      <c r="D219" s="68">
        <v>9620004739</v>
      </c>
    </row>
    <row r="220" spans="1:34" s="68" customFormat="1" ht="15" hidden="1" customHeight="1" x14ac:dyDescent="0.2">
      <c r="A220" s="69">
        <v>2019</v>
      </c>
      <c r="B220" s="59" t="s">
        <v>310</v>
      </c>
      <c r="C220" s="60">
        <v>9620034515</v>
      </c>
      <c r="D220" s="56"/>
      <c r="E220" s="56"/>
      <c r="F220" s="56"/>
      <c r="G220" s="56"/>
      <c r="H220" s="56"/>
      <c r="I220" s="56"/>
    </row>
    <row r="221" spans="1:34" s="68" customFormat="1" ht="15" customHeight="1" x14ac:dyDescent="0.2">
      <c r="A221" s="58">
        <v>2020</v>
      </c>
      <c r="B221" s="57" t="s">
        <v>422</v>
      </c>
      <c r="C221" s="58">
        <v>9620000527</v>
      </c>
      <c r="D221" s="58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</row>
    <row r="222" spans="1:34" s="68" customFormat="1" ht="15" hidden="1" customHeight="1" x14ac:dyDescent="0.2">
      <c r="A222" s="69">
        <v>2019</v>
      </c>
      <c r="B222" s="59" t="s">
        <v>313</v>
      </c>
      <c r="C222" s="60">
        <v>9620000531</v>
      </c>
      <c r="D222" s="56"/>
      <c r="E222" s="56"/>
      <c r="F222" s="56"/>
      <c r="G222" s="56"/>
      <c r="H222" s="56"/>
      <c r="I222" s="56"/>
    </row>
    <row r="223" spans="1:34" s="68" customFormat="1" ht="15" hidden="1" customHeight="1" x14ac:dyDescent="0.2">
      <c r="A223" s="69" t="s">
        <v>488</v>
      </c>
      <c r="B223" s="59" t="s">
        <v>314</v>
      </c>
      <c r="C223" s="60">
        <v>9620000533</v>
      </c>
      <c r="D223" s="56"/>
      <c r="E223" s="56"/>
      <c r="F223" s="56"/>
      <c r="G223" s="56"/>
      <c r="H223" s="56"/>
      <c r="I223" s="56"/>
    </row>
    <row r="224" spans="1:34" s="68" customFormat="1" ht="15" customHeight="1" x14ac:dyDescent="0.2">
      <c r="A224" s="58">
        <v>2020</v>
      </c>
      <c r="B224" s="57" t="s">
        <v>317</v>
      </c>
      <c r="C224" s="58">
        <v>9620000535</v>
      </c>
      <c r="D224" s="85">
        <v>9620000872</v>
      </c>
      <c r="E224" s="85">
        <v>9620000873</v>
      </c>
      <c r="F224" s="85">
        <v>9620000874</v>
      </c>
      <c r="G224" s="85">
        <v>9620000875</v>
      </c>
      <c r="H224" s="85">
        <v>9620000876</v>
      </c>
      <c r="I224" s="85">
        <v>9620000877</v>
      </c>
      <c r="J224" s="58">
        <v>9620000871</v>
      </c>
      <c r="K224" s="58">
        <v>9620054085</v>
      </c>
      <c r="L224" s="58">
        <v>9620054086</v>
      </c>
      <c r="M224" s="58">
        <v>9620054087</v>
      </c>
      <c r="N224" s="58">
        <v>9620054088</v>
      </c>
      <c r="O224" s="58">
        <v>9620054089</v>
      </c>
      <c r="P224" s="58"/>
      <c r="Q224" s="58"/>
      <c r="R224" s="58"/>
      <c r="S224" s="58"/>
      <c r="T224" s="58"/>
      <c r="U224" s="58"/>
      <c r="V224" s="58"/>
      <c r="W224" s="81"/>
      <c r="X224" s="81"/>
      <c r="Y224" s="81"/>
      <c r="Z224" s="81"/>
      <c r="AA224" s="81"/>
      <c r="AB224" s="81"/>
      <c r="AC224" s="81"/>
      <c r="AD224" s="81"/>
      <c r="AE224" s="81"/>
      <c r="AF224" s="81"/>
      <c r="AG224" s="81"/>
      <c r="AH224" s="81"/>
    </row>
    <row r="225" spans="1:34" s="68" customFormat="1" ht="15" customHeight="1" x14ac:dyDescent="0.2">
      <c r="A225" s="58">
        <v>2020</v>
      </c>
      <c r="B225" s="57" t="s">
        <v>318</v>
      </c>
      <c r="C225" s="58">
        <v>9620000536</v>
      </c>
      <c r="D225" s="58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</row>
    <row r="226" spans="1:34" s="68" customFormat="1" ht="15" hidden="1" customHeight="1" x14ac:dyDescent="0.2">
      <c r="A226" s="58">
        <v>2019</v>
      </c>
      <c r="B226" s="57" t="s">
        <v>319</v>
      </c>
      <c r="C226" s="58">
        <v>9620000540</v>
      </c>
      <c r="D226" s="58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</row>
    <row r="227" spans="1:34" s="68" customFormat="1" ht="15" hidden="1" customHeight="1" x14ac:dyDescent="0.25">
      <c r="A227" s="69">
        <v>2019</v>
      </c>
      <c r="B227" s="61" t="s">
        <v>320</v>
      </c>
      <c r="C227" s="62">
        <v>9620000545</v>
      </c>
    </row>
    <row r="228" spans="1:34" s="68" customFormat="1" ht="15" hidden="1" customHeight="1" x14ac:dyDescent="0.2">
      <c r="A228" s="58">
        <v>2019</v>
      </c>
      <c r="B228" s="57" t="s">
        <v>322</v>
      </c>
      <c r="C228" s="58">
        <v>9620000549</v>
      </c>
      <c r="D228" s="87">
        <v>9620000878</v>
      </c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80"/>
      <c r="X228" s="80"/>
      <c r="Y228" s="80"/>
      <c r="Z228" s="80"/>
      <c r="AA228" s="80"/>
      <c r="AB228" s="80"/>
      <c r="AC228" s="80"/>
      <c r="AD228" s="80"/>
      <c r="AE228" s="80"/>
      <c r="AF228" s="80"/>
      <c r="AG228" s="80"/>
      <c r="AH228" s="80"/>
    </row>
    <row r="229" spans="1:34" s="68" customFormat="1" ht="15" customHeight="1" x14ac:dyDescent="0.2">
      <c r="A229" s="69">
        <v>2020</v>
      </c>
      <c r="B229" s="61" t="s">
        <v>324</v>
      </c>
      <c r="C229" s="62">
        <v>9620000552</v>
      </c>
      <c r="W229" s="81"/>
      <c r="X229" s="81"/>
      <c r="Y229" s="81"/>
      <c r="Z229" s="81"/>
      <c r="AA229" s="81"/>
      <c r="AB229" s="81"/>
      <c r="AC229" s="81"/>
      <c r="AD229" s="81"/>
      <c r="AE229" s="81"/>
      <c r="AF229" s="81"/>
      <c r="AG229" s="81"/>
      <c r="AH229" s="81"/>
    </row>
    <row r="230" spans="1:34" s="68" customFormat="1" ht="15" hidden="1" customHeight="1" x14ac:dyDescent="0.2">
      <c r="A230" s="69" t="s">
        <v>488</v>
      </c>
      <c r="B230" s="59" t="s">
        <v>326</v>
      </c>
      <c r="C230" s="60">
        <v>9620047082</v>
      </c>
      <c r="D230" s="56"/>
      <c r="E230" s="56"/>
      <c r="F230" s="56"/>
      <c r="G230" s="56"/>
      <c r="H230" s="56"/>
      <c r="I230" s="56"/>
    </row>
    <row r="231" spans="1:34" s="68" customFormat="1" ht="15" customHeight="1" x14ac:dyDescent="0.25">
      <c r="A231" s="69">
        <v>2020</v>
      </c>
      <c r="B231" s="61" t="s">
        <v>327</v>
      </c>
      <c r="C231" s="62">
        <v>9620000556</v>
      </c>
    </row>
    <row r="232" spans="1:34" s="68" customFormat="1" ht="15" customHeight="1" x14ac:dyDescent="0.2">
      <c r="A232" s="69">
        <v>2020</v>
      </c>
      <c r="B232" s="59" t="s">
        <v>331</v>
      </c>
      <c r="C232" s="60">
        <v>9620000564</v>
      </c>
      <c r="D232" s="56"/>
      <c r="E232" s="56"/>
      <c r="F232" s="56"/>
      <c r="G232" s="56"/>
      <c r="H232" s="56"/>
      <c r="I232" s="56"/>
    </row>
    <row r="233" spans="1:34" s="68" customFormat="1" ht="15" customHeight="1" x14ac:dyDescent="0.2">
      <c r="A233" s="65">
        <v>2020</v>
      </c>
      <c r="B233" s="64" t="s">
        <v>332</v>
      </c>
      <c r="C233" s="72">
        <v>9620000566</v>
      </c>
      <c r="D233" s="72">
        <v>9620051561</v>
      </c>
      <c r="E233" s="72">
        <v>9620053346</v>
      </c>
      <c r="F233" s="72">
        <v>9620000879</v>
      </c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1"/>
      <c r="X233" s="81"/>
      <c r="Y233" s="81"/>
      <c r="Z233" s="81"/>
      <c r="AA233" s="81"/>
      <c r="AB233" s="81"/>
      <c r="AC233" s="81"/>
      <c r="AD233" s="81"/>
      <c r="AE233" s="81"/>
      <c r="AF233" s="81"/>
      <c r="AG233" s="81"/>
      <c r="AH233" s="81"/>
    </row>
    <row r="234" spans="1:34" s="68" customFormat="1" ht="15" customHeight="1" x14ac:dyDescent="0.25">
      <c r="A234" s="69">
        <v>2020</v>
      </c>
      <c r="B234" s="67" t="s">
        <v>334</v>
      </c>
      <c r="C234" s="68">
        <v>9620000567</v>
      </c>
    </row>
    <row r="235" spans="1:34" s="68" customFormat="1" ht="15" customHeight="1" x14ac:dyDescent="0.2">
      <c r="A235" s="58">
        <v>2020</v>
      </c>
      <c r="B235" s="57" t="s">
        <v>461</v>
      </c>
      <c r="C235" s="58">
        <v>9620000569</v>
      </c>
      <c r="D235" s="58"/>
      <c r="E235" s="58"/>
      <c r="F235" s="58"/>
      <c r="G235" s="58"/>
      <c r="H235" s="58"/>
      <c r="I235" s="58"/>
      <c r="J235" s="58"/>
      <c r="K235" s="58"/>
      <c r="L235" s="58"/>
      <c r="M235" s="58"/>
      <c r="N235" s="58"/>
      <c r="O235" s="58"/>
      <c r="P235" s="58"/>
      <c r="Q235" s="58"/>
      <c r="R235" s="58"/>
      <c r="S235" s="58"/>
      <c r="T235" s="58"/>
      <c r="U235" s="58"/>
      <c r="V235" s="58"/>
      <c r="W235" s="81"/>
      <c r="X235" s="81"/>
      <c r="Y235" s="81"/>
      <c r="Z235" s="81"/>
      <c r="AA235" s="81"/>
      <c r="AB235" s="81"/>
      <c r="AC235" s="81"/>
      <c r="AD235" s="81"/>
      <c r="AE235" s="81"/>
      <c r="AF235" s="81"/>
      <c r="AG235" s="81"/>
      <c r="AH235" s="81"/>
    </row>
    <row r="236" spans="1:34" s="68" customFormat="1" ht="15" customHeight="1" x14ac:dyDescent="0.2">
      <c r="A236" s="69">
        <v>2020</v>
      </c>
      <c r="B236" s="61" t="s">
        <v>462</v>
      </c>
      <c r="C236" s="62">
        <v>9620000570</v>
      </c>
      <c r="W236" s="81"/>
      <c r="X236" s="81"/>
      <c r="Y236" s="81"/>
      <c r="Z236" s="81"/>
      <c r="AA236" s="81"/>
      <c r="AB236" s="81"/>
      <c r="AC236" s="81"/>
      <c r="AD236" s="81"/>
      <c r="AE236" s="81"/>
      <c r="AF236" s="81"/>
      <c r="AG236" s="81"/>
      <c r="AH236" s="81"/>
    </row>
    <row r="237" spans="1:34" s="68" customFormat="1" ht="15" customHeight="1" x14ac:dyDescent="0.2">
      <c r="A237" s="69">
        <v>2020</v>
      </c>
      <c r="B237" s="61" t="s">
        <v>336</v>
      </c>
      <c r="C237" s="62">
        <v>9620000571</v>
      </c>
      <c r="W237" s="80"/>
      <c r="X237" s="80"/>
      <c r="Y237" s="80"/>
      <c r="Z237" s="80"/>
      <c r="AA237" s="80"/>
      <c r="AB237" s="80"/>
      <c r="AC237" s="80"/>
      <c r="AD237" s="80"/>
      <c r="AE237" s="80"/>
      <c r="AF237" s="80"/>
      <c r="AG237" s="80"/>
      <c r="AH237" s="80"/>
    </row>
    <row r="238" spans="1:34" s="68" customFormat="1" ht="15" hidden="1" customHeight="1" x14ac:dyDescent="0.2">
      <c r="A238" s="69">
        <v>2017</v>
      </c>
      <c r="B238" s="61" t="s">
        <v>337</v>
      </c>
      <c r="C238" s="62">
        <v>9620000889</v>
      </c>
      <c r="W238" s="81"/>
      <c r="X238" s="81"/>
      <c r="Y238" s="81"/>
      <c r="Z238" s="81"/>
      <c r="AA238" s="81"/>
      <c r="AB238" s="81"/>
      <c r="AC238" s="81"/>
      <c r="AD238" s="81"/>
      <c r="AE238" s="81"/>
      <c r="AF238" s="81"/>
      <c r="AG238" s="81"/>
      <c r="AH238" s="81"/>
    </row>
    <row r="239" spans="1:34" s="68" customFormat="1" ht="15" hidden="1" customHeight="1" x14ac:dyDescent="0.2">
      <c r="A239" s="76">
        <v>2019</v>
      </c>
      <c r="B239" s="70" t="s">
        <v>338</v>
      </c>
      <c r="C239" s="62">
        <v>9620000572</v>
      </c>
      <c r="D239" s="84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81"/>
      <c r="X239" s="81"/>
      <c r="Y239" s="81"/>
      <c r="Z239" s="81"/>
      <c r="AA239" s="81"/>
      <c r="AB239" s="81"/>
      <c r="AC239" s="81"/>
      <c r="AD239" s="81"/>
      <c r="AE239" s="81"/>
      <c r="AF239" s="81"/>
      <c r="AG239" s="81"/>
      <c r="AH239" s="81"/>
    </row>
    <row r="240" spans="1:34" s="68" customFormat="1" ht="15" customHeight="1" x14ac:dyDescent="0.2">
      <c r="A240" s="58">
        <v>2020</v>
      </c>
      <c r="B240" s="57" t="s">
        <v>341</v>
      </c>
      <c r="C240" s="58">
        <v>9620000574</v>
      </c>
      <c r="D240" s="58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</row>
    <row r="241" spans="1:34" s="68" customFormat="1" ht="15" customHeight="1" x14ac:dyDescent="0.2">
      <c r="A241" s="69">
        <v>2020</v>
      </c>
      <c r="B241" s="61" t="s">
        <v>342</v>
      </c>
      <c r="C241" s="62">
        <v>9620000576</v>
      </c>
      <c r="W241" s="81"/>
      <c r="X241" s="81"/>
      <c r="Y241" s="81"/>
      <c r="Z241" s="81"/>
      <c r="AA241" s="81"/>
      <c r="AB241" s="81"/>
      <c r="AC241" s="81"/>
      <c r="AD241" s="81"/>
      <c r="AE241" s="81"/>
      <c r="AF241" s="81"/>
      <c r="AG241" s="81"/>
      <c r="AH241" s="81"/>
    </row>
    <row r="242" spans="1:34" s="68" customFormat="1" ht="15" hidden="1" customHeight="1" x14ac:dyDescent="0.25">
      <c r="A242" s="69">
        <v>2019</v>
      </c>
      <c r="B242" s="61" t="s">
        <v>345</v>
      </c>
      <c r="C242" s="62">
        <v>9620000578</v>
      </c>
    </row>
    <row r="243" spans="1:34" s="68" customFormat="1" ht="15" hidden="1" customHeight="1" x14ac:dyDescent="0.25">
      <c r="A243" s="69">
        <v>2019</v>
      </c>
      <c r="B243" s="61" t="s">
        <v>346</v>
      </c>
      <c r="C243" s="62">
        <v>9620000584</v>
      </c>
      <c r="D243" s="62">
        <v>9620000585</v>
      </c>
    </row>
    <row r="244" spans="1:34" s="68" customFormat="1" ht="15" customHeight="1" x14ac:dyDescent="0.2">
      <c r="A244" s="58">
        <v>2020</v>
      </c>
      <c r="B244" s="55" t="s">
        <v>463</v>
      </c>
      <c r="C244" s="69">
        <v>9620000586</v>
      </c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</row>
    <row r="245" spans="1:34" s="68" customFormat="1" ht="15" hidden="1" customHeight="1" x14ac:dyDescent="0.2">
      <c r="A245" s="69">
        <v>2018</v>
      </c>
      <c r="B245" s="61" t="s">
        <v>349</v>
      </c>
      <c r="C245" s="62">
        <v>9620000589</v>
      </c>
      <c r="W245" s="81"/>
      <c r="X245" s="81"/>
      <c r="Y245" s="81"/>
      <c r="Z245" s="81"/>
      <c r="AA245" s="81"/>
      <c r="AB245" s="81"/>
      <c r="AC245" s="81"/>
      <c r="AD245" s="81"/>
      <c r="AE245" s="81"/>
      <c r="AF245" s="81"/>
      <c r="AG245" s="81"/>
      <c r="AH245" s="81"/>
    </row>
    <row r="246" spans="1:34" s="68" customFormat="1" ht="15" customHeight="1" x14ac:dyDescent="0.2">
      <c r="A246" s="58">
        <v>2020</v>
      </c>
      <c r="B246" s="57" t="s">
        <v>350</v>
      </c>
      <c r="C246" s="58">
        <v>9620000590</v>
      </c>
      <c r="D246" s="58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58"/>
      <c r="P246" s="58"/>
      <c r="Q246" s="58"/>
      <c r="R246" s="58"/>
      <c r="S246" s="58"/>
      <c r="T246" s="58"/>
      <c r="U246" s="58"/>
      <c r="V246" s="58"/>
      <c r="W246" s="74"/>
      <c r="X246" s="74"/>
      <c r="Y246" s="74"/>
      <c r="Z246" s="74"/>
      <c r="AA246" s="74"/>
      <c r="AB246" s="74"/>
      <c r="AC246" s="74"/>
      <c r="AD246" s="74"/>
      <c r="AE246" s="74"/>
    </row>
    <row r="247" spans="1:34" s="68" customFormat="1" ht="15" customHeight="1" x14ac:dyDescent="0.2">
      <c r="A247" s="58">
        <v>2020</v>
      </c>
      <c r="B247" s="57" t="s">
        <v>351</v>
      </c>
      <c r="C247" s="58">
        <v>9620047083</v>
      </c>
      <c r="D247" s="58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</row>
    <row r="248" spans="1:34" s="68" customFormat="1" ht="15" customHeight="1" x14ac:dyDescent="0.2">
      <c r="A248" s="76">
        <v>2020</v>
      </c>
      <c r="B248" s="75" t="s">
        <v>352</v>
      </c>
      <c r="C248" s="76">
        <v>9620000599</v>
      </c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81"/>
      <c r="X248" s="81"/>
      <c r="Y248" s="81"/>
      <c r="Z248" s="81"/>
      <c r="AA248" s="81"/>
      <c r="AB248" s="81"/>
      <c r="AC248" s="81"/>
      <c r="AD248" s="81"/>
      <c r="AE248" s="81"/>
      <c r="AF248" s="81"/>
      <c r="AG248" s="81"/>
      <c r="AH248" s="81"/>
    </row>
    <row r="249" spans="1:34" s="68" customFormat="1" ht="15" hidden="1" customHeight="1" x14ac:dyDescent="0.2">
      <c r="A249" s="58">
        <v>2019</v>
      </c>
      <c r="B249" s="57" t="s">
        <v>353</v>
      </c>
      <c r="C249" s="58">
        <v>9620000600</v>
      </c>
      <c r="D249" s="58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81"/>
      <c r="X249" s="81"/>
      <c r="Y249" s="81"/>
      <c r="Z249" s="81"/>
      <c r="AA249" s="81"/>
      <c r="AB249" s="81"/>
      <c r="AC249" s="81"/>
      <c r="AD249" s="81"/>
      <c r="AE249" s="81"/>
      <c r="AF249" s="81"/>
      <c r="AG249" s="81"/>
      <c r="AH249" s="81"/>
    </row>
    <row r="250" spans="1:34" s="68" customFormat="1" ht="15" customHeight="1" x14ac:dyDescent="0.2">
      <c r="A250" s="58">
        <v>2020</v>
      </c>
      <c r="B250" s="57" t="s">
        <v>355</v>
      </c>
      <c r="C250" s="58">
        <v>9620000601</v>
      </c>
      <c r="D250" s="58">
        <v>9620000882</v>
      </c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</row>
    <row r="251" spans="1:34" s="68" customFormat="1" ht="15" hidden="1" customHeight="1" x14ac:dyDescent="0.2">
      <c r="A251" s="69">
        <v>2018</v>
      </c>
      <c r="B251" s="59" t="s">
        <v>356</v>
      </c>
      <c r="C251" s="60">
        <v>9620000604</v>
      </c>
      <c r="D251" s="56"/>
      <c r="E251" s="56"/>
      <c r="F251" s="56"/>
      <c r="G251" s="56"/>
      <c r="H251" s="56"/>
      <c r="I251" s="56"/>
    </row>
    <row r="252" spans="1:34" s="68" customFormat="1" ht="15" hidden="1" customHeight="1" x14ac:dyDescent="0.2">
      <c r="A252" s="58">
        <v>2019</v>
      </c>
      <c r="B252" s="57" t="s">
        <v>359</v>
      </c>
      <c r="C252" s="58">
        <v>9620000611</v>
      </c>
      <c r="D252" s="58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</row>
    <row r="253" spans="1:34" s="68" customFormat="1" ht="15" hidden="1" customHeight="1" x14ac:dyDescent="0.25">
      <c r="A253" s="69">
        <v>2018</v>
      </c>
      <c r="B253" s="61" t="s">
        <v>360</v>
      </c>
      <c r="C253" s="62">
        <v>9620000613</v>
      </c>
    </row>
    <row r="254" spans="1:34" s="68" customFormat="1" ht="15" customHeight="1" x14ac:dyDescent="0.2">
      <c r="A254" s="69">
        <v>2020</v>
      </c>
      <c r="B254" s="61" t="s">
        <v>361</v>
      </c>
      <c r="C254" s="62">
        <v>9620000614</v>
      </c>
      <c r="W254" s="80"/>
      <c r="X254" s="80"/>
      <c r="Y254" s="80"/>
      <c r="Z254" s="80"/>
      <c r="AA254" s="80"/>
      <c r="AB254" s="80"/>
      <c r="AC254" s="80"/>
      <c r="AD254" s="80"/>
      <c r="AE254" s="80"/>
      <c r="AF254" s="80"/>
      <c r="AG254" s="80"/>
      <c r="AH254" s="80"/>
    </row>
    <row r="255" spans="1:34" s="68" customFormat="1" ht="15" hidden="1" customHeight="1" x14ac:dyDescent="0.2">
      <c r="A255" s="69">
        <v>2019</v>
      </c>
      <c r="B255" s="61" t="s">
        <v>364</v>
      </c>
      <c r="C255" s="62">
        <v>9620000616</v>
      </c>
      <c r="D255" s="68">
        <v>9620000884</v>
      </c>
      <c r="E255" s="68">
        <v>9620000885</v>
      </c>
      <c r="W255" s="81"/>
      <c r="X255" s="81"/>
      <c r="Y255" s="81"/>
      <c r="Z255" s="81"/>
      <c r="AA255" s="81"/>
      <c r="AB255" s="81"/>
      <c r="AC255" s="81"/>
      <c r="AD255" s="81"/>
      <c r="AE255" s="81"/>
      <c r="AF255" s="81"/>
      <c r="AG255" s="81"/>
      <c r="AH255" s="81"/>
    </row>
    <row r="256" spans="1:34" s="68" customFormat="1" ht="15" hidden="1" customHeight="1" x14ac:dyDescent="0.2">
      <c r="A256" s="58">
        <v>2018</v>
      </c>
      <c r="B256" s="57" t="s">
        <v>368</v>
      </c>
      <c r="C256" s="58">
        <v>9620000622</v>
      </c>
      <c r="D256" s="58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P256" s="58"/>
      <c r="Q256" s="58"/>
      <c r="R256" s="58"/>
      <c r="S256" s="58"/>
      <c r="T256" s="58"/>
      <c r="U256" s="58"/>
      <c r="V256" s="58"/>
      <c r="W256" s="81"/>
      <c r="X256" s="81"/>
      <c r="Y256" s="81"/>
      <c r="Z256" s="81"/>
      <c r="AA256" s="81"/>
      <c r="AB256" s="81"/>
      <c r="AC256" s="81"/>
      <c r="AD256" s="81"/>
      <c r="AE256" s="81"/>
      <c r="AF256" s="81"/>
      <c r="AG256" s="81"/>
      <c r="AH256" s="81"/>
    </row>
    <row r="257" spans="1:34" s="68" customFormat="1" ht="15" customHeight="1" x14ac:dyDescent="0.2">
      <c r="A257" s="69">
        <v>2020</v>
      </c>
      <c r="B257" s="59" t="s">
        <v>370</v>
      </c>
      <c r="C257" s="60">
        <v>9620000638</v>
      </c>
      <c r="D257" s="82"/>
      <c r="E257" s="82"/>
      <c r="F257" s="82"/>
      <c r="G257" s="82"/>
      <c r="H257" s="82"/>
      <c r="I257" s="82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</row>
    <row r="258" spans="1:34" s="68" customFormat="1" ht="15" hidden="1" customHeight="1" x14ac:dyDescent="0.2">
      <c r="A258" s="69" t="s">
        <v>488</v>
      </c>
      <c r="B258" s="59" t="s">
        <v>371</v>
      </c>
      <c r="C258" s="60">
        <v>9620000639</v>
      </c>
      <c r="D258" s="82"/>
      <c r="E258" s="82"/>
      <c r="F258" s="82"/>
      <c r="G258" s="82"/>
      <c r="H258" s="82"/>
      <c r="I258" s="82"/>
      <c r="J258" s="82"/>
      <c r="W258" s="81"/>
      <c r="X258" s="81"/>
      <c r="Y258" s="81"/>
      <c r="Z258" s="81"/>
      <c r="AA258" s="81"/>
      <c r="AB258" s="81"/>
      <c r="AC258" s="81"/>
      <c r="AD258" s="81"/>
      <c r="AE258" s="81"/>
      <c r="AF258" s="81"/>
      <c r="AG258" s="81"/>
      <c r="AH258" s="81"/>
    </row>
    <row r="259" spans="1:34" s="68" customFormat="1" ht="15" hidden="1" customHeight="1" x14ac:dyDescent="0.2">
      <c r="A259" s="58">
        <v>2019</v>
      </c>
      <c r="B259" s="57" t="s">
        <v>372</v>
      </c>
      <c r="C259" s="58">
        <v>9620000640</v>
      </c>
      <c r="D259" s="58"/>
      <c r="E259" s="58"/>
      <c r="F259" s="58"/>
      <c r="G259" s="58"/>
      <c r="H259" s="58"/>
      <c r="I259" s="58"/>
      <c r="J259" s="58"/>
      <c r="K259" s="58"/>
      <c r="L259" s="58"/>
      <c r="M259" s="58"/>
      <c r="N259" s="58"/>
      <c r="O259" s="58"/>
      <c r="P259" s="58"/>
      <c r="Q259" s="58"/>
      <c r="R259" s="58"/>
      <c r="S259" s="58"/>
      <c r="T259" s="58"/>
      <c r="U259" s="58"/>
      <c r="V259" s="58"/>
      <c r="W259" s="81"/>
      <c r="X259" s="81"/>
      <c r="Y259" s="81"/>
      <c r="Z259" s="81"/>
      <c r="AA259" s="81"/>
      <c r="AB259" s="81"/>
      <c r="AC259" s="81"/>
      <c r="AD259" s="81"/>
      <c r="AE259" s="81"/>
      <c r="AF259" s="81"/>
      <c r="AG259" s="81"/>
      <c r="AH259" s="81"/>
    </row>
    <row r="260" spans="1:34" s="68" customFormat="1" ht="15" hidden="1" customHeight="1" x14ac:dyDescent="0.2">
      <c r="A260" s="58">
        <v>2018</v>
      </c>
      <c r="B260" s="57" t="s">
        <v>373</v>
      </c>
      <c r="C260" s="58">
        <v>9620000641</v>
      </c>
      <c r="D260" s="58"/>
      <c r="E260" s="58"/>
      <c r="F260" s="58"/>
      <c r="G260" s="58"/>
      <c r="H260" s="58"/>
      <c r="I260" s="58"/>
      <c r="J260" s="58"/>
      <c r="K260" s="58"/>
      <c r="L260" s="58"/>
      <c r="M260" s="58"/>
      <c r="N260" s="58"/>
      <c r="O260" s="58"/>
      <c r="P260" s="58"/>
      <c r="Q260" s="58"/>
      <c r="R260" s="58"/>
      <c r="S260" s="58"/>
      <c r="T260" s="58"/>
      <c r="U260" s="58"/>
      <c r="V260" s="58"/>
      <c r="W260" s="81"/>
      <c r="X260" s="81"/>
      <c r="Y260" s="81"/>
      <c r="Z260" s="81"/>
      <c r="AA260" s="81"/>
      <c r="AB260" s="81"/>
      <c r="AC260" s="81"/>
      <c r="AD260" s="81"/>
      <c r="AE260" s="81"/>
      <c r="AF260" s="81"/>
      <c r="AG260" s="81"/>
      <c r="AH260" s="81"/>
    </row>
    <row r="261" spans="1:34" s="68" customFormat="1" ht="15" customHeight="1" x14ac:dyDescent="0.25">
      <c r="A261" s="69">
        <v>2020</v>
      </c>
      <c r="B261" s="61" t="s">
        <v>374</v>
      </c>
      <c r="C261" s="62">
        <v>9620000642</v>
      </c>
    </row>
    <row r="262" spans="1:34" s="68" customFormat="1" ht="15" customHeight="1" x14ac:dyDescent="0.2">
      <c r="A262" s="69">
        <v>2020</v>
      </c>
      <c r="B262" s="59" t="s">
        <v>464</v>
      </c>
      <c r="C262" s="60">
        <v>9620000644</v>
      </c>
      <c r="D262" s="82"/>
      <c r="E262" s="82"/>
      <c r="F262" s="82"/>
      <c r="G262" s="82"/>
      <c r="H262" s="82"/>
      <c r="I262" s="82"/>
      <c r="J262" s="82"/>
      <c r="W262" s="80"/>
      <c r="X262" s="80"/>
      <c r="Y262" s="80"/>
      <c r="Z262" s="80"/>
      <c r="AA262" s="80"/>
      <c r="AB262" s="80"/>
      <c r="AC262" s="80"/>
      <c r="AD262" s="80"/>
      <c r="AE262" s="80"/>
      <c r="AF262" s="80"/>
      <c r="AG262" s="80"/>
      <c r="AH262" s="80"/>
    </row>
    <row r="263" spans="1:34" s="56" customFormat="1" ht="15" hidden="1" customHeight="1" x14ac:dyDescent="0.2">
      <c r="A263" s="69" t="s">
        <v>488</v>
      </c>
      <c r="B263" s="59" t="s">
        <v>377</v>
      </c>
      <c r="C263" s="60">
        <v>9620000888</v>
      </c>
      <c r="D263" s="82"/>
      <c r="E263" s="82"/>
      <c r="F263" s="82"/>
      <c r="G263" s="82"/>
      <c r="H263" s="82"/>
      <c r="I263" s="82"/>
      <c r="J263" s="82"/>
      <c r="K263" s="82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82"/>
      <c r="X263" s="82"/>
      <c r="Y263" s="82"/>
      <c r="Z263" s="82"/>
      <c r="AA263" s="82"/>
      <c r="AB263" s="82"/>
      <c r="AC263" s="82"/>
      <c r="AD263" s="82"/>
      <c r="AE263" s="82"/>
      <c r="AF263" s="82"/>
      <c r="AG263" s="82"/>
      <c r="AH263" s="82"/>
    </row>
    <row r="264" spans="1:34" s="56" customFormat="1" ht="15" hidden="1" customHeight="1" x14ac:dyDescent="0.2">
      <c r="A264" s="69">
        <v>2018</v>
      </c>
      <c r="B264" s="61" t="s">
        <v>378</v>
      </c>
      <c r="C264" s="62">
        <v>9620000648</v>
      </c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88"/>
      <c r="X264" s="88"/>
      <c r="Y264" s="88"/>
      <c r="Z264" s="88"/>
      <c r="AA264" s="88"/>
      <c r="AB264" s="88"/>
      <c r="AC264" s="88"/>
      <c r="AD264" s="88"/>
      <c r="AE264" s="88"/>
      <c r="AF264" s="88"/>
      <c r="AG264" s="88"/>
      <c r="AH264" s="88"/>
    </row>
    <row r="265" spans="1:34" s="56" customFormat="1" ht="15" customHeight="1" x14ac:dyDescent="0.2">
      <c r="A265" s="76">
        <v>2020</v>
      </c>
      <c r="B265" s="75" t="s">
        <v>379</v>
      </c>
      <c r="C265" s="76">
        <v>9620000649</v>
      </c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</row>
    <row r="266" spans="1:34" s="56" customFormat="1" ht="15" hidden="1" customHeight="1" x14ac:dyDescent="0.2">
      <c r="A266" s="58">
        <v>2019</v>
      </c>
      <c r="B266" s="57" t="s">
        <v>380</v>
      </c>
      <c r="C266" s="58">
        <v>9620000650</v>
      </c>
      <c r="D266" s="58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58"/>
      <c r="Q266" s="58"/>
      <c r="R266" s="58"/>
      <c r="S266" s="58"/>
      <c r="T266" s="58"/>
      <c r="U266" s="58"/>
      <c r="V266" s="58"/>
    </row>
    <row r="267" spans="1:34" s="56" customFormat="1" ht="15" customHeight="1" x14ac:dyDescent="0.2">
      <c r="A267" s="58">
        <v>2020</v>
      </c>
      <c r="B267" s="57" t="s">
        <v>381</v>
      </c>
      <c r="C267" s="58">
        <v>9620000653</v>
      </c>
      <c r="D267" s="58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58"/>
      <c r="P267" s="58"/>
      <c r="Q267" s="58"/>
      <c r="R267" s="58"/>
      <c r="S267" s="58"/>
      <c r="T267" s="58"/>
      <c r="U267" s="58"/>
      <c r="V267" s="58"/>
    </row>
    <row r="268" spans="1:34" s="56" customFormat="1" ht="15" customHeight="1" x14ac:dyDescent="0.2">
      <c r="A268" s="69">
        <v>2020</v>
      </c>
      <c r="B268" s="61" t="s">
        <v>382</v>
      </c>
      <c r="C268" s="62">
        <v>9620000656</v>
      </c>
      <c r="D268" s="62">
        <v>9620000657</v>
      </c>
      <c r="E268" s="62">
        <v>9620000890</v>
      </c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82"/>
      <c r="X268" s="82"/>
      <c r="Y268" s="82"/>
      <c r="Z268" s="82"/>
      <c r="AA268" s="82"/>
      <c r="AB268" s="82"/>
      <c r="AC268" s="82"/>
      <c r="AD268" s="82"/>
      <c r="AE268" s="82"/>
      <c r="AF268" s="82"/>
      <c r="AG268" s="82"/>
      <c r="AH268" s="82"/>
    </row>
    <row r="269" spans="1:34" s="82" customFormat="1" ht="15" customHeight="1" x14ac:dyDescent="0.2">
      <c r="A269" s="58">
        <v>2020</v>
      </c>
      <c r="B269" s="57" t="s">
        <v>385</v>
      </c>
      <c r="C269" s="58">
        <v>9620000658</v>
      </c>
      <c r="D269" s="58">
        <v>9620000891</v>
      </c>
      <c r="E269" s="58">
        <v>9620000892</v>
      </c>
      <c r="F269" s="58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  <c r="R269" s="58"/>
      <c r="S269" s="58"/>
      <c r="T269" s="58"/>
      <c r="U269" s="58"/>
      <c r="V269" s="58"/>
    </row>
    <row r="270" spans="1:34" s="88" customFormat="1" ht="15" hidden="1" customHeight="1" x14ac:dyDescent="0.2">
      <c r="A270" s="58">
        <v>2019</v>
      </c>
      <c r="B270" s="57" t="s">
        <v>388</v>
      </c>
      <c r="C270" s="58">
        <v>9620000661</v>
      </c>
      <c r="D270" s="58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58"/>
      <c r="P270" s="58"/>
      <c r="Q270" s="58"/>
      <c r="R270" s="58"/>
      <c r="S270" s="58"/>
      <c r="T270" s="58"/>
      <c r="U270" s="58"/>
      <c r="V270" s="58"/>
      <c r="W270" s="82"/>
      <c r="X270" s="82"/>
      <c r="Y270" s="82"/>
      <c r="Z270" s="82"/>
      <c r="AA270" s="82"/>
      <c r="AB270" s="82"/>
      <c r="AC270" s="82"/>
      <c r="AD270" s="82"/>
      <c r="AE270" s="82"/>
      <c r="AF270" s="82"/>
      <c r="AG270" s="82"/>
      <c r="AH270" s="82"/>
    </row>
    <row r="271" spans="1:34" s="88" customFormat="1" ht="15" hidden="1" customHeight="1" x14ac:dyDescent="0.2">
      <c r="A271" s="69" t="s">
        <v>488</v>
      </c>
      <c r="B271" s="64" t="s">
        <v>389</v>
      </c>
      <c r="C271" s="65">
        <v>9620000663</v>
      </c>
      <c r="D271" s="65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</row>
    <row r="272" spans="1:34" s="88" customFormat="1" ht="15" customHeight="1" x14ac:dyDescent="0.2">
      <c r="A272" s="58">
        <v>2020</v>
      </c>
      <c r="B272" s="57" t="s">
        <v>390</v>
      </c>
      <c r="C272" s="58">
        <v>9620000666</v>
      </c>
      <c r="D272" s="58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58"/>
      <c r="Q272" s="58"/>
      <c r="R272" s="58"/>
      <c r="S272" s="58"/>
      <c r="T272" s="58"/>
      <c r="U272" s="58"/>
      <c r="V272" s="58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</row>
    <row r="273" spans="1:34" s="88" customFormat="1" ht="15" hidden="1" customHeight="1" x14ac:dyDescent="0.2">
      <c r="A273" s="69">
        <v>2018</v>
      </c>
      <c r="B273" s="61" t="s">
        <v>391</v>
      </c>
      <c r="C273" s="62">
        <v>9620000114</v>
      </c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82"/>
      <c r="X273" s="82"/>
      <c r="Y273" s="82"/>
      <c r="Z273" s="82"/>
      <c r="AA273" s="82"/>
      <c r="AB273" s="82"/>
      <c r="AC273" s="82"/>
      <c r="AD273" s="82"/>
      <c r="AE273" s="82"/>
      <c r="AF273" s="82"/>
      <c r="AG273" s="82"/>
      <c r="AH273" s="82"/>
    </row>
    <row r="274" spans="1:34" s="88" customFormat="1" ht="15" customHeight="1" x14ac:dyDescent="0.2">
      <c r="A274" s="76">
        <v>2020</v>
      </c>
      <c r="B274" s="70" t="s">
        <v>392</v>
      </c>
      <c r="C274" s="62">
        <v>9620000667</v>
      </c>
      <c r="D274" s="84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82"/>
      <c r="X274" s="82"/>
      <c r="Y274" s="82"/>
      <c r="Z274" s="82"/>
      <c r="AA274" s="82"/>
      <c r="AB274" s="82"/>
      <c r="AC274" s="82"/>
      <c r="AD274" s="82"/>
      <c r="AE274" s="82"/>
      <c r="AF274" s="82"/>
      <c r="AG274" s="82"/>
      <c r="AH274" s="82"/>
    </row>
    <row r="275" spans="1:34" s="88" customFormat="1" ht="15" hidden="1" customHeight="1" x14ac:dyDescent="0.2">
      <c r="A275" s="65">
        <v>2019</v>
      </c>
      <c r="B275" s="64" t="s">
        <v>395</v>
      </c>
      <c r="C275" s="65">
        <v>9620000670</v>
      </c>
      <c r="D275" s="65"/>
      <c r="E275" s="65"/>
      <c r="F275" s="65"/>
      <c r="G275" s="65"/>
      <c r="H275" s="65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82"/>
      <c r="X275" s="82"/>
      <c r="Y275" s="82"/>
      <c r="Z275" s="82"/>
      <c r="AA275" s="82"/>
      <c r="AB275" s="82"/>
      <c r="AC275" s="82"/>
      <c r="AD275" s="82"/>
      <c r="AE275" s="82"/>
      <c r="AF275" s="82"/>
      <c r="AG275" s="82"/>
      <c r="AH275" s="82"/>
    </row>
    <row r="276" spans="1:34" s="88" customFormat="1" ht="15" customHeight="1" x14ac:dyDescent="0.2">
      <c r="A276" s="84">
        <v>2020</v>
      </c>
      <c r="B276" s="59" t="s">
        <v>396</v>
      </c>
      <c r="C276" s="60">
        <v>9620000716</v>
      </c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</row>
    <row r="277" spans="1:34" s="88" customFormat="1" ht="15" customHeight="1" x14ac:dyDescent="0.2">
      <c r="A277" s="89">
        <v>2020</v>
      </c>
      <c r="B277" s="71" t="s">
        <v>397</v>
      </c>
      <c r="C277" s="60">
        <v>9620000675</v>
      </c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</row>
    <row r="278" spans="1:34" s="88" customFormat="1" ht="15" hidden="1" customHeight="1" x14ac:dyDescent="0.2">
      <c r="A278" s="89">
        <v>2017</v>
      </c>
      <c r="B278" s="59" t="s">
        <v>398</v>
      </c>
      <c r="C278" s="60">
        <v>9620000678</v>
      </c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</row>
    <row r="279" spans="1:34" s="88" customFormat="1" ht="15" hidden="1" customHeight="1" x14ac:dyDescent="0.2">
      <c r="A279" s="69" t="s">
        <v>488</v>
      </c>
      <c r="B279" s="59" t="s">
        <v>399</v>
      </c>
      <c r="C279" s="60">
        <v>9620000679</v>
      </c>
      <c r="D279" s="56">
        <v>9620000680</v>
      </c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</row>
    <row r="280" spans="1:34" s="88" customFormat="1" ht="15" customHeight="1" x14ac:dyDescent="0.2">
      <c r="A280" s="65">
        <v>2020</v>
      </c>
      <c r="B280" s="64" t="s">
        <v>401</v>
      </c>
      <c r="C280" s="65">
        <v>9620000682</v>
      </c>
      <c r="D280" s="65"/>
      <c r="E280" s="65"/>
      <c r="F280" s="65"/>
      <c r="G280" s="65"/>
      <c r="H280" s="65"/>
      <c r="I280" s="65"/>
      <c r="J280" s="65"/>
      <c r="K280" s="65"/>
      <c r="L280" s="65"/>
      <c r="M280" s="65"/>
      <c r="N280" s="65"/>
      <c r="O280" s="65"/>
      <c r="P280" s="65"/>
      <c r="Q280" s="65"/>
      <c r="R280" s="65"/>
      <c r="S280" s="65"/>
      <c r="T280" s="65"/>
      <c r="U280" s="65"/>
      <c r="V280" s="65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</row>
    <row r="281" spans="1:34" s="88" customFormat="1" ht="15" customHeight="1" x14ac:dyDescent="0.2">
      <c r="A281" s="65">
        <v>2020</v>
      </c>
      <c r="B281" s="64" t="s">
        <v>402</v>
      </c>
      <c r="C281" s="65">
        <v>9620000683</v>
      </c>
      <c r="D281" s="65"/>
      <c r="E281" s="65"/>
      <c r="F281" s="65"/>
      <c r="G281" s="65"/>
      <c r="H281" s="65"/>
      <c r="I281" s="65"/>
      <c r="J281" s="65"/>
      <c r="K281" s="65"/>
      <c r="L281" s="65"/>
      <c r="M281" s="65"/>
      <c r="N281" s="65"/>
      <c r="O281" s="65"/>
      <c r="P281" s="65"/>
      <c r="Q281" s="65"/>
      <c r="R281" s="65"/>
      <c r="S281" s="65"/>
      <c r="T281" s="65"/>
      <c r="U281" s="65"/>
      <c r="V281" s="65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</row>
    <row r="282" spans="1:34" s="88" customFormat="1" ht="15" hidden="1" customHeight="1" x14ac:dyDescent="0.2">
      <c r="A282" s="65">
        <v>2019</v>
      </c>
      <c r="B282" s="64" t="s">
        <v>404</v>
      </c>
      <c r="C282" s="65">
        <v>9620000685</v>
      </c>
      <c r="D282" s="65"/>
      <c r="E282" s="65"/>
      <c r="F282" s="65"/>
      <c r="G282" s="65"/>
      <c r="H282" s="65"/>
      <c r="I282" s="65"/>
      <c r="J282" s="65"/>
      <c r="K282" s="65"/>
      <c r="L282" s="65"/>
      <c r="M282" s="65"/>
      <c r="N282" s="65"/>
      <c r="O282" s="65"/>
      <c r="P282" s="65"/>
      <c r="Q282" s="65"/>
      <c r="R282" s="65"/>
      <c r="S282" s="65"/>
      <c r="T282" s="65"/>
      <c r="U282" s="65"/>
      <c r="V282" s="65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</row>
    <row r="283" spans="1:34" s="88" customFormat="1" ht="15" hidden="1" customHeight="1" x14ac:dyDescent="0.2">
      <c r="A283" s="89">
        <v>2018</v>
      </c>
      <c r="B283" s="55" t="s">
        <v>534</v>
      </c>
      <c r="C283" s="56">
        <v>9620000686</v>
      </c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</row>
    <row r="284" spans="1:34" s="88" customFormat="1" ht="15" hidden="1" customHeight="1" x14ac:dyDescent="0.2">
      <c r="A284" s="89">
        <v>2019</v>
      </c>
      <c r="B284" s="55" t="s">
        <v>406</v>
      </c>
      <c r="C284" s="56">
        <v>9620047086</v>
      </c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</row>
    <row r="285" spans="1:34" s="88" customFormat="1" ht="15" customHeight="1" x14ac:dyDescent="0.2">
      <c r="A285" s="65">
        <v>2020</v>
      </c>
      <c r="B285" s="64" t="s">
        <v>407</v>
      </c>
      <c r="C285" s="65">
        <v>9620046963</v>
      </c>
      <c r="D285" s="65"/>
      <c r="E285" s="65"/>
      <c r="F285" s="65"/>
      <c r="G285" s="65"/>
      <c r="H285" s="65"/>
      <c r="I285" s="65"/>
      <c r="J285" s="65"/>
      <c r="K285" s="65"/>
      <c r="L285" s="65"/>
      <c r="M285" s="65"/>
      <c r="N285" s="65"/>
      <c r="O285" s="65"/>
      <c r="P285" s="65"/>
      <c r="Q285" s="65"/>
      <c r="R285" s="65"/>
      <c r="S285" s="65"/>
      <c r="T285" s="65"/>
      <c r="U285" s="65"/>
      <c r="V285" s="65"/>
    </row>
    <row r="286" spans="1:34" s="88" customFormat="1" ht="15" customHeight="1" x14ac:dyDescent="0.2">
      <c r="A286" s="65">
        <v>2020</v>
      </c>
      <c r="B286" s="64" t="s">
        <v>409</v>
      </c>
      <c r="C286" s="65">
        <v>9620000702</v>
      </c>
      <c r="D286" s="65">
        <v>9620005803</v>
      </c>
      <c r="E286" s="65"/>
      <c r="F286" s="65"/>
      <c r="G286" s="65"/>
      <c r="H286" s="65"/>
      <c r="I286" s="65"/>
      <c r="J286" s="65"/>
      <c r="K286" s="65"/>
      <c r="L286" s="65"/>
      <c r="M286" s="65"/>
      <c r="N286" s="65"/>
      <c r="O286" s="65"/>
      <c r="P286" s="65"/>
      <c r="Q286" s="65"/>
      <c r="R286" s="65"/>
      <c r="S286" s="65"/>
      <c r="T286" s="65"/>
      <c r="U286" s="65"/>
      <c r="V286" s="65"/>
    </row>
    <row r="287" spans="1:34" s="88" customFormat="1" ht="15" hidden="1" customHeight="1" x14ac:dyDescent="0.2">
      <c r="A287" s="69" t="s">
        <v>488</v>
      </c>
      <c r="B287" s="64" t="s">
        <v>410</v>
      </c>
      <c r="C287" s="65">
        <v>9620047832</v>
      </c>
      <c r="D287" s="65"/>
      <c r="E287" s="65"/>
      <c r="F287" s="65"/>
      <c r="G287" s="65"/>
      <c r="H287" s="65"/>
      <c r="I287" s="65"/>
      <c r="J287" s="65"/>
      <c r="K287" s="65"/>
      <c r="L287" s="65"/>
      <c r="M287" s="65"/>
      <c r="N287" s="65"/>
      <c r="O287" s="65"/>
      <c r="P287" s="65"/>
      <c r="Q287" s="65"/>
      <c r="R287" s="65"/>
      <c r="S287" s="65"/>
      <c r="T287" s="65"/>
      <c r="U287" s="65"/>
      <c r="V287" s="65"/>
    </row>
    <row r="288" spans="1:34" s="88" customFormat="1" ht="15" customHeight="1" x14ac:dyDescent="0.2">
      <c r="A288" s="89">
        <v>2020</v>
      </c>
      <c r="B288" s="59" t="s">
        <v>411</v>
      </c>
      <c r="C288" s="60">
        <v>9620000705</v>
      </c>
      <c r="D288" s="82"/>
      <c r="E288" s="82"/>
      <c r="F288" s="82"/>
      <c r="G288" s="82"/>
      <c r="H288" s="82"/>
      <c r="I288" s="82"/>
      <c r="J288" s="82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</row>
    <row r="289" spans="1:22" s="88" customFormat="1" ht="15" hidden="1" customHeight="1" x14ac:dyDescent="0.2">
      <c r="A289" s="89">
        <v>2019</v>
      </c>
      <c r="B289" s="55" t="s">
        <v>535</v>
      </c>
      <c r="C289" s="90">
        <v>9620000706</v>
      </c>
      <c r="D289" s="90">
        <v>9620000899</v>
      </c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</row>
    <row r="290" spans="1:22" s="88" customFormat="1" ht="15" customHeight="1" x14ac:dyDescent="0.2">
      <c r="A290" s="89">
        <v>2020</v>
      </c>
      <c r="B290" s="71" t="s">
        <v>413</v>
      </c>
      <c r="C290" s="60">
        <v>9620000711</v>
      </c>
      <c r="D290" s="56">
        <v>9620000898</v>
      </c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</row>
    <row r="291" spans="1:22" s="88" customFormat="1" ht="15" customHeight="1" x14ac:dyDescent="0.2">
      <c r="A291" s="89">
        <v>2020</v>
      </c>
      <c r="B291" s="71" t="s">
        <v>414</v>
      </c>
      <c r="C291" s="60">
        <v>9620047081</v>
      </c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</row>
    <row r="292" spans="1:22" s="88" customFormat="1" ht="15" customHeight="1" x14ac:dyDescent="0.2">
      <c r="A292" s="89">
        <v>2020</v>
      </c>
      <c r="B292" s="71" t="s">
        <v>415</v>
      </c>
      <c r="C292" s="60">
        <v>9620000714</v>
      </c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</row>
    <row r="293" spans="1:22" s="88" customFormat="1" ht="15" customHeight="1" x14ac:dyDescent="0.2">
      <c r="A293" s="89">
        <v>2020</v>
      </c>
      <c r="B293" s="71" t="s">
        <v>416</v>
      </c>
      <c r="C293" s="60">
        <v>9620000715</v>
      </c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</row>
    <row r="294" spans="1:22" s="88" customFormat="1" ht="15" customHeight="1" x14ac:dyDescent="0.2">
      <c r="A294" s="89">
        <v>2020</v>
      </c>
      <c r="B294" s="71" t="s">
        <v>418</v>
      </c>
      <c r="C294" s="60">
        <v>9620000723</v>
      </c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s="88" customFormat="1" ht="15" hidden="1" customHeight="1" x14ac:dyDescent="0.2">
      <c r="A295" s="89">
        <v>2019</v>
      </c>
      <c r="B295" s="71" t="s">
        <v>419</v>
      </c>
      <c r="C295" s="60">
        <v>9620000726</v>
      </c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</row>
    <row r="296" spans="1:22" s="88" customFormat="1" ht="15" customHeight="1" x14ac:dyDescent="0.2">
      <c r="A296" s="65">
        <v>2020</v>
      </c>
      <c r="B296" s="64" t="s">
        <v>541</v>
      </c>
      <c r="C296" s="65">
        <v>9620000783</v>
      </c>
      <c r="D296" s="65">
        <v>9620000784</v>
      </c>
      <c r="E296" s="65">
        <v>9620000785</v>
      </c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</row>
    <row r="297" spans="1:22" s="88" customFormat="1" ht="15" customHeight="1" x14ac:dyDescent="0.2">
      <c r="A297" s="65"/>
      <c r="B297" s="64"/>
      <c r="C297" s="65"/>
      <c r="D297" s="65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</row>
    <row r="298" spans="1:22" s="88" customFormat="1" ht="15" customHeight="1" x14ac:dyDescent="0.2">
      <c r="A298" s="65"/>
      <c r="B298" s="64"/>
      <c r="C298" s="65"/>
      <c r="D298" s="65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</row>
    <row r="299" spans="1:22" s="88" customFormat="1" ht="15" customHeight="1" x14ac:dyDescent="0.2">
      <c r="A299" s="65"/>
      <c r="B299" s="64"/>
      <c r="C299" s="65"/>
      <c r="D299" s="65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</row>
    <row r="300" spans="1:22" s="88" customFormat="1" ht="15" customHeight="1" x14ac:dyDescent="0.2">
      <c r="A300" s="84"/>
      <c r="B300" s="91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</row>
    <row r="301" spans="1:22" s="88" customFormat="1" ht="15" customHeight="1" x14ac:dyDescent="0.2">
      <c r="A301" s="84"/>
      <c r="B301" s="91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</row>
    <row r="302" spans="1:22" s="88" customFormat="1" ht="15" customHeight="1" x14ac:dyDescent="0.2">
      <c r="A302" s="84"/>
      <c r="B302" s="91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</row>
    <row r="303" spans="1:22" s="88" customFormat="1" ht="15" customHeight="1" x14ac:dyDescent="0.2">
      <c r="A303" s="84"/>
      <c r="B303" s="91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</row>
    <row r="304" spans="1:22" s="88" customFormat="1" ht="15" customHeight="1" x14ac:dyDescent="0.2">
      <c r="A304" s="84"/>
      <c r="B304" s="91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</row>
    <row r="305" spans="1:22" s="88" customFormat="1" ht="15" customHeight="1" x14ac:dyDescent="0.2">
      <c r="A305" s="84"/>
      <c r="B305" s="91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</row>
    <row r="306" spans="1:22" s="88" customFormat="1" ht="15" customHeight="1" x14ac:dyDescent="0.2">
      <c r="A306" s="84"/>
      <c r="B306" s="91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</row>
    <row r="307" spans="1:22" s="88" customFormat="1" ht="15" customHeight="1" x14ac:dyDescent="0.2">
      <c r="A307" s="84"/>
      <c r="B307" s="91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</row>
    <row r="308" spans="1:22" s="88" customFormat="1" ht="15" customHeight="1" x14ac:dyDescent="0.2">
      <c r="A308" s="84"/>
      <c r="B308" s="91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</row>
    <row r="309" spans="1:22" s="88" customFormat="1" ht="15" customHeight="1" x14ac:dyDescent="0.2">
      <c r="A309" s="84"/>
      <c r="B309" s="91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</row>
    <row r="310" spans="1:22" s="88" customFormat="1" ht="15" customHeight="1" x14ac:dyDescent="0.2">
      <c r="A310" s="84"/>
      <c r="B310" s="91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</row>
    <row r="311" spans="1:22" s="88" customFormat="1" ht="15" customHeight="1" x14ac:dyDescent="0.2">
      <c r="A311" s="84"/>
      <c r="B311" s="91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</row>
    <row r="312" spans="1:22" s="88" customFormat="1" ht="15" customHeight="1" x14ac:dyDescent="0.2">
      <c r="A312" s="84"/>
      <c r="B312" s="91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</row>
    <row r="313" spans="1:22" s="88" customFormat="1" ht="15" customHeight="1" x14ac:dyDescent="0.2">
      <c r="A313" s="84"/>
      <c r="B313" s="91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</row>
    <row r="314" spans="1:22" s="88" customFormat="1" ht="15" customHeight="1" x14ac:dyDescent="0.2">
      <c r="A314" s="84"/>
      <c r="B314" s="91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</row>
    <row r="315" spans="1:22" s="88" customFormat="1" ht="15" customHeight="1" x14ac:dyDescent="0.2">
      <c r="A315" s="84"/>
      <c r="B315" s="91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</row>
    <row r="316" spans="1:22" s="88" customFormat="1" ht="15" customHeight="1" x14ac:dyDescent="0.2">
      <c r="A316" s="84"/>
      <c r="B316" s="91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</row>
    <row r="317" spans="1:22" s="88" customFormat="1" ht="15" customHeight="1" x14ac:dyDescent="0.2">
      <c r="A317" s="84"/>
      <c r="B317" s="91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</row>
    <row r="318" spans="1:22" s="88" customFormat="1" ht="15" customHeight="1" x14ac:dyDescent="0.2">
      <c r="A318" s="84"/>
      <c r="B318" s="91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</row>
    <row r="319" spans="1:22" s="88" customFormat="1" ht="15" customHeight="1" x14ac:dyDescent="0.2">
      <c r="A319" s="84"/>
      <c r="B319" s="91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</row>
    <row r="320" spans="1:22" s="88" customFormat="1" ht="15" customHeight="1" x14ac:dyDescent="0.2">
      <c r="A320" s="84"/>
      <c r="B320" s="91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</row>
    <row r="321" spans="1:22" s="88" customFormat="1" ht="15" customHeight="1" x14ac:dyDescent="0.2">
      <c r="A321" s="84"/>
      <c r="B321" s="91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</row>
    <row r="322" spans="1:22" s="88" customFormat="1" ht="15" customHeight="1" x14ac:dyDescent="0.2">
      <c r="A322" s="84"/>
      <c r="B322" s="91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</row>
    <row r="323" spans="1:22" s="88" customFormat="1" ht="15" customHeight="1" x14ac:dyDescent="0.2">
      <c r="A323" s="84"/>
      <c r="B323" s="91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</row>
    <row r="324" spans="1:22" s="88" customFormat="1" ht="15" customHeight="1" x14ac:dyDescent="0.2">
      <c r="A324" s="84"/>
      <c r="B324" s="91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</row>
    <row r="325" spans="1:22" s="88" customFormat="1" ht="15" customHeight="1" x14ac:dyDescent="0.2">
      <c r="A325" s="84"/>
      <c r="B325" s="91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</row>
  </sheetData>
  <autoFilter ref="A1:V295" xr:uid="{66B27F8F-B74C-484F-8BE8-00186C612E67}">
    <filterColumn colId="0">
      <filters>
        <filter val="2020"/>
      </filters>
    </filterColumn>
  </autoFilter>
  <conditionalFormatting sqref="B281:B290 B1 B292 B295:B1048576">
    <cfRule type="duplicateValues" dxfId="172" priority="167"/>
    <cfRule type="duplicateValues" dxfId="171" priority="168"/>
  </conditionalFormatting>
  <conditionalFormatting sqref="C1 C281:C288 C295:C1048576">
    <cfRule type="duplicateValues" dxfId="170" priority="166"/>
  </conditionalFormatting>
  <conditionalFormatting sqref="A1">
    <cfRule type="duplicateValues" dxfId="169" priority="164"/>
    <cfRule type="duplicateValues" dxfId="168" priority="165"/>
  </conditionalFormatting>
  <conditionalFormatting sqref="C2:C102">
    <cfRule type="duplicateValues" dxfId="167" priority="163"/>
  </conditionalFormatting>
  <conditionalFormatting sqref="C103:C110 C112:C157">
    <cfRule type="duplicateValues" dxfId="166" priority="160"/>
  </conditionalFormatting>
  <conditionalFormatting sqref="B103:B157">
    <cfRule type="duplicateValues" dxfId="165" priority="159"/>
  </conditionalFormatting>
  <conditionalFormatting sqref="C111">
    <cfRule type="duplicateValues" dxfId="164" priority="158"/>
  </conditionalFormatting>
  <conditionalFormatting sqref="D140">
    <cfRule type="duplicateValues" dxfId="163" priority="157"/>
  </conditionalFormatting>
  <conditionalFormatting sqref="E140">
    <cfRule type="duplicateValues" dxfId="162" priority="156"/>
  </conditionalFormatting>
  <conditionalFormatting sqref="F140">
    <cfRule type="duplicateValues" dxfId="161" priority="155"/>
  </conditionalFormatting>
  <conditionalFormatting sqref="G140">
    <cfRule type="duplicateValues" dxfId="160" priority="154"/>
  </conditionalFormatting>
  <conditionalFormatting sqref="C159">
    <cfRule type="duplicateValues" dxfId="159" priority="153"/>
  </conditionalFormatting>
  <conditionalFormatting sqref="B159">
    <cfRule type="duplicateValues" dxfId="158" priority="152"/>
  </conditionalFormatting>
  <conditionalFormatting sqref="B162">
    <cfRule type="duplicateValues" dxfId="157" priority="151"/>
  </conditionalFormatting>
  <conditionalFormatting sqref="C162">
    <cfRule type="duplicateValues" dxfId="156" priority="150"/>
  </conditionalFormatting>
  <conditionalFormatting sqref="B163">
    <cfRule type="duplicateValues" dxfId="155" priority="147"/>
  </conditionalFormatting>
  <conditionalFormatting sqref="C163">
    <cfRule type="duplicateValues" dxfId="154" priority="148"/>
  </conditionalFormatting>
  <conditionalFormatting sqref="D163">
    <cfRule type="duplicateValues" dxfId="153" priority="149"/>
  </conditionalFormatting>
  <conditionalFormatting sqref="B164">
    <cfRule type="duplicateValues" dxfId="152" priority="145"/>
  </conditionalFormatting>
  <conditionalFormatting sqref="C164">
    <cfRule type="duplicateValues" dxfId="151" priority="146"/>
  </conditionalFormatting>
  <conditionalFormatting sqref="B174:E174 B166:E166 D165:E165 D167:E170 D172:E173 D175:E178 E179 D180:E182 B103:E164 D184:E187">
    <cfRule type="duplicateValues" dxfId="150" priority="144"/>
  </conditionalFormatting>
  <conditionalFormatting sqref="C165">
    <cfRule type="duplicateValues" dxfId="149" priority="143"/>
  </conditionalFormatting>
  <conditionalFormatting sqref="B165">
    <cfRule type="duplicateValues" dxfId="148" priority="142"/>
  </conditionalFormatting>
  <conditionalFormatting sqref="B167">
    <cfRule type="duplicateValues" dxfId="147" priority="140"/>
  </conditionalFormatting>
  <conditionalFormatting sqref="C167">
    <cfRule type="duplicateValues" dxfId="146" priority="141"/>
  </conditionalFormatting>
  <conditionalFormatting sqref="B168">
    <cfRule type="duplicateValues" dxfId="145" priority="138"/>
  </conditionalFormatting>
  <conditionalFormatting sqref="C168">
    <cfRule type="duplicateValues" dxfId="144" priority="139"/>
  </conditionalFormatting>
  <conditionalFormatting sqref="B169">
    <cfRule type="duplicateValues" dxfId="143" priority="136"/>
  </conditionalFormatting>
  <conditionalFormatting sqref="C169">
    <cfRule type="duplicateValues" dxfId="142" priority="137"/>
  </conditionalFormatting>
  <conditionalFormatting sqref="B171">
    <cfRule type="duplicateValues" dxfId="141" priority="134"/>
  </conditionalFormatting>
  <conditionalFormatting sqref="C171:AG171">
    <cfRule type="duplicateValues" dxfId="140" priority="135"/>
  </conditionalFormatting>
  <conditionalFormatting sqref="C172:C173">
    <cfRule type="duplicateValues" dxfId="139" priority="133"/>
  </conditionalFormatting>
  <conditionalFormatting sqref="B172:B173">
    <cfRule type="duplicateValues" dxfId="138" priority="132"/>
  </conditionalFormatting>
  <conditionalFormatting sqref="C175:C176">
    <cfRule type="duplicateValues" dxfId="137" priority="131"/>
  </conditionalFormatting>
  <conditionalFormatting sqref="B175:B176">
    <cfRule type="duplicateValues" dxfId="136" priority="130"/>
  </conditionalFormatting>
  <conditionalFormatting sqref="C177:C178">
    <cfRule type="duplicateValues" dxfId="135" priority="129"/>
  </conditionalFormatting>
  <conditionalFormatting sqref="B177:B178">
    <cfRule type="duplicateValues" dxfId="134" priority="128"/>
  </conditionalFormatting>
  <conditionalFormatting sqref="B179">
    <cfRule type="duplicateValues" dxfId="133" priority="126"/>
  </conditionalFormatting>
  <conditionalFormatting sqref="C179:D179">
    <cfRule type="duplicateValues" dxfId="132" priority="127"/>
  </conditionalFormatting>
  <conditionalFormatting sqref="C180">
    <cfRule type="duplicateValues" dxfId="131" priority="125"/>
  </conditionalFormatting>
  <conditionalFormatting sqref="B180">
    <cfRule type="duplicateValues" dxfId="130" priority="124"/>
  </conditionalFormatting>
  <conditionalFormatting sqref="B181">
    <cfRule type="duplicateValues" dxfId="129" priority="122"/>
  </conditionalFormatting>
  <conditionalFormatting sqref="C181">
    <cfRule type="duplicateValues" dxfId="128" priority="123"/>
  </conditionalFormatting>
  <conditionalFormatting sqref="C182">
    <cfRule type="duplicateValues" dxfId="127" priority="121"/>
  </conditionalFormatting>
  <conditionalFormatting sqref="B182">
    <cfRule type="duplicateValues" dxfId="126" priority="120"/>
  </conditionalFormatting>
  <conditionalFormatting sqref="C183">
    <cfRule type="duplicateValues" dxfId="125" priority="119"/>
  </conditionalFormatting>
  <conditionalFormatting sqref="B183">
    <cfRule type="duplicateValues" dxfId="124" priority="118"/>
  </conditionalFormatting>
  <conditionalFormatting sqref="B185:B186">
    <cfRule type="duplicateValues" dxfId="123" priority="116"/>
  </conditionalFormatting>
  <conditionalFormatting sqref="C185:C186">
    <cfRule type="duplicateValues" dxfId="122" priority="117"/>
  </conditionalFormatting>
  <conditionalFormatting sqref="C184">
    <cfRule type="duplicateValues" dxfId="121" priority="115"/>
  </conditionalFormatting>
  <conditionalFormatting sqref="B184">
    <cfRule type="duplicateValues" dxfId="120" priority="114"/>
  </conditionalFormatting>
  <conditionalFormatting sqref="C187">
    <cfRule type="duplicateValues" dxfId="119" priority="113"/>
  </conditionalFormatting>
  <conditionalFormatting sqref="B187">
    <cfRule type="duplicateValues" dxfId="118" priority="112"/>
  </conditionalFormatting>
  <conditionalFormatting sqref="C170">
    <cfRule type="duplicateValues" dxfId="117" priority="161"/>
  </conditionalFormatting>
  <conditionalFormatting sqref="B170">
    <cfRule type="duplicateValues" dxfId="116" priority="162"/>
  </conditionalFormatting>
  <conditionalFormatting sqref="D183">
    <cfRule type="duplicateValues" dxfId="115" priority="111"/>
  </conditionalFormatting>
  <conditionalFormatting sqref="E183">
    <cfRule type="duplicateValues" dxfId="114" priority="110"/>
  </conditionalFormatting>
  <conditionalFormatting sqref="AA234:AE234">
    <cfRule type="duplicateValues" dxfId="113" priority="99"/>
  </conditionalFormatting>
  <conditionalFormatting sqref="J234:Z234">
    <cfRule type="duplicateValues" dxfId="112" priority="98"/>
  </conditionalFormatting>
  <conditionalFormatting sqref="B238">
    <cfRule type="duplicateValues" dxfId="111" priority="96"/>
  </conditionalFormatting>
  <conditionalFormatting sqref="C238:D238">
    <cfRule type="duplicateValues" dxfId="110" priority="97"/>
  </conditionalFormatting>
  <conditionalFormatting sqref="C239">
    <cfRule type="duplicateValues" dxfId="109" priority="95"/>
  </conditionalFormatting>
  <conditionalFormatting sqref="B239">
    <cfRule type="duplicateValues" dxfId="108" priority="94"/>
  </conditionalFormatting>
  <conditionalFormatting sqref="B240">
    <cfRule type="duplicateValues" dxfId="107" priority="92"/>
  </conditionalFormatting>
  <conditionalFormatting sqref="C240">
    <cfRule type="duplicateValues" dxfId="106" priority="93"/>
  </conditionalFormatting>
  <conditionalFormatting sqref="C241">
    <cfRule type="duplicateValues" dxfId="105" priority="91"/>
  </conditionalFormatting>
  <conditionalFormatting sqref="B241">
    <cfRule type="duplicateValues" dxfId="104" priority="90"/>
  </conditionalFormatting>
  <conditionalFormatting sqref="C242">
    <cfRule type="duplicateValues" dxfId="103" priority="89"/>
  </conditionalFormatting>
  <conditionalFormatting sqref="B242">
    <cfRule type="duplicateValues" dxfId="102" priority="88"/>
  </conditionalFormatting>
  <conditionalFormatting sqref="B244:B245">
    <cfRule type="duplicateValues" dxfId="101" priority="86"/>
  </conditionalFormatting>
  <conditionalFormatting sqref="C244:C245">
    <cfRule type="duplicateValues" dxfId="100" priority="87"/>
  </conditionalFormatting>
  <conditionalFormatting sqref="C243">
    <cfRule type="duplicateValues" dxfId="99" priority="85"/>
  </conditionalFormatting>
  <conditionalFormatting sqref="B243">
    <cfRule type="duplicateValues" dxfId="98" priority="84"/>
  </conditionalFormatting>
  <conditionalFormatting sqref="C246">
    <cfRule type="duplicateValues" dxfId="97" priority="83"/>
  </conditionalFormatting>
  <conditionalFormatting sqref="B246">
    <cfRule type="duplicateValues" dxfId="96" priority="82"/>
  </conditionalFormatting>
  <conditionalFormatting sqref="B188">
    <cfRule type="duplicateValues" dxfId="95" priority="80"/>
  </conditionalFormatting>
  <conditionalFormatting sqref="C188">
    <cfRule type="duplicateValues" dxfId="94" priority="81"/>
  </conditionalFormatting>
  <conditionalFormatting sqref="B192 B189">
    <cfRule type="duplicateValues" dxfId="93" priority="79"/>
  </conditionalFormatting>
  <conditionalFormatting sqref="B190">
    <cfRule type="duplicateValues" dxfId="92" priority="77"/>
  </conditionalFormatting>
  <conditionalFormatting sqref="C190">
    <cfRule type="duplicateValues" dxfId="91" priority="78"/>
  </conditionalFormatting>
  <conditionalFormatting sqref="C189">
    <cfRule type="duplicateValues" dxfId="90" priority="76"/>
  </conditionalFormatting>
  <conditionalFormatting sqref="B191">
    <cfRule type="duplicateValues" dxfId="89" priority="74"/>
  </conditionalFormatting>
  <conditionalFormatting sqref="C191">
    <cfRule type="duplicateValues" dxfId="88" priority="75"/>
  </conditionalFormatting>
  <conditionalFormatting sqref="C192">
    <cfRule type="duplicateValues" dxfId="87" priority="73"/>
  </conditionalFormatting>
  <conditionalFormatting sqref="C193:D194">
    <cfRule type="duplicateValues" dxfId="86" priority="71"/>
  </conditionalFormatting>
  <conditionalFormatting sqref="B193:B194">
    <cfRule type="duplicateValues" dxfId="85" priority="72"/>
  </conditionalFormatting>
  <conditionalFormatting sqref="C195">
    <cfRule type="duplicateValues" dxfId="84" priority="70"/>
  </conditionalFormatting>
  <conditionalFormatting sqref="B195">
    <cfRule type="duplicateValues" dxfId="83" priority="69"/>
  </conditionalFormatting>
  <conditionalFormatting sqref="D196:H196">
    <cfRule type="duplicateValues" dxfId="82" priority="66"/>
  </conditionalFormatting>
  <conditionalFormatting sqref="B196">
    <cfRule type="duplicateValues" dxfId="81" priority="67"/>
  </conditionalFormatting>
  <conditionalFormatting sqref="C196">
    <cfRule type="duplicateValues" dxfId="80" priority="68"/>
  </conditionalFormatting>
  <conditionalFormatting sqref="D197:F197">
    <cfRule type="duplicateValues" dxfId="79" priority="63"/>
  </conditionalFormatting>
  <conditionalFormatting sqref="B197">
    <cfRule type="duplicateValues" dxfId="78" priority="64"/>
  </conditionalFormatting>
  <conditionalFormatting sqref="C197">
    <cfRule type="duplicateValues" dxfId="77" priority="65"/>
  </conditionalFormatting>
  <conditionalFormatting sqref="D212:D222">
    <cfRule type="duplicateValues" dxfId="76" priority="60"/>
  </conditionalFormatting>
  <conditionalFormatting sqref="D212:D222">
    <cfRule type="duplicateValues" dxfId="75" priority="59"/>
  </conditionalFormatting>
  <conditionalFormatting sqref="C212:C222">
    <cfRule type="duplicateValues" dxfId="74" priority="58"/>
  </conditionalFormatting>
  <conditionalFormatting sqref="B212:B222">
    <cfRule type="duplicateValues" dxfId="73" priority="57"/>
  </conditionalFormatting>
  <conditionalFormatting sqref="B212:B222">
    <cfRule type="duplicateValues" dxfId="72" priority="56"/>
  </conditionalFormatting>
  <conditionalFormatting sqref="C212:C222">
    <cfRule type="duplicateValues" dxfId="71" priority="55"/>
  </conditionalFormatting>
  <conditionalFormatting sqref="C223:C228">
    <cfRule type="duplicateValues" dxfId="70" priority="53"/>
  </conditionalFormatting>
  <conditionalFormatting sqref="B223:B228">
    <cfRule type="duplicateValues" dxfId="69" priority="52"/>
  </conditionalFormatting>
  <conditionalFormatting sqref="D223 D225:D228">
    <cfRule type="duplicateValues" dxfId="68" priority="54"/>
  </conditionalFormatting>
  <conditionalFormatting sqref="B223:B228">
    <cfRule type="duplicateValues" dxfId="67" priority="51"/>
  </conditionalFormatting>
  <conditionalFormatting sqref="D224">
    <cfRule type="duplicateValues" dxfId="66" priority="50"/>
  </conditionalFormatting>
  <conditionalFormatting sqref="D229 D231 D233:D234">
    <cfRule type="duplicateValues" dxfId="65" priority="48"/>
  </conditionalFormatting>
  <conditionalFormatting sqref="D230">
    <cfRule type="duplicateValues" dxfId="64" priority="47"/>
  </conditionalFormatting>
  <conditionalFormatting sqref="C229:C231 C233:C236">
    <cfRule type="duplicateValues" dxfId="63" priority="46"/>
  </conditionalFormatting>
  <conditionalFormatting sqref="B229:B231 B233:B236">
    <cfRule type="duplicateValues" dxfId="62" priority="45"/>
  </conditionalFormatting>
  <conditionalFormatting sqref="C233:C236 C229:C231">
    <cfRule type="duplicateValues" dxfId="61" priority="44"/>
  </conditionalFormatting>
  <conditionalFormatting sqref="B232:C232">
    <cfRule type="duplicateValues" dxfId="60" priority="40"/>
  </conditionalFormatting>
  <conditionalFormatting sqref="B232">
    <cfRule type="duplicateValues" dxfId="59" priority="39"/>
  </conditionalFormatting>
  <conditionalFormatting sqref="C232">
    <cfRule type="duplicateValues" dxfId="58" priority="38"/>
  </conditionalFormatting>
  <conditionalFormatting sqref="D232:I232">
    <cfRule type="duplicateValues" dxfId="57" priority="41"/>
  </conditionalFormatting>
  <conditionalFormatting sqref="B232">
    <cfRule type="duplicateValues" dxfId="56" priority="42"/>
  </conditionalFormatting>
  <conditionalFormatting sqref="C232">
    <cfRule type="duplicateValues" dxfId="55" priority="43"/>
  </conditionalFormatting>
  <conditionalFormatting sqref="C237">
    <cfRule type="duplicateValues" dxfId="54" priority="37"/>
  </conditionalFormatting>
  <conditionalFormatting sqref="B237">
    <cfRule type="duplicateValues" dxfId="53" priority="36"/>
  </conditionalFormatting>
  <conditionalFormatting sqref="D237:E237 E212:E228">
    <cfRule type="duplicateValues" dxfId="52" priority="62"/>
  </conditionalFormatting>
  <conditionalFormatting sqref="E212:H228 D237:H237">
    <cfRule type="duplicateValues" dxfId="51" priority="61"/>
  </conditionalFormatting>
  <conditionalFormatting sqref="C212:C228">
    <cfRule type="duplicateValues" dxfId="50" priority="49"/>
  </conditionalFormatting>
  <conditionalFormatting sqref="C253:C254">
    <cfRule type="duplicateValues" dxfId="49" priority="35"/>
  </conditionalFormatting>
  <conditionalFormatting sqref="C253:C254">
    <cfRule type="duplicateValues" dxfId="48" priority="34"/>
  </conditionalFormatting>
  <conditionalFormatting sqref="B253:B254">
    <cfRule type="duplicateValues" dxfId="47" priority="33"/>
  </conditionalFormatting>
  <conditionalFormatting sqref="C255:C265">
    <cfRule type="duplicateValues" dxfId="46" priority="32"/>
  </conditionalFormatting>
  <conditionalFormatting sqref="B255:B265">
    <cfRule type="duplicateValues" dxfId="45" priority="31"/>
  </conditionalFormatting>
  <conditionalFormatting sqref="C266 C268">
    <cfRule type="duplicateValues" dxfId="44" priority="30"/>
  </conditionalFormatting>
  <conditionalFormatting sqref="B266 B268">
    <cfRule type="duplicateValues" dxfId="43" priority="29"/>
  </conditionalFormatting>
  <conditionalFormatting sqref="C268 C253:C266">
    <cfRule type="duplicateValues" dxfId="42" priority="28"/>
  </conditionalFormatting>
  <conditionalFormatting sqref="B267:C267">
    <cfRule type="duplicateValues" dxfId="41" priority="23"/>
  </conditionalFormatting>
  <conditionalFormatting sqref="B267">
    <cfRule type="duplicateValues" dxfId="40" priority="24"/>
  </conditionalFormatting>
  <conditionalFormatting sqref="C267">
    <cfRule type="duplicateValues" dxfId="39" priority="25"/>
  </conditionalFormatting>
  <conditionalFormatting sqref="C267:J267">
    <cfRule type="duplicateValues" dxfId="38" priority="26"/>
  </conditionalFormatting>
  <conditionalFormatting sqref="B267">
    <cfRule type="duplicateValues" dxfId="37" priority="27"/>
  </conditionalFormatting>
  <conditionalFormatting sqref="C267">
    <cfRule type="duplicateValues" dxfId="36" priority="22"/>
  </conditionalFormatting>
  <conditionalFormatting sqref="C267">
    <cfRule type="duplicateValues" dxfId="35" priority="21"/>
  </conditionalFormatting>
  <conditionalFormatting sqref="C267">
    <cfRule type="duplicateValues" dxfId="34" priority="20"/>
  </conditionalFormatting>
  <conditionalFormatting sqref="D252">
    <cfRule type="duplicateValues" dxfId="33" priority="19"/>
  </conditionalFormatting>
  <conditionalFormatting sqref="D252">
    <cfRule type="duplicateValues" dxfId="32" priority="18"/>
  </conditionalFormatting>
  <conditionalFormatting sqref="D252">
    <cfRule type="duplicateValues" dxfId="31" priority="17"/>
  </conditionalFormatting>
  <conditionalFormatting sqref="D252">
    <cfRule type="duplicateValues" dxfId="30" priority="16"/>
  </conditionalFormatting>
  <conditionalFormatting sqref="C188:C268">
    <cfRule type="duplicateValues" dxfId="29" priority="14"/>
    <cfRule type="duplicateValues" dxfId="28" priority="15"/>
  </conditionalFormatting>
  <conditionalFormatting sqref="E238 D239:E246 B198:E211 D188:E192 E193:E194 D195:E195 B247:E251 B252:C252 E252">
    <cfRule type="duplicateValues" dxfId="27" priority="100"/>
  </conditionalFormatting>
  <conditionalFormatting sqref="B252:C252 B188:H211 B238:H251 E252:H252">
    <cfRule type="duplicateValues" dxfId="26" priority="101"/>
  </conditionalFormatting>
  <conditionalFormatting sqref="B238:B252 B188:B211">
    <cfRule type="duplicateValues" dxfId="25" priority="102"/>
  </conditionalFormatting>
  <conditionalFormatting sqref="C238:C252 C188:C211">
    <cfRule type="duplicateValues" dxfId="24" priority="103"/>
  </conditionalFormatting>
  <conditionalFormatting sqref="D211">
    <cfRule type="duplicateValues" dxfId="23" priority="104"/>
  </conditionalFormatting>
  <conditionalFormatting sqref="E211">
    <cfRule type="duplicateValues" dxfId="22" priority="105"/>
  </conditionalFormatting>
  <conditionalFormatting sqref="F211">
    <cfRule type="duplicateValues" dxfId="21" priority="106"/>
  </conditionalFormatting>
  <conditionalFormatting sqref="G211">
    <cfRule type="duplicateValues" dxfId="20" priority="107"/>
  </conditionalFormatting>
  <conditionalFormatting sqref="C198:C211">
    <cfRule type="duplicateValues" dxfId="19" priority="108"/>
  </conditionalFormatting>
  <conditionalFormatting sqref="B198:B211">
    <cfRule type="duplicateValues" dxfId="18" priority="109"/>
  </conditionalFormatting>
  <conditionalFormatting sqref="C269:C273">
    <cfRule type="duplicateValues" dxfId="17" priority="13"/>
  </conditionalFormatting>
  <conditionalFormatting sqref="B269:B273">
    <cfRule type="duplicateValues" dxfId="16" priority="12"/>
  </conditionalFormatting>
  <conditionalFormatting sqref="C1:C273 C281:C288 C295:C1048576">
    <cfRule type="duplicateValues" dxfId="15" priority="11"/>
  </conditionalFormatting>
  <conditionalFormatting sqref="C1:C288 C295:C1048576">
    <cfRule type="duplicateValues" dxfId="14" priority="9"/>
    <cfRule type="duplicateValues" dxfId="13" priority="10"/>
  </conditionalFormatting>
  <conditionalFormatting sqref="C274:C280">
    <cfRule type="duplicateValues" dxfId="12" priority="169"/>
  </conditionalFormatting>
  <conditionalFormatting sqref="B274:B280">
    <cfRule type="duplicateValues" dxfId="11" priority="170"/>
  </conditionalFormatting>
  <conditionalFormatting sqref="B1:B290 B292 B295:B1048576">
    <cfRule type="duplicateValues" dxfId="10" priority="8"/>
  </conditionalFormatting>
  <conditionalFormatting sqref="B2:B102">
    <cfRule type="duplicateValues" dxfId="9" priority="171"/>
    <cfRule type="duplicateValues" dxfId="8" priority="172"/>
  </conditionalFormatting>
  <conditionalFormatting sqref="C290">
    <cfRule type="duplicateValues" dxfId="7" priority="7"/>
  </conditionalFormatting>
  <conditionalFormatting sqref="C289">
    <cfRule type="duplicateValues" dxfId="6" priority="6"/>
  </conditionalFormatting>
  <conditionalFormatting sqref="C291">
    <cfRule type="duplicateValues" dxfId="5" priority="5"/>
  </conditionalFormatting>
  <conditionalFormatting sqref="C292">
    <cfRule type="duplicateValues" dxfId="4" priority="4"/>
  </conditionalFormatting>
  <conditionalFormatting sqref="C293">
    <cfRule type="duplicateValues" dxfId="3" priority="3"/>
  </conditionalFormatting>
  <conditionalFormatting sqref="C294">
    <cfRule type="duplicateValues" dxfId="2" priority="2"/>
  </conditionalFormatting>
  <conditionalFormatting sqref="C1:C1048576">
    <cfRule type="duplicateValues" dxfId="1" priority="1"/>
  </conditionalFormatting>
  <pageMargins left="0.7" right="0.7" top="0.75" bottom="0.75" header="0.3" footer="0.3"/>
  <customProperties>
    <customPr name="_pios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1334A-C636-4E1D-87BB-FEC4DF9E1F04}">
  <sheetPr codeName="Sheet7"/>
  <dimension ref="A1:N505"/>
  <sheetViews>
    <sheetView workbookViewId="0">
      <pane ySplit="1" topLeftCell="A2" activePane="bottomLeft" state="frozen"/>
      <selection pane="bottomLeft" activeCell="N2" sqref="N2"/>
    </sheetView>
  </sheetViews>
  <sheetFormatPr defaultColWidth="9.140625" defaultRowHeight="17.100000000000001" customHeight="1" x14ac:dyDescent="0.2"/>
  <cols>
    <col min="1" max="1" width="34.28515625" style="1" customWidth="1"/>
    <col min="2" max="2" width="17.7109375" style="1" customWidth="1"/>
    <col min="3" max="3" width="20" style="1" customWidth="1"/>
    <col min="4" max="4" width="16.140625" style="1" customWidth="1"/>
    <col min="5" max="5" width="1.7109375" style="1" customWidth="1"/>
    <col min="6" max="6" width="18.7109375" style="9" bestFit="1" customWidth="1"/>
    <col min="7" max="7" width="22.140625" style="7" bestFit="1" customWidth="1"/>
    <col min="8" max="8" width="15" style="8" customWidth="1"/>
    <col min="9" max="9" width="16.7109375" style="10" bestFit="1" customWidth="1"/>
    <col min="10" max="10" width="15.28515625" style="11" bestFit="1" customWidth="1"/>
    <col min="11" max="11" width="15" style="7" customWidth="1"/>
    <col min="12" max="12" width="22.42578125" style="8" bestFit="1" customWidth="1"/>
    <col min="13" max="13" width="17.85546875" style="9" customWidth="1"/>
    <col min="14" max="14" width="65.42578125" style="1" customWidth="1"/>
    <col min="15" max="16384" width="9.140625" style="1"/>
  </cols>
  <sheetData>
    <row r="1" spans="1:14" ht="17.100000000000001" customHeight="1" thickBot="1" x14ac:dyDescent="0.25">
      <c r="A1" s="12" t="s">
        <v>0</v>
      </c>
      <c r="B1" s="12" t="s">
        <v>1</v>
      </c>
      <c r="C1" s="13" t="s">
        <v>425</v>
      </c>
      <c r="D1" s="14" t="s">
        <v>2</v>
      </c>
      <c r="E1" s="15"/>
      <c r="F1" s="18" t="s">
        <v>428</v>
      </c>
      <c r="G1" s="16" t="s">
        <v>426</v>
      </c>
      <c r="H1" s="17" t="s">
        <v>427</v>
      </c>
      <c r="I1" s="19" t="s">
        <v>429</v>
      </c>
      <c r="J1" s="20" t="s">
        <v>427</v>
      </c>
      <c r="K1" s="21" t="s">
        <v>430</v>
      </c>
      <c r="L1" s="22" t="s">
        <v>431</v>
      </c>
      <c r="M1" s="23" t="s">
        <v>432</v>
      </c>
      <c r="N1" s="24" t="s">
        <v>3</v>
      </c>
    </row>
    <row r="2" spans="1:14" s="2" customFormat="1" ht="17.100000000000001" customHeight="1" x14ac:dyDescent="0.2">
      <c r="A2" s="2" t="s">
        <v>4</v>
      </c>
      <c r="B2" s="25">
        <v>9620000728</v>
      </c>
      <c r="C2" s="26"/>
      <c r="D2" s="26"/>
      <c r="E2" s="27"/>
      <c r="F2" s="30"/>
      <c r="G2" s="28"/>
      <c r="H2" s="29"/>
      <c r="I2" s="31"/>
      <c r="J2" s="32"/>
      <c r="K2" s="33">
        <f t="shared" ref="K2:L65" si="0">G2-I2</f>
        <v>0</v>
      </c>
      <c r="L2" s="32">
        <f t="shared" si="0"/>
        <v>0</v>
      </c>
      <c r="M2" s="30"/>
      <c r="N2" s="34"/>
    </row>
    <row r="3" spans="1:14" s="2" customFormat="1" ht="17.100000000000001" customHeight="1" x14ac:dyDescent="0.2">
      <c r="A3" s="2" t="s">
        <v>5</v>
      </c>
      <c r="B3" s="25">
        <v>9620000002</v>
      </c>
      <c r="C3" s="26"/>
      <c r="D3" s="26"/>
      <c r="E3" s="27"/>
      <c r="F3" s="30"/>
      <c r="G3" s="28"/>
      <c r="H3" s="29"/>
      <c r="I3" s="31"/>
      <c r="J3" s="32"/>
      <c r="K3" s="33">
        <f t="shared" si="0"/>
        <v>0</v>
      </c>
      <c r="L3" s="32">
        <f t="shared" si="0"/>
        <v>0</v>
      </c>
      <c r="M3" s="30"/>
      <c r="N3" s="34"/>
    </row>
    <row r="4" spans="1:14" s="2" customFormat="1" ht="17.100000000000001" customHeight="1" x14ac:dyDescent="0.2">
      <c r="A4" s="2" t="s">
        <v>6</v>
      </c>
      <c r="B4" s="25">
        <v>9620000004</v>
      </c>
      <c r="C4" s="26"/>
      <c r="D4" s="26"/>
      <c r="E4" s="27"/>
      <c r="F4" s="30"/>
      <c r="G4" s="28"/>
      <c r="H4" s="29"/>
      <c r="I4" s="31"/>
      <c r="J4" s="32"/>
      <c r="K4" s="33">
        <f t="shared" si="0"/>
        <v>0</v>
      </c>
      <c r="L4" s="32">
        <f t="shared" si="0"/>
        <v>0</v>
      </c>
      <c r="M4" s="30"/>
      <c r="N4" s="34"/>
    </row>
    <row r="5" spans="1:14" s="2" customFormat="1" ht="17.100000000000001" customHeight="1" x14ac:dyDescent="0.2">
      <c r="A5" s="2" t="s">
        <v>7</v>
      </c>
      <c r="B5" s="25">
        <v>9620000006</v>
      </c>
      <c r="C5" s="26"/>
      <c r="D5" s="26"/>
      <c r="E5" s="27"/>
      <c r="F5" s="30"/>
      <c r="G5" s="28"/>
      <c r="H5" s="29"/>
      <c r="I5" s="31"/>
      <c r="J5" s="32"/>
      <c r="K5" s="33">
        <f t="shared" si="0"/>
        <v>0</v>
      </c>
      <c r="L5" s="32">
        <f t="shared" si="0"/>
        <v>0</v>
      </c>
      <c r="M5" s="30"/>
      <c r="N5" s="34"/>
    </row>
    <row r="6" spans="1:14" s="2" customFormat="1" ht="17.100000000000001" customHeight="1" x14ac:dyDescent="0.2">
      <c r="A6" s="2" t="s">
        <v>8</v>
      </c>
      <c r="B6" s="25">
        <v>9620000009</v>
      </c>
      <c r="C6" s="26"/>
      <c r="D6" s="26"/>
      <c r="E6" s="27"/>
      <c r="F6" s="30"/>
      <c r="G6" s="28"/>
      <c r="H6" s="29"/>
      <c r="I6" s="31"/>
      <c r="J6" s="32"/>
      <c r="K6" s="33">
        <f t="shared" si="0"/>
        <v>0</v>
      </c>
      <c r="L6" s="32">
        <f t="shared" si="0"/>
        <v>0</v>
      </c>
      <c r="M6" s="30"/>
      <c r="N6" s="34"/>
    </row>
    <row r="7" spans="1:14" s="2" customFormat="1" ht="17.100000000000001" customHeight="1" x14ac:dyDescent="0.2">
      <c r="A7" s="2" t="s">
        <v>9</v>
      </c>
      <c r="B7" s="25">
        <v>9620000730</v>
      </c>
      <c r="C7" s="26"/>
      <c r="D7" s="26"/>
      <c r="E7" s="27"/>
      <c r="F7" s="30"/>
      <c r="G7" s="28"/>
      <c r="H7" s="29"/>
      <c r="I7" s="31"/>
      <c r="J7" s="32"/>
      <c r="K7" s="33">
        <f t="shared" si="0"/>
        <v>0</v>
      </c>
      <c r="L7" s="32">
        <f t="shared" si="0"/>
        <v>0</v>
      </c>
      <c r="M7" s="30"/>
      <c r="N7" s="34"/>
    </row>
    <row r="8" spans="1:14" s="2" customFormat="1" ht="17.100000000000001" customHeight="1" x14ac:dyDescent="0.2">
      <c r="A8" s="2" t="s">
        <v>10</v>
      </c>
      <c r="B8" s="25">
        <v>9620000731</v>
      </c>
      <c r="C8" s="26"/>
      <c r="D8" s="26"/>
      <c r="E8" s="27"/>
      <c r="F8" s="30"/>
      <c r="G8" s="28"/>
      <c r="H8" s="29"/>
      <c r="I8" s="31"/>
      <c r="J8" s="32"/>
      <c r="K8" s="33">
        <f t="shared" si="0"/>
        <v>0</v>
      </c>
      <c r="L8" s="32">
        <f t="shared" si="0"/>
        <v>0</v>
      </c>
      <c r="M8" s="30"/>
      <c r="N8" s="34"/>
    </row>
    <row r="9" spans="1:14" s="2" customFormat="1" ht="17.100000000000001" customHeight="1" x14ac:dyDescent="0.2">
      <c r="A9" s="2" t="s">
        <v>11</v>
      </c>
      <c r="B9" s="25">
        <v>9620000012</v>
      </c>
      <c r="C9" s="26"/>
      <c r="D9" s="26"/>
      <c r="E9" s="27"/>
      <c r="F9" s="30"/>
      <c r="G9" s="28"/>
      <c r="H9" s="29"/>
      <c r="I9" s="31"/>
      <c r="J9" s="32"/>
      <c r="K9" s="33">
        <f t="shared" si="0"/>
        <v>0</v>
      </c>
      <c r="L9" s="32">
        <f t="shared" si="0"/>
        <v>0</v>
      </c>
      <c r="M9" s="30"/>
      <c r="N9" s="34"/>
    </row>
    <row r="10" spans="1:14" s="2" customFormat="1" ht="17.100000000000001" customHeight="1" x14ac:dyDescent="0.2">
      <c r="A10" s="2" t="s">
        <v>12</v>
      </c>
      <c r="B10" s="25">
        <v>9620000014</v>
      </c>
      <c r="C10" s="26"/>
      <c r="D10" s="26"/>
      <c r="E10" s="27"/>
      <c r="F10" s="30"/>
      <c r="G10" s="28"/>
      <c r="H10" s="29"/>
      <c r="I10" s="31"/>
      <c r="J10" s="32"/>
      <c r="K10" s="33">
        <f t="shared" si="0"/>
        <v>0</v>
      </c>
      <c r="L10" s="32">
        <f t="shared" si="0"/>
        <v>0</v>
      </c>
      <c r="M10" s="30"/>
      <c r="N10" s="34"/>
    </row>
    <row r="11" spans="1:14" s="2" customFormat="1" ht="17.100000000000001" customHeight="1" x14ac:dyDescent="0.2">
      <c r="A11" s="2" t="s">
        <v>13</v>
      </c>
      <c r="B11" s="25">
        <v>9620000021</v>
      </c>
      <c r="C11" s="26"/>
      <c r="D11" s="26"/>
      <c r="E11" s="27"/>
      <c r="F11" s="30"/>
      <c r="G11" s="28"/>
      <c r="H11" s="29"/>
      <c r="I11" s="31"/>
      <c r="J11" s="32"/>
      <c r="K11" s="33">
        <f t="shared" si="0"/>
        <v>0</v>
      </c>
      <c r="L11" s="32">
        <f t="shared" si="0"/>
        <v>0</v>
      </c>
      <c r="M11" s="30"/>
      <c r="N11" s="34"/>
    </row>
    <row r="12" spans="1:14" s="2" customFormat="1" ht="17.100000000000001" customHeight="1" x14ac:dyDescent="0.2">
      <c r="A12" s="2" t="s">
        <v>14</v>
      </c>
      <c r="B12" s="25">
        <v>9620000732</v>
      </c>
      <c r="C12" s="26"/>
      <c r="D12" s="26"/>
      <c r="E12" s="27"/>
      <c r="F12" s="30"/>
      <c r="G12" s="28"/>
      <c r="H12" s="29"/>
      <c r="I12" s="31"/>
      <c r="J12" s="32"/>
      <c r="K12" s="33">
        <f t="shared" si="0"/>
        <v>0</v>
      </c>
      <c r="L12" s="32">
        <f t="shared" si="0"/>
        <v>0</v>
      </c>
      <c r="M12" s="30"/>
      <c r="N12" s="34"/>
    </row>
    <row r="13" spans="1:14" s="2" customFormat="1" ht="17.100000000000001" customHeight="1" x14ac:dyDescent="0.2">
      <c r="A13" s="2" t="s">
        <v>15</v>
      </c>
      <c r="B13" s="25">
        <v>9620000733</v>
      </c>
      <c r="C13" s="26"/>
      <c r="D13" s="26"/>
      <c r="E13" s="27"/>
      <c r="F13" s="30"/>
      <c r="G13" s="28"/>
      <c r="H13" s="29"/>
      <c r="I13" s="31"/>
      <c r="J13" s="32"/>
      <c r="K13" s="33">
        <f t="shared" si="0"/>
        <v>0</v>
      </c>
      <c r="L13" s="32">
        <f t="shared" si="0"/>
        <v>0</v>
      </c>
      <c r="M13" s="30"/>
      <c r="N13" s="34"/>
    </row>
    <row r="14" spans="1:14" s="2" customFormat="1" ht="17.100000000000001" customHeight="1" x14ac:dyDescent="0.2">
      <c r="A14" s="2" t="s">
        <v>16</v>
      </c>
      <c r="B14" s="25">
        <v>9620000025</v>
      </c>
      <c r="C14" s="26"/>
      <c r="D14" s="26"/>
      <c r="E14" s="27"/>
      <c r="F14" s="30"/>
      <c r="G14" s="28"/>
      <c r="H14" s="29"/>
      <c r="I14" s="31"/>
      <c r="J14" s="32"/>
      <c r="K14" s="33">
        <f t="shared" si="0"/>
        <v>0</v>
      </c>
      <c r="L14" s="32">
        <f t="shared" si="0"/>
        <v>0</v>
      </c>
      <c r="M14" s="30"/>
      <c r="N14" s="34"/>
    </row>
    <row r="15" spans="1:14" s="2" customFormat="1" ht="17.100000000000001" customHeight="1" x14ac:dyDescent="0.2">
      <c r="A15" s="2" t="s">
        <v>17</v>
      </c>
      <c r="B15" s="25">
        <v>9620000026</v>
      </c>
      <c r="C15" s="26"/>
      <c r="D15" s="26"/>
      <c r="E15" s="27"/>
      <c r="F15" s="30"/>
      <c r="G15" s="28"/>
      <c r="H15" s="29"/>
      <c r="I15" s="31"/>
      <c r="J15" s="32"/>
      <c r="K15" s="33">
        <f t="shared" si="0"/>
        <v>0</v>
      </c>
      <c r="L15" s="32">
        <f t="shared" si="0"/>
        <v>0</v>
      </c>
      <c r="M15" s="30"/>
      <c r="N15" s="34"/>
    </row>
    <row r="16" spans="1:14" s="2" customFormat="1" ht="17.100000000000001" customHeight="1" x14ac:dyDescent="0.2">
      <c r="A16" s="2" t="s">
        <v>18</v>
      </c>
      <c r="B16" s="25">
        <v>9620000027</v>
      </c>
      <c r="C16" s="26"/>
      <c r="D16" s="26"/>
      <c r="E16" s="27"/>
      <c r="F16" s="30"/>
      <c r="G16" s="28"/>
      <c r="H16" s="29"/>
      <c r="I16" s="31"/>
      <c r="J16" s="32"/>
      <c r="K16" s="33">
        <f t="shared" si="0"/>
        <v>0</v>
      </c>
      <c r="L16" s="32">
        <f t="shared" si="0"/>
        <v>0</v>
      </c>
      <c r="M16" s="30"/>
      <c r="N16" s="34"/>
    </row>
    <row r="17" spans="1:14" s="2" customFormat="1" ht="17.100000000000001" customHeight="1" x14ac:dyDescent="0.2">
      <c r="A17" s="2" t="s">
        <v>18</v>
      </c>
      <c r="B17" s="25">
        <v>9620000734</v>
      </c>
      <c r="C17" s="26"/>
      <c r="D17" s="26"/>
      <c r="E17" s="27"/>
      <c r="F17" s="30"/>
      <c r="G17" s="28"/>
      <c r="H17" s="29"/>
      <c r="I17" s="31"/>
      <c r="J17" s="32"/>
      <c r="K17" s="33">
        <f t="shared" si="0"/>
        <v>0</v>
      </c>
      <c r="L17" s="32">
        <f t="shared" si="0"/>
        <v>0</v>
      </c>
      <c r="M17" s="30"/>
      <c r="N17" s="34"/>
    </row>
    <row r="18" spans="1:14" s="2" customFormat="1" ht="17.100000000000001" customHeight="1" x14ac:dyDescent="0.2">
      <c r="A18" s="2" t="s">
        <v>19</v>
      </c>
      <c r="B18" s="25">
        <v>9620000028</v>
      </c>
      <c r="C18" s="26"/>
      <c r="D18" s="26"/>
      <c r="E18" s="27"/>
      <c r="F18" s="30"/>
      <c r="G18" s="28"/>
      <c r="H18" s="29"/>
      <c r="I18" s="31"/>
      <c r="J18" s="32"/>
      <c r="K18" s="33">
        <f t="shared" si="0"/>
        <v>0</v>
      </c>
      <c r="L18" s="32">
        <f t="shared" si="0"/>
        <v>0</v>
      </c>
      <c r="M18" s="30"/>
      <c r="N18" s="34"/>
    </row>
    <row r="19" spans="1:14" s="2" customFormat="1" ht="17.100000000000001" customHeight="1" x14ac:dyDescent="0.2">
      <c r="A19" s="2" t="s">
        <v>20</v>
      </c>
      <c r="B19" s="25">
        <v>9620000031</v>
      </c>
      <c r="C19" s="26"/>
      <c r="D19" s="26"/>
      <c r="E19" s="27"/>
      <c r="F19" s="30"/>
      <c r="G19" s="28"/>
      <c r="H19" s="29"/>
      <c r="I19" s="31"/>
      <c r="J19" s="32"/>
      <c r="K19" s="33">
        <f t="shared" si="0"/>
        <v>0</v>
      </c>
      <c r="L19" s="32">
        <f t="shared" si="0"/>
        <v>0</v>
      </c>
      <c r="M19" s="30"/>
      <c r="N19" s="34"/>
    </row>
    <row r="20" spans="1:14" s="2" customFormat="1" ht="17.100000000000001" customHeight="1" x14ac:dyDescent="0.2">
      <c r="A20" s="2" t="s">
        <v>21</v>
      </c>
      <c r="B20" s="25">
        <v>9620000735</v>
      </c>
      <c r="C20" s="26"/>
      <c r="D20" s="26"/>
      <c r="E20" s="27"/>
      <c r="F20" s="30"/>
      <c r="G20" s="28"/>
      <c r="H20" s="29"/>
      <c r="I20" s="31"/>
      <c r="J20" s="32"/>
      <c r="K20" s="33">
        <f t="shared" si="0"/>
        <v>0</v>
      </c>
      <c r="L20" s="32">
        <f t="shared" si="0"/>
        <v>0</v>
      </c>
      <c r="M20" s="30"/>
      <c r="N20" s="34"/>
    </row>
    <row r="21" spans="1:14" s="2" customFormat="1" ht="17.100000000000001" customHeight="1" x14ac:dyDescent="0.2">
      <c r="A21" s="2" t="s">
        <v>22</v>
      </c>
      <c r="B21" s="25">
        <v>9620000033</v>
      </c>
      <c r="C21" s="26"/>
      <c r="D21" s="26"/>
      <c r="E21" s="27"/>
      <c r="F21" s="30"/>
      <c r="G21" s="28"/>
      <c r="H21" s="29"/>
      <c r="I21" s="31"/>
      <c r="J21" s="32"/>
      <c r="K21" s="33">
        <f t="shared" si="0"/>
        <v>0</v>
      </c>
      <c r="L21" s="32">
        <f t="shared" si="0"/>
        <v>0</v>
      </c>
      <c r="M21" s="30"/>
      <c r="N21" s="34"/>
    </row>
    <row r="22" spans="1:14" s="2" customFormat="1" ht="17.100000000000001" customHeight="1" x14ac:dyDescent="0.2">
      <c r="A22" s="2" t="s">
        <v>23</v>
      </c>
      <c r="B22" s="25">
        <v>9620000736</v>
      </c>
      <c r="C22" s="26"/>
      <c r="D22" s="26"/>
      <c r="E22" s="27"/>
      <c r="F22" s="30"/>
      <c r="G22" s="28"/>
      <c r="H22" s="29"/>
      <c r="I22" s="31"/>
      <c r="J22" s="32"/>
      <c r="K22" s="33">
        <f t="shared" si="0"/>
        <v>0</v>
      </c>
      <c r="L22" s="32">
        <f t="shared" si="0"/>
        <v>0</v>
      </c>
      <c r="M22" s="30"/>
      <c r="N22" s="34"/>
    </row>
    <row r="23" spans="1:14" s="2" customFormat="1" ht="17.100000000000001" customHeight="1" x14ac:dyDescent="0.2">
      <c r="A23" s="2" t="s">
        <v>24</v>
      </c>
      <c r="B23" s="25">
        <v>9620000013</v>
      </c>
      <c r="C23" s="26"/>
      <c r="D23" s="26"/>
      <c r="E23" s="27"/>
      <c r="F23" s="30"/>
      <c r="G23" s="28"/>
      <c r="H23" s="29"/>
      <c r="I23" s="31"/>
      <c r="J23" s="32"/>
      <c r="K23" s="33">
        <f t="shared" si="0"/>
        <v>0</v>
      </c>
      <c r="L23" s="32">
        <f t="shared" si="0"/>
        <v>0</v>
      </c>
      <c r="M23" s="30"/>
      <c r="N23" s="34"/>
    </row>
    <row r="24" spans="1:14" s="2" customFormat="1" ht="17.100000000000001" customHeight="1" x14ac:dyDescent="0.2">
      <c r="A24" s="2" t="s">
        <v>25</v>
      </c>
      <c r="B24" s="25">
        <v>9620000737</v>
      </c>
      <c r="C24" s="26"/>
      <c r="D24" s="26"/>
      <c r="E24" s="27"/>
      <c r="F24" s="30"/>
      <c r="G24" s="28"/>
      <c r="H24" s="29"/>
      <c r="I24" s="31"/>
      <c r="J24" s="32"/>
      <c r="K24" s="33">
        <f t="shared" si="0"/>
        <v>0</v>
      </c>
      <c r="L24" s="32">
        <f t="shared" si="0"/>
        <v>0</v>
      </c>
      <c r="M24" s="30"/>
      <c r="N24" s="34"/>
    </row>
    <row r="25" spans="1:14" s="2" customFormat="1" ht="17.100000000000001" customHeight="1" x14ac:dyDescent="0.2">
      <c r="A25" s="2" t="s">
        <v>26</v>
      </c>
      <c r="B25" s="25">
        <v>9620000034</v>
      </c>
      <c r="C25" s="26"/>
      <c r="D25" s="26"/>
      <c r="E25" s="27"/>
      <c r="F25" s="30"/>
      <c r="G25" s="28"/>
      <c r="H25" s="29"/>
      <c r="I25" s="31"/>
      <c r="J25" s="32"/>
      <c r="K25" s="33">
        <f t="shared" si="0"/>
        <v>0</v>
      </c>
      <c r="L25" s="32">
        <f t="shared" si="0"/>
        <v>0</v>
      </c>
      <c r="M25" s="30"/>
      <c r="N25" s="34"/>
    </row>
    <row r="26" spans="1:14" s="2" customFormat="1" ht="17.100000000000001" customHeight="1" x14ac:dyDescent="0.2">
      <c r="A26" s="2" t="s">
        <v>27</v>
      </c>
      <c r="B26" s="25">
        <v>9620000035</v>
      </c>
      <c r="C26" s="26"/>
      <c r="D26" s="26"/>
      <c r="E26" s="27"/>
      <c r="F26" s="30"/>
      <c r="G26" s="28"/>
      <c r="H26" s="29"/>
      <c r="I26" s="31"/>
      <c r="J26" s="32"/>
      <c r="K26" s="33">
        <f t="shared" si="0"/>
        <v>0</v>
      </c>
      <c r="L26" s="32">
        <f t="shared" si="0"/>
        <v>0</v>
      </c>
      <c r="M26" s="30"/>
      <c r="N26" s="34"/>
    </row>
    <row r="27" spans="1:14" s="2" customFormat="1" ht="17.100000000000001" customHeight="1" x14ac:dyDescent="0.2">
      <c r="A27" s="2" t="s">
        <v>28</v>
      </c>
      <c r="B27" s="25">
        <v>9620000037</v>
      </c>
      <c r="C27" s="26"/>
      <c r="D27" s="26"/>
      <c r="E27" s="27"/>
      <c r="F27" s="30"/>
      <c r="G27" s="28"/>
      <c r="H27" s="29"/>
      <c r="I27" s="31"/>
      <c r="J27" s="32"/>
      <c r="K27" s="33">
        <f t="shared" si="0"/>
        <v>0</v>
      </c>
      <c r="L27" s="32">
        <f t="shared" si="0"/>
        <v>0</v>
      </c>
      <c r="M27" s="30"/>
      <c r="N27" s="34"/>
    </row>
    <row r="28" spans="1:14" s="2" customFormat="1" ht="17.100000000000001" customHeight="1" x14ac:dyDescent="0.2">
      <c r="A28" s="2" t="s">
        <v>29</v>
      </c>
      <c r="B28" s="25">
        <v>9620000044</v>
      </c>
      <c r="C28" s="26"/>
      <c r="D28" s="26"/>
      <c r="E28" s="27"/>
      <c r="F28" s="30"/>
      <c r="G28" s="28"/>
      <c r="H28" s="29"/>
      <c r="I28" s="31"/>
      <c r="J28" s="32"/>
      <c r="K28" s="33">
        <f t="shared" si="0"/>
        <v>0</v>
      </c>
      <c r="L28" s="32">
        <f t="shared" si="0"/>
        <v>0</v>
      </c>
      <c r="M28" s="30"/>
      <c r="N28" s="34"/>
    </row>
    <row r="29" spans="1:14" s="2" customFormat="1" ht="17.100000000000001" customHeight="1" x14ac:dyDescent="0.2">
      <c r="A29" s="2" t="s">
        <v>30</v>
      </c>
      <c r="B29" s="25">
        <v>9620000045</v>
      </c>
      <c r="C29" s="26"/>
      <c r="D29" s="26"/>
      <c r="E29" s="27"/>
      <c r="F29" s="30"/>
      <c r="G29" s="28"/>
      <c r="H29" s="29"/>
      <c r="I29" s="31"/>
      <c r="J29" s="32"/>
      <c r="K29" s="33">
        <f t="shared" si="0"/>
        <v>0</v>
      </c>
      <c r="L29" s="32">
        <f t="shared" si="0"/>
        <v>0</v>
      </c>
      <c r="M29" s="30"/>
      <c r="N29" s="34"/>
    </row>
    <row r="30" spans="1:14" s="2" customFormat="1" ht="17.100000000000001" customHeight="1" x14ac:dyDescent="0.2">
      <c r="A30" s="2" t="s">
        <v>31</v>
      </c>
      <c r="B30" s="25">
        <v>9620000048</v>
      </c>
      <c r="C30" s="26"/>
      <c r="D30" s="26"/>
      <c r="E30" s="27"/>
      <c r="F30" s="30"/>
      <c r="G30" s="28"/>
      <c r="H30" s="29"/>
      <c r="I30" s="31"/>
      <c r="J30" s="32"/>
      <c r="K30" s="33">
        <f t="shared" si="0"/>
        <v>0</v>
      </c>
      <c r="L30" s="32">
        <f t="shared" si="0"/>
        <v>0</v>
      </c>
      <c r="M30" s="30"/>
      <c r="N30" s="34"/>
    </row>
    <row r="31" spans="1:14" s="2" customFormat="1" ht="17.100000000000001" customHeight="1" x14ac:dyDescent="0.2">
      <c r="A31" s="2" t="s">
        <v>32</v>
      </c>
      <c r="B31" s="25">
        <v>9620000052</v>
      </c>
      <c r="C31" s="26"/>
      <c r="D31" s="26"/>
      <c r="E31" s="27"/>
      <c r="F31" s="30"/>
      <c r="G31" s="28"/>
      <c r="H31" s="29"/>
      <c r="I31" s="31"/>
      <c r="J31" s="32"/>
      <c r="K31" s="33">
        <f t="shared" si="0"/>
        <v>0</v>
      </c>
      <c r="L31" s="32">
        <f t="shared" si="0"/>
        <v>0</v>
      </c>
      <c r="M31" s="30"/>
      <c r="N31" s="34"/>
    </row>
    <row r="32" spans="1:14" s="2" customFormat="1" ht="17.100000000000001" customHeight="1" x14ac:dyDescent="0.2">
      <c r="A32" s="2" t="s">
        <v>33</v>
      </c>
      <c r="B32" s="25">
        <v>9620000055</v>
      </c>
      <c r="C32" s="26"/>
      <c r="D32" s="26"/>
      <c r="E32" s="27"/>
      <c r="F32" s="30"/>
      <c r="G32" s="28"/>
      <c r="H32" s="29"/>
      <c r="I32" s="31"/>
      <c r="J32" s="32"/>
      <c r="K32" s="33">
        <f t="shared" si="0"/>
        <v>0</v>
      </c>
      <c r="L32" s="32">
        <f t="shared" si="0"/>
        <v>0</v>
      </c>
      <c r="M32" s="30"/>
      <c r="N32" s="34"/>
    </row>
    <row r="33" spans="1:14" s="2" customFormat="1" ht="17.100000000000001" customHeight="1" x14ac:dyDescent="0.2">
      <c r="A33" s="2" t="s">
        <v>34</v>
      </c>
      <c r="B33" s="25">
        <v>9620000056</v>
      </c>
      <c r="C33" s="26"/>
      <c r="D33" s="26"/>
      <c r="E33" s="27"/>
      <c r="F33" s="30"/>
      <c r="G33" s="28"/>
      <c r="H33" s="29"/>
      <c r="I33" s="31"/>
      <c r="J33" s="32"/>
      <c r="K33" s="33">
        <f t="shared" si="0"/>
        <v>0</v>
      </c>
      <c r="L33" s="32">
        <f t="shared" si="0"/>
        <v>0</v>
      </c>
      <c r="M33" s="30"/>
      <c r="N33" s="34"/>
    </row>
    <row r="34" spans="1:14" s="2" customFormat="1" ht="17.100000000000001" customHeight="1" x14ac:dyDescent="0.2">
      <c r="A34" s="2" t="s">
        <v>35</v>
      </c>
      <c r="B34" s="25">
        <v>9620002273</v>
      </c>
      <c r="C34" s="26"/>
      <c r="D34" s="26"/>
      <c r="E34" s="27"/>
      <c r="F34" s="30"/>
      <c r="G34" s="28"/>
      <c r="H34" s="29"/>
      <c r="I34" s="31"/>
      <c r="J34" s="32"/>
      <c r="K34" s="33">
        <f t="shared" si="0"/>
        <v>0</v>
      </c>
      <c r="L34" s="32">
        <f t="shared" si="0"/>
        <v>0</v>
      </c>
      <c r="M34" s="30"/>
      <c r="N34" s="34"/>
    </row>
    <row r="35" spans="1:14" s="2" customFormat="1" ht="17.100000000000001" customHeight="1" x14ac:dyDescent="0.2">
      <c r="A35" s="2" t="s">
        <v>36</v>
      </c>
      <c r="B35" s="25">
        <v>9620000738</v>
      </c>
      <c r="C35" s="26"/>
      <c r="D35" s="26"/>
      <c r="E35" s="27"/>
      <c r="F35" s="30"/>
      <c r="G35" s="28"/>
      <c r="H35" s="29"/>
      <c r="I35" s="31"/>
      <c r="J35" s="32"/>
      <c r="K35" s="33">
        <f t="shared" si="0"/>
        <v>0</v>
      </c>
      <c r="L35" s="32">
        <f t="shared" si="0"/>
        <v>0</v>
      </c>
      <c r="M35" s="30"/>
      <c r="N35" s="34"/>
    </row>
    <row r="36" spans="1:14" s="2" customFormat="1" ht="17.100000000000001" customHeight="1" x14ac:dyDescent="0.2">
      <c r="A36" s="2" t="s">
        <v>37</v>
      </c>
      <c r="B36" s="25">
        <v>9620000059</v>
      </c>
      <c r="C36" s="26"/>
      <c r="D36" s="26"/>
      <c r="E36" s="27"/>
      <c r="F36" s="30"/>
      <c r="G36" s="28"/>
      <c r="H36" s="29"/>
      <c r="I36" s="31"/>
      <c r="J36" s="32"/>
      <c r="K36" s="33">
        <f t="shared" si="0"/>
        <v>0</v>
      </c>
      <c r="L36" s="32">
        <f t="shared" si="0"/>
        <v>0</v>
      </c>
      <c r="M36" s="30"/>
      <c r="N36" s="34"/>
    </row>
    <row r="37" spans="1:14" s="2" customFormat="1" ht="17.100000000000001" customHeight="1" x14ac:dyDescent="0.2">
      <c r="A37" s="2" t="s">
        <v>38</v>
      </c>
      <c r="B37" s="25">
        <v>9620000062</v>
      </c>
      <c r="C37" s="26"/>
      <c r="D37" s="26"/>
      <c r="E37" s="27"/>
      <c r="F37" s="30"/>
      <c r="G37" s="28"/>
      <c r="H37" s="29"/>
      <c r="I37" s="31"/>
      <c r="J37" s="32"/>
      <c r="K37" s="33">
        <f t="shared" si="0"/>
        <v>0</v>
      </c>
      <c r="L37" s="32">
        <f t="shared" si="0"/>
        <v>0</v>
      </c>
      <c r="M37" s="30"/>
      <c r="N37" s="34"/>
    </row>
    <row r="38" spans="1:14" s="2" customFormat="1" ht="17.100000000000001" customHeight="1" x14ac:dyDescent="0.2">
      <c r="A38" s="2" t="s">
        <v>39</v>
      </c>
      <c r="B38" s="25">
        <v>9620000739</v>
      </c>
      <c r="C38" s="26"/>
      <c r="D38" s="26"/>
      <c r="E38" s="27"/>
      <c r="F38" s="30"/>
      <c r="G38" s="28"/>
      <c r="H38" s="29"/>
      <c r="I38" s="31"/>
      <c r="J38" s="32"/>
      <c r="K38" s="33">
        <f t="shared" si="0"/>
        <v>0</v>
      </c>
      <c r="L38" s="32">
        <f t="shared" si="0"/>
        <v>0</v>
      </c>
      <c r="M38" s="30"/>
      <c r="N38" s="34"/>
    </row>
    <row r="39" spans="1:14" s="2" customFormat="1" ht="17.100000000000001" customHeight="1" x14ac:dyDescent="0.2">
      <c r="A39" s="2" t="s">
        <v>40</v>
      </c>
      <c r="B39" s="25">
        <v>9620000063</v>
      </c>
      <c r="C39" s="26"/>
      <c r="D39" s="26"/>
      <c r="E39" s="27"/>
      <c r="F39" s="30"/>
      <c r="G39" s="28"/>
      <c r="H39" s="29"/>
      <c r="I39" s="31"/>
      <c r="J39" s="32"/>
      <c r="K39" s="33">
        <f t="shared" si="0"/>
        <v>0</v>
      </c>
      <c r="L39" s="32">
        <f t="shared" si="0"/>
        <v>0</v>
      </c>
      <c r="M39" s="30"/>
      <c r="N39" s="34"/>
    </row>
    <row r="40" spans="1:14" s="2" customFormat="1" ht="17.100000000000001" customHeight="1" x14ac:dyDescent="0.2">
      <c r="A40" s="2" t="s">
        <v>41</v>
      </c>
      <c r="B40" s="25">
        <v>9620000064</v>
      </c>
      <c r="C40" s="26"/>
      <c r="D40" s="26"/>
      <c r="E40" s="27"/>
      <c r="F40" s="30"/>
      <c r="G40" s="28"/>
      <c r="H40" s="29"/>
      <c r="I40" s="31"/>
      <c r="J40" s="32"/>
      <c r="K40" s="33">
        <f t="shared" si="0"/>
        <v>0</v>
      </c>
      <c r="L40" s="32">
        <f t="shared" si="0"/>
        <v>0</v>
      </c>
      <c r="M40" s="30"/>
      <c r="N40" s="34"/>
    </row>
    <row r="41" spans="1:14" s="2" customFormat="1" ht="17.100000000000001" customHeight="1" x14ac:dyDescent="0.2">
      <c r="A41" s="2" t="s">
        <v>42</v>
      </c>
      <c r="B41" s="25">
        <v>9620000066</v>
      </c>
      <c r="C41" s="26"/>
      <c r="D41" s="26"/>
      <c r="E41" s="27"/>
      <c r="F41" s="30"/>
      <c r="G41" s="28"/>
      <c r="H41" s="29"/>
      <c r="I41" s="31"/>
      <c r="J41" s="32"/>
      <c r="K41" s="33">
        <f t="shared" si="0"/>
        <v>0</v>
      </c>
      <c r="L41" s="32">
        <f t="shared" si="0"/>
        <v>0</v>
      </c>
      <c r="M41" s="30"/>
      <c r="N41" s="34"/>
    </row>
    <row r="42" spans="1:14" s="2" customFormat="1" ht="17.100000000000001" customHeight="1" x14ac:dyDescent="0.2">
      <c r="A42" s="2" t="s">
        <v>43</v>
      </c>
      <c r="B42" s="25">
        <v>9620000071</v>
      </c>
      <c r="C42" s="26"/>
      <c r="D42" s="26"/>
      <c r="E42" s="27"/>
      <c r="F42" s="30"/>
      <c r="G42" s="28"/>
      <c r="H42" s="29"/>
      <c r="I42" s="31"/>
      <c r="J42" s="32"/>
      <c r="K42" s="33">
        <f t="shared" si="0"/>
        <v>0</v>
      </c>
      <c r="L42" s="32">
        <f t="shared" si="0"/>
        <v>0</v>
      </c>
      <c r="M42" s="30"/>
      <c r="N42" s="34"/>
    </row>
    <row r="43" spans="1:14" s="2" customFormat="1" ht="17.100000000000001" customHeight="1" x14ac:dyDescent="0.2">
      <c r="A43" s="2" t="s">
        <v>44</v>
      </c>
      <c r="B43" s="25">
        <v>9620000072</v>
      </c>
      <c r="C43" s="26"/>
      <c r="D43" s="26"/>
      <c r="E43" s="27"/>
      <c r="F43" s="30"/>
      <c r="G43" s="28"/>
      <c r="H43" s="29"/>
      <c r="I43" s="31"/>
      <c r="J43" s="32"/>
      <c r="K43" s="33">
        <f t="shared" si="0"/>
        <v>0</v>
      </c>
      <c r="L43" s="32">
        <f t="shared" si="0"/>
        <v>0</v>
      </c>
      <c r="M43" s="30"/>
      <c r="N43" s="34"/>
    </row>
    <row r="44" spans="1:14" s="2" customFormat="1" ht="17.100000000000001" customHeight="1" x14ac:dyDescent="0.2">
      <c r="A44" s="2" t="s">
        <v>45</v>
      </c>
      <c r="B44" s="25">
        <v>9620000073</v>
      </c>
      <c r="C44" s="26"/>
      <c r="D44" s="26"/>
      <c r="E44" s="27"/>
      <c r="F44" s="30"/>
      <c r="G44" s="28"/>
      <c r="H44" s="29"/>
      <c r="I44" s="31"/>
      <c r="J44" s="32"/>
      <c r="K44" s="33">
        <f t="shared" si="0"/>
        <v>0</v>
      </c>
      <c r="L44" s="32">
        <f t="shared" si="0"/>
        <v>0</v>
      </c>
      <c r="M44" s="30"/>
      <c r="N44" s="34"/>
    </row>
    <row r="45" spans="1:14" s="2" customFormat="1" ht="17.100000000000001" customHeight="1" x14ac:dyDescent="0.2">
      <c r="A45" s="2" t="s">
        <v>46</v>
      </c>
      <c r="B45" s="25">
        <v>9620000074</v>
      </c>
      <c r="C45" s="26"/>
      <c r="D45" s="26"/>
      <c r="E45" s="27"/>
      <c r="F45" s="30"/>
      <c r="G45" s="28"/>
      <c r="H45" s="29"/>
      <c r="I45" s="31"/>
      <c r="J45" s="32"/>
      <c r="K45" s="33">
        <f t="shared" si="0"/>
        <v>0</v>
      </c>
      <c r="L45" s="32">
        <f t="shared" si="0"/>
        <v>0</v>
      </c>
      <c r="M45" s="30"/>
      <c r="N45" s="34"/>
    </row>
    <row r="46" spans="1:14" s="2" customFormat="1" ht="17.100000000000001" customHeight="1" x14ac:dyDescent="0.2">
      <c r="A46" s="2" t="s">
        <v>47</v>
      </c>
      <c r="B46" s="25">
        <v>9620000075</v>
      </c>
      <c r="C46" s="26"/>
      <c r="D46" s="26"/>
      <c r="E46" s="27"/>
      <c r="F46" s="30"/>
      <c r="G46" s="28"/>
      <c r="H46" s="29"/>
      <c r="I46" s="31"/>
      <c r="J46" s="32"/>
      <c r="K46" s="33">
        <f t="shared" si="0"/>
        <v>0</v>
      </c>
      <c r="L46" s="32">
        <f t="shared" si="0"/>
        <v>0</v>
      </c>
      <c r="M46" s="30"/>
      <c r="N46" s="34"/>
    </row>
    <row r="47" spans="1:14" s="2" customFormat="1" ht="17.100000000000001" customHeight="1" x14ac:dyDescent="0.2">
      <c r="A47" s="2" t="s">
        <v>48</v>
      </c>
      <c r="B47" s="25">
        <v>9620000741</v>
      </c>
      <c r="C47" s="26"/>
      <c r="D47" s="26"/>
      <c r="E47" s="27"/>
      <c r="F47" s="30"/>
      <c r="G47" s="28"/>
      <c r="H47" s="29"/>
      <c r="I47" s="31"/>
      <c r="J47" s="32"/>
      <c r="K47" s="33">
        <f t="shared" si="0"/>
        <v>0</v>
      </c>
      <c r="L47" s="32">
        <f t="shared" si="0"/>
        <v>0</v>
      </c>
      <c r="M47" s="30"/>
      <c r="N47" s="34"/>
    </row>
    <row r="48" spans="1:14" s="2" customFormat="1" ht="17.100000000000001" customHeight="1" x14ac:dyDescent="0.2">
      <c r="A48" s="2" t="s">
        <v>49</v>
      </c>
      <c r="B48" s="25">
        <v>9620000077</v>
      </c>
      <c r="C48" s="26"/>
      <c r="D48" s="26"/>
      <c r="E48" s="27"/>
      <c r="F48" s="30"/>
      <c r="G48" s="28"/>
      <c r="H48" s="29"/>
      <c r="I48" s="31"/>
      <c r="J48" s="32"/>
      <c r="K48" s="33">
        <f t="shared" si="0"/>
        <v>0</v>
      </c>
      <c r="L48" s="32">
        <f t="shared" si="0"/>
        <v>0</v>
      </c>
      <c r="M48" s="30"/>
      <c r="N48" s="34"/>
    </row>
    <row r="49" spans="1:14" s="2" customFormat="1" ht="17.100000000000001" customHeight="1" x14ac:dyDescent="0.2">
      <c r="A49" s="2" t="s">
        <v>50</v>
      </c>
      <c r="B49" s="25">
        <v>9620046939</v>
      </c>
      <c r="C49" s="26"/>
      <c r="D49" s="26"/>
      <c r="E49" s="27"/>
      <c r="F49" s="30"/>
      <c r="G49" s="28"/>
      <c r="H49" s="29"/>
      <c r="I49" s="31"/>
      <c r="J49" s="32"/>
      <c r="K49" s="33">
        <f t="shared" si="0"/>
        <v>0</v>
      </c>
      <c r="L49" s="32">
        <f t="shared" si="0"/>
        <v>0</v>
      </c>
      <c r="M49" s="30"/>
      <c r="N49" s="34"/>
    </row>
    <row r="50" spans="1:14" s="2" customFormat="1" ht="17.100000000000001" customHeight="1" x14ac:dyDescent="0.2">
      <c r="A50" s="2" t="s">
        <v>51</v>
      </c>
      <c r="B50" s="25">
        <v>9620000078</v>
      </c>
      <c r="C50" s="26"/>
      <c r="D50" s="35"/>
      <c r="E50" s="27"/>
      <c r="F50" s="30"/>
      <c r="G50" s="28"/>
      <c r="H50" s="29"/>
      <c r="I50" s="31"/>
      <c r="J50" s="32"/>
      <c r="K50" s="33">
        <f t="shared" si="0"/>
        <v>0</v>
      </c>
      <c r="L50" s="32">
        <f t="shared" si="0"/>
        <v>0</v>
      </c>
      <c r="M50" s="30"/>
      <c r="N50" s="34"/>
    </row>
    <row r="51" spans="1:14" s="2" customFormat="1" ht="17.100000000000001" customHeight="1" x14ac:dyDescent="0.2">
      <c r="A51" s="2" t="s">
        <v>52</v>
      </c>
      <c r="B51" s="25">
        <v>9620000080</v>
      </c>
      <c r="C51" s="26"/>
      <c r="D51" s="26"/>
      <c r="E51" s="27"/>
      <c r="F51" s="30"/>
      <c r="G51" s="28"/>
      <c r="H51" s="29"/>
      <c r="I51" s="31"/>
      <c r="J51" s="32"/>
      <c r="K51" s="33">
        <f t="shared" si="0"/>
        <v>0</v>
      </c>
      <c r="L51" s="32">
        <f t="shared" si="0"/>
        <v>0</v>
      </c>
      <c r="M51" s="30"/>
      <c r="N51" s="34"/>
    </row>
    <row r="52" spans="1:14" ht="17.100000000000001" customHeight="1" x14ac:dyDescent="0.2">
      <c r="A52" s="1" t="s">
        <v>53</v>
      </c>
      <c r="B52" s="25">
        <v>9620000083</v>
      </c>
      <c r="C52" s="26"/>
      <c r="D52" s="26"/>
      <c r="E52" s="36"/>
      <c r="F52" s="30"/>
      <c r="G52" s="28"/>
      <c r="H52" s="29"/>
      <c r="I52" s="31"/>
      <c r="J52" s="32"/>
      <c r="K52" s="33">
        <f t="shared" si="0"/>
        <v>0</v>
      </c>
      <c r="L52" s="32">
        <f t="shared" si="0"/>
        <v>0</v>
      </c>
      <c r="M52" s="30"/>
      <c r="N52" s="34"/>
    </row>
    <row r="53" spans="1:14" s="2" customFormat="1" ht="17.100000000000001" customHeight="1" x14ac:dyDescent="0.2">
      <c r="A53" s="2" t="s">
        <v>423</v>
      </c>
      <c r="B53" s="25">
        <v>9620000084</v>
      </c>
      <c r="C53" s="26"/>
      <c r="D53" s="26"/>
      <c r="E53" s="27"/>
      <c r="F53" s="37"/>
      <c r="G53" s="28"/>
      <c r="H53" s="29"/>
      <c r="I53" s="31"/>
      <c r="J53" s="29"/>
      <c r="K53" s="33">
        <f t="shared" si="0"/>
        <v>0</v>
      </c>
      <c r="L53" s="32">
        <f t="shared" si="0"/>
        <v>0</v>
      </c>
      <c r="M53" s="37"/>
      <c r="N53" s="34"/>
    </row>
    <row r="54" spans="1:14" s="2" customFormat="1" ht="17.100000000000001" customHeight="1" x14ac:dyDescent="0.2">
      <c r="A54" s="2" t="s">
        <v>54</v>
      </c>
      <c r="B54" s="25">
        <v>9620000086</v>
      </c>
      <c r="C54" s="26"/>
      <c r="D54" s="26"/>
      <c r="E54" s="27"/>
      <c r="F54" s="30"/>
      <c r="G54" s="28"/>
      <c r="H54" s="29"/>
      <c r="I54" s="31"/>
      <c r="J54" s="32"/>
      <c r="K54" s="33">
        <f t="shared" si="0"/>
        <v>0</v>
      </c>
      <c r="L54" s="32">
        <f t="shared" si="0"/>
        <v>0</v>
      </c>
      <c r="M54" s="30"/>
      <c r="N54" s="34"/>
    </row>
    <row r="55" spans="1:14" s="2" customFormat="1" ht="17.100000000000001" customHeight="1" x14ac:dyDescent="0.2">
      <c r="A55" s="2" t="s">
        <v>55</v>
      </c>
      <c r="B55" s="25">
        <v>9620000087</v>
      </c>
      <c r="C55" s="26"/>
      <c r="D55" s="26"/>
      <c r="E55" s="27"/>
      <c r="F55" s="30"/>
      <c r="G55" s="28"/>
      <c r="H55" s="29"/>
      <c r="I55" s="31"/>
      <c r="J55" s="32"/>
      <c r="K55" s="33">
        <f t="shared" si="0"/>
        <v>0</v>
      </c>
      <c r="L55" s="32">
        <f t="shared" si="0"/>
        <v>0</v>
      </c>
      <c r="M55" s="30"/>
      <c r="N55" s="34"/>
    </row>
    <row r="56" spans="1:14" s="2" customFormat="1" ht="17.100000000000001" customHeight="1" x14ac:dyDescent="0.2">
      <c r="A56" s="2" t="s">
        <v>56</v>
      </c>
      <c r="B56" s="25">
        <v>9620000088</v>
      </c>
      <c r="C56" s="26"/>
      <c r="D56" s="26"/>
      <c r="E56" s="27"/>
      <c r="F56" s="30"/>
      <c r="G56" s="28"/>
      <c r="H56" s="29"/>
      <c r="I56" s="31"/>
      <c r="J56" s="32"/>
      <c r="K56" s="33">
        <f t="shared" si="0"/>
        <v>0</v>
      </c>
      <c r="L56" s="32">
        <f t="shared" si="0"/>
        <v>0</v>
      </c>
      <c r="M56" s="30"/>
      <c r="N56" s="34"/>
    </row>
    <row r="57" spans="1:14" s="2" customFormat="1" ht="17.100000000000001" customHeight="1" x14ac:dyDescent="0.2">
      <c r="A57" s="2" t="s">
        <v>57</v>
      </c>
      <c r="B57" s="25">
        <v>9620000089</v>
      </c>
      <c r="C57" s="26"/>
      <c r="D57" s="26"/>
      <c r="E57" s="27"/>
      <c r="F57" s="30"/>
      <c r="G57" s="28"/>
      <c r="H57" s="29"/>
      <c r="I57" s="31"/>
      <c r="J57" s="32"/>
      <c r="K57" s="33">
        <f t="shared" si="0"/>
        <v>0</v>
      </c>
      <c r="L57" s="32">
        <f t="shared" si="0"/>
        <v>0</v>
      </c>
      <c r="M57" s="30"/>
      <c r="N57" s="34"/>
    </row>
    <row r="58" spans="1:14" s="2" customFormat="1" ht="17.100000000000001" customHeight="1" x14ac:dyDescent="0.2">
      <c r="A58" s="2" t="s">
        <v>58</v>
      </c>
      <c r="B58" s="25">
        <v>9620000090</v>
      </c>
      <c r="C58" s="26"/>
      <c r="D58" s="26"/>
      <c r="E58" s="27"/>
      <c r="F58" s="30"/>
      <c r="G58" s="28"/>
      <c r="H58" s="29"/>
      <c r="I58" s="31"/>
      <c r="J58" s="32"/>
      <c r="K58" s="33">
        <f t="shared" si="0"/>
        <v>0</v>
      </c>
      <c r="L58" s="32">
        <f t="shared" si="0"/>
        <v>0</v>
      </c>
      <c r="M58" s="30"/>
      <c r="N58" s="34"/>
    </row>
    <row r="59" spans="1:14" s="2" customFormat="1" ht="17.100000000000001" customHeight="1" x14ac:dyDescent="0.2">
      <c r="A59" s="2" t="s">
        <v>59</v>
      </c>
      <c r="B59" s="25">
        <v>9620000092</v>
      </c>
      <c r="C59" s="26"/>
      <c r="D59" s="26"/>
      <c r="E59" s="27"/>
      <c r="F59" s="30"/>
      <c r="G59" s="28"/>
      <c r="H59" s="29"/>
      <c r="I59" s="31"/>
      <c r="J59" s="32"/>
      <c r="K59" s="33">
        <f t="shared" si="0"/>
        <v>0</v>
      </c>
      <c r="L59" s="32">
        <f t="shared" si="0"/>
        <v>0</v>
      </c>
      <c r="M59" s="30"/>
      <c r="N59" s="34"/>
    </row>
    <row r="60" spans="1:14" s="2" customFormat="1" ht="17.100000000000001" customHeight="1" x14ac:dyDescent="0.2">
      <c r="A60" s="2" t="s">
        <v>59</v>
      </c>
      <c r="B60" s="25">
        <v>9620000742</v>
      </c>
      <c r="C60" s="26"/>
      <c r="D60" s="26"/>
      <c r="E60" s="27"/>
      <c r="F60" s="30"/>
      <c r="G60" s="28"/>
      <c r="H60" s="29"/>
      <c r="I60" s="31"/>
      <c r="J60" s="32"/>
      <c r="K60" s="33">
        <f t="shared" si="0"/>
        <v>0</v>
      </c>
      <c r="L60" s="32">
        <f t="shared" si="0"/>
        <v>0</v>
      </c>
      <c r="M60" s="30"/>
      <c r="N60" s="34"/>
    </row>
    <row r="61" spans="1:14" s="2" customFormat="1" ht="17.100000000000001" customHeight="1" x14ac:dyDescent="0.2">
      <c r="A61" s="2" t="s">
        <v>60</v>
      </c>
      <c r="B61" s="25">
        <v>9620000094</v>
      </c>
      <c r="C61" s="26"/>
      <c r="D61" s="26"/>
      <c r="E61" s="27"/>
      <c r="F61" s="30"/>
      <c r="G61" s="28"/>
      <c r="H61" s="29"/>
      <c r="I61" s="31"/>
      <c r="J61" s="32"/>
      <c r="K61" s="33">
        <f t="shared" si="0"/>
        <v>0</v>
      </c>
      <c r="L61" s="32">
        <f t="shared" si="0"/>
        <v>0</v>
      </c>
      <c r="M61" s="30"/>
      <c r="N61" s="34"/>
    </row>
    <row r="62" spans="1:14" s="2" customFormat="1" ht="17.100000000000001" customHeight="1" x14ac:dyDescent="0.2">
      <c r="A62" s="2" t="s">
        <v>61</v>
      </c>
      <c r="B62" s="25">
        <v>9620000095</v>
      </c>
      <c r="C62" s="26"/>
      <c r="D62" s="26"/>
      <c r="E62" s="27"/>
      <c r="F62" s="30"/>
      <c r="G62" s="28"/>
      <c r="H62" s="29"/>
      <c r="I62" s="31"/>
      <c r="J62" s="32"/>
      <c r="K62" s="33">
        <f t="shared" si="0"/>
        <v>0</v>
      </c>
      <c r="L62" s="32">
        <f t="shared" si="0"/>
        <v>0</v>
      </c>
      <c r="M62" s="30"/>
      <c r="N62" s="34"/>
    </row>
    <row r="63" spans="1:14" s="2" customFormat="1" ht="17.100000000000001" customHeight="1" x14ac:dyDescent="0.2">
      <c r="A63" s="2" t="s">
        <v>62</v>
      </c>
      <c r="B63" s="25">
        <v>9620000743</v>
      </c>
      <c r="C63" s="26"/>
      <c r="D63" s="26"/>
      <c r="E63" s="27"/>
      <c r="F63" s="30"/>
      <c r="G63" s="28"/>
      <c r="H63" s="29"/>
      <c r="I63" s="31"/>
      <c r="J63" s="32"/>
      <c r="K63" s="33">
        <f t="shared" si="0"/>
        <v>0</v>
      </c>
      <c r="L63" s="32">
        <f t="shared" si="0"/>
        <v>0</v>
      </c>
      <c r="M63" s="30"/>
      <c r="N63" s="34"/>
    </row>
    <row r="64" spans="1:14" s="2" customFormat="1" ht="17.100000000000001" customHeight="1" x14ac:dyDescent="0.2">
      <c r="A64" s="2" t="s">
        <v>63</v>
      </c>
      <c r="B64" s="25">
        <v>9620000744</v>
      </c>
      <c r="C64" s="26"/>
      <c r="D64" s="26"/>
      <c r="E64" s="27"/>
      <c r="F64" s="30"/>
      <c r="G64" s="28"/>
      <c r="H64" s="29"/>
      <c r="I64" s="31"/>
      <c r="J64" s="32"/>
      <c r="K64" s="33">
        <f t="shared" si="0"/>
        <v>0</v>
      </c>
      <c r="L64" s="32">
        <f t="shared" si="0"/>
        <v>0</v>
      </c>
      <c r="M64" s="30"/>
      <c r="N64" s="34"/>
    </row>
    <row r="65" spans="1:14" s="2" customFormat="1" ht="17.100000000000001" customHeight="1" x14ac:dyDescent="0.2">
      <c r="A65" s="2" t="s">
        <v>64</v>
      </c>
      <c r="B65" s="25">
        <v>9620000096</v>
      </c>
      <c r="C65" s="26"/>
      <c r="D65" s="35"/>
      <c r="E65" s="27"/>
      <c r="F65" s="30"/>
      <c r="G65" s="28"/>
      <c r="H65" s="29"/>
      <c r="I65" s="31"/>
      <c r="J65" s="32"/>
      <c r="K65" s="33">
        <f t="shared" si="0"/>
        <v>0</v>
      </c>
      <c r="L65" s="32">
        <f t="shared" si="0"/>
        <v>0</v>
      </c>
      <c r="M65" s="30"/>
      <c r="N65" s="34"/>
    </row>
    <row r="66" spans="1:14" s="2" customFormat="1" ht="17.100000000000001" customHeight="1" x14ac:dyDescent="0.2">
      <c r="A66" s="2" t="s">
        <v>65</v>
      </c>
      <c r="B66" s="25">
        <v>9620000097</v>
      </c>
      <c r="C66" s="26"/>
      <c r="D66" s="35"/>
      <c r="E66" s="27"/>
      <c r="F66" s="37"/>
      <c r="G66" s="28"/>
      <c r="H66" s="29"/>
      <c r="I66" s="31"/>
      <c r="J66" s="32"/>
      <c r="K66" s="33">
        <f t="shared" ref="K66:L129" si="1">G66-I66</f>
        <v>0</v>
      </c>
      <c r="L66" s="32">
        <f t="shared" si="1"/>
        <v>0</v>
      </c>
      <c r="M66" s="37"/>
      <c r="N66" s="34"/>
    </row>
    <row r="67" spans="1:14" s="2" customFormat="1" ht="17.100000000000001" customHeight="1" x14ac:dyDescent="0.2">
      <c r="A67" s="2" t="s">
        <v>66</v>
      </c>
      <c r="B67" s="25">
        <v>9620000098</v>
      </c>
      <c r="C67" s="26"/>
      <c r="D67" s="26"/>
      <c r="E67" s="27"/>
      <c r="F67" s="30"/>
      <c r="G67" s="28"/>
      <c r="H67" s="29"/>
      <c r="I67" s="31"/>
      <c r="J67" s="32"/>
      <c r="K67" s="33">
        <f t="shared" si="1"/>
        <v>0</v>
      </c>
      <c r="L67" s="32">
        <f t="shared" si="1"/>
        <v>0</v>
      </c>
      <c r="M67" s="30"/>
      <c r="N67" s="34"/>
    </row>
    <row r="68" spans="1:14" s="2" customFormat="1" ht="17.100000000000001" customHeight="1" x14ac:dyDescent="0.2">
      <c r="A68" s="2" t="s">
        <v>67</v>
      </c>
      <c r="B68" s="25">
        <v>9620000099</v>
      </c>
      <c r="C68" s="26"/>
      <c r="D68" s="26"/>
      <c r="E68" s="27"/>
      <c r="F68" s="30"/>
      <c r="G68" s="28"/>
      <c r="H68" s="29"/>
      <c r="I68" s="31"/>
      <c r="J68" s="32"/>
      <c r="K68" s="33">
        <f t="shared" si="1"/>
        <v>0</v>
      </c>
      <c r="L68" s="32">
        <f t="shared" si="1"/>
        <v>0</v>
      </c>
      <c r="M68" s="30"/>
      <c r="N68" s="34"/>
    </row>
    <row r="69" spans="1:14" s="2" customFormat="1" ht="17.100000000000001" customHeight="1" x14ac:dyDescent="0.2">
      <c r="A69" s="2" t="s">
        <v>68</v>
      </c>
      <c r="B69" s="25">
        <v>9620000100</v>
      </c>
      <c r="C69" s="26"/>
      <c r="D69" s="26"/>
      <c r="E69" s="27"/>
      <c r="F69" s="30"/>
      <c r="G69" s="28"/>
      <c r="H69" s="29"/>
      <c r="I69" s="31"/>
      <c r="J69" s="32"/>
      <c r="K69" s="33">
        <f t="shared" si="1"/>
        <v>0</v>
      </c>
      <c r="L69" s="32">
        <f t="shared" si="1"/>
        <v>0</v>
      </c>
      <c r="M69" s="30"/>
      <c r="N69" s="34"/>
    </row>
    <row r="70" spans="1:14" s="2" customFormat="1" ht="17.100000000000001" customHeight="1" x14ac:dyDescent="0.2">
      <c r="A70" s="2" t="s">
        <v>69</v>
      </c>
      <c r="B70" s="25">
        <v>9620000101</v>
      </c>
      <c r="C70" s="26"/>
      <c r="D70" s="26"/>
      <c r="E70" s="27"/>
      <c r="F70" s="30"/>
      <c r="G70" s="28"/>
      <c r="H70" s="29"/>
      <c r="I70" s="31"/>
      <c r="J70" s="32"/>
      <c r="K70" s="33">
        <f t="shared" si="1"/>
        <v>0</v>
      </c>
      <c r="L70" s="32">
        <f t="shared" si="1"/>
        <v>0</v>
      </c>
      <c r="M70" s="30"/>
      <c r="N70" s="34"/>
    </row>
    <row r="71" spans="1:14" s="2" customFormat="1" ht="17.100000000000001" customHeight="1" x14ac:dyDescent="0.2">
      <c r="A71" s="2" t="s">
        <v>70</v>
      </c>
      <c r="B71" s="25">
        <v>9620000105</v>
      </c>
      <c r="C71" s="26"/>
      <c r="D71" s="26"/>
      <c r="E71" s="27"/>
      <c r="F71" s="30"/>
      <c r="G71" s="28"/>
      <c r="H71" s="29"/>
      <c r="I71" s="31"/>
      <c r="J71" s="32"/>
      <c r="K71" s="33">
        <f t="shared" si="1"/>
        <v>0</v>
      </c>
      <c r="L71" s="32">
        <f t="shared" si="1"/>
        <v>0</v>
      </c>
      <c r="M71" s="30"/>
      <c r="N71" s="34"/>
    </row>
    <row r="72" spans="1:14" s="2" customFormat="1" ht="17.100000000000001" customHeight="1" x14ac:dyDescent="0.2">
      <c r="A72" s="2" t="s">
        <v>71</v>
      </c>
      <c r="B72" s="25">
        <v>9620000106</v>
      </c>
      <c r="C72" s="26"/>
      <c r="D72" s="26"/>
      <c r="E72" s="27"/>
      <c r="F72" s="30"/>
      <c r="G72" s="28"/>
      <c r="H72" s="29"/>
      <c r="I72" s="31"/>
      <c r="J72" s="32"/>
      <c r="K72" s="33">
        <f t="shared" si="1"/>
        <v>0</v>
      </c>
      <c r="L72" s="32">
        <f t="shared" si="1"/>
        <v>0</v>
      </c>
      <c r="M72" s="30"/>
      <c r="N72" s="34"/>
    </row>
    <row r="73" spans="1:14" s="2" customFormat="1" ht="17.100000000000001" customHeight="1" x14ac:dyDescent="0.2">
      <c r="A73" s="2" t="s">
        <v>72</v>
      </c>
      <c r="B73" s="25">
        <v>9620000107</v>
      </c>
      <c r="C73" s="26"/>
      <c r="D73" s="26"/>
      <c r="E73" s="27"/>
      <c r="F73" s="30"/>
      <c r="G73" s="28"/>
      <c r="H73" s="29"/>
      <c r="I73" s="31"/>
      <c r="J73" s="32"/>
      <c r="K73" s="33">
        <f t="shared" si="1"/>
        <v>0</v>
      </c>
      <c r="L73" s="32">
        <f t="shared" si="1"/>
        <v>0</v>
      </c>
      <c r="M73" s="30"/>
      <c r="N73" s="34"/>
    </row>
    <row r="74" spans="1:14" s="2" customFormat="1" ht="17.100000000000001" customHeight="1" x14ac:dyDescent="0.2">
      <c r="A74" s="2" t="s">
        <v>73</v>
      </c>
      <c r="B74" s="25">
        <v>9620047084</v>
      </c>
      <c r="C74" s="26"/>
      <c r="D74" s="26"/>
      <c r="E74" s="27"/>
      <c r="F74" s="30"/>
      <c r="G74" s="28"/>
      <c r="H74" s="29"/>
      <c r="I74" s="31"/>
      <c r="J74" s="32"/>
      <c r="K74" s="33">
        <f t="shared" si="1"/>
        <v>0</v>
      </c>
      <c r="L74" s="32">
        <f t="shared" si="1"/>
        <v>0</v>
      </c>
      <c r="M74" s="30"/>
      <c r="N74" s="34"/>
    </row>
    <row r="75" spans="1:14" s="2" customFormat="1" ht="17.100000000000001" customHeight="1" x14ac:dyDescent="0.2">
      <c r="A75" s="2" t="s">
        <v>74</v>
      </c>
      <c r="B75" s="25">
        <v>9620000746</v>
      </c>
      <c r="C75" s="26"/>
      <c r="D75" s="26"/>
      <c r="E75" s="27"/>
      <c r="F75" s="30"/>
      <c r="G75" s="28"/>
      <c r="H75" s="29"/>
      <c r="I75" s="31"/>
      <c r="J75" s="32"/>
      <c r="K75" s="33">
        <f t="shared" si="1"/>
        <v>0</v>
      </c>
      <c r="L75" s="32">
        <f t="shared" si="1"/>
        <v>0</v>
      </c>
      <c r="M75" s="30"/>
      <c r="N75" s="34"/>
    </row>
    <row r="76" spans="1:14" s="2" customFormat="1" ht="17.100000000000001" customHeight="1" x14ac:dyDescent="0.2">
      <c r="A76" s="2" t="s">
        <v>75</v>
      </c>
      <c r="B76" s="25">
        <v>9620048518</v>
      </c>
      <c r="C76" s="26"/>
      <c r="D76" s="26"/>
      <c r="E76" s="27"/>
      <c r="F76" s="30"/>
      <c r="G76" s="28"/>
      <c r="H76" s="29"/>
      <c r="I76" s="31"/>
      <c r="J76" s="32"/>
      <c r="K76" s="33">
        <f t="shared" si="1"/>
        <v>0</v>
      </c>
      <c r="L76" s="32">
        <f t="shared" si="1"/>
        <v>0</v>
      </c>
      <c r="M76" s="30"/>
      <c r="N76" s="34"/>
    </row>
    <row r="77" spans="1:14" s="2" customFormat="1" ht="17.100000000000001" customHeight="1" x14ac:dyDescent="0.2">
      <c r="A77" s="2" t="s">
        <v>76</v>
      </c>
      <c r="B77" s="25">
        <v>9620000113</v>
      </c>
      <c r="C77" s="26"/>
      <c r="D77" s="26"/>
      <c r="E77" s="27"/>
      <c r="F77" s="30"/>
      <c r="G77" s="28"/>
      <c r="H77" s="29"/>
      <c r="I77" s="31"/>
      <c r="J77" s="32"/>
      <c r="K77" s="33">
        <f t="shared" si="1"/>
        <v>0</v>
      </c>
      <c r="L77" s="32">
        <f t="shared" si="1"/>
        <v>0</v>
      </c>
      <c r="M77" s="30"/>
      <c r="N77" s="34"/>
    </row>
    <row r="78" spans="1:14" s="2" customFormat="1" ht="17.100000000000001" customHeight="1" x14ac:dyDescent="0.2">
      <c r="A78" s="2" t="s">
        <v>77</v>
      </c>
      <c r="B78" s="25">
        <v>9620000115</v>
      </c>
      <c r="C78" s="26"/>
      <c r="D78" s="26"/>
      <c r="E78" s="27"/>
      <c r="F78" s="30"/>
      <c r="G78" s="28"/>
      <c r="H78" s="29"/>
      <c r="I78" s="31"/>
      <c r="J78" s="32"/>
      <c r="K78" s="33">
        <f t="shared" si="1"/>
        <v>0</v>
      </c>
      <c r="L78" s="32">
        <f t="shared" si="1"/>
        <v>0</v>
      </c>
      <c r="M78" s="30"/>
      <c r="N78" s="34"/>
    </row>
    <row r="79" spans="1:14" s="2" customFormat="1" ht="17.100000000000001" customHeight="1" x14ac:dyDescent="0.2">
      <c r="A79" s="2" t="s">
        <v>78</v>
      </c>
      <c r="B79" s="25">
        <v>9620000747</v>
      </c>
      <c r="C79" s="26"/>
      <c r="D79" s="26"/>
      <c r="E79" s="27"/>
      <c r="F79" s="30"/>
      <c r="G79" s="28"/>
      <c r="H79" s="29"/>
      <c r="I79" s="31"/>
      <c r="J79" s="32"/>
      <c r="K79" s="33">
        <f t="shared" si="1"/>
        <v>0</v>
      </c>
      <c r="L79" s="32">
        <f t="shared" si="1"/>
        <v>0</v>
      </c>
      <c r="M79" s="30"/>
      <c r="N79" s="34"/>
    </row>
    <row r="80" spans="1:14" s="2" customFormat="1" ht="17.100000000000001" customHeight="1" x14ac:dyDescent="0.2">
      <c r="A80" s="2" t="s">
        <v>79</v>
      </c>
      <c r="B80" s="25">
        <v>9620000120</v>
      </c>
      <c r="C80" s="26"/>
      <c r="D80" s="26"/>
      <c r="E80" s="27"/>
      <c r="F80" s="30"/>
      <c r="G80" s="28"/>
      <c r="H80" s="29"/>
      <c r="I80" s="31"/>
      <c r="J80" s="32"/>
      <c r="K80" s="33">
        <f t="shared" si="1"/>
        <v>0</v>
      </c>
      <c r="L80" s="32">
        <f t="shared" si="1"/>
        <v>0</v>
      </c>
      <c r="M80" s="30"/>
      <c r="N80" s="34"/>
    </row>
    <row r="81" spans="1:14" s="2" customFormat="1" ht="17.100000000000001" customHeight="1" x14ac:dyDescent="0.2">
      <c r="A81" s="2" t="s">
        <v>80</v>
      </c>
      <c r="B81" s="25">
        <v>9620000123</v>
      </c>
      <c r="C81" s="26"/>
      <c r="D81" s="26"/>
      <c r="E81" s="27"/>
      <c r="F81" s="30"/>
      <c r="G81" s="28"/>
      <c r="H81" s="29"/>
      <c r="I81" s="31"/>
      <c r="J81" s="32"/>
      <c r="K81" s="33">
        <f t="shared" si="1"/>
        <v>0</v>
      </c>
      <c r="L81" s="32">
        <f t="shared" si="1"/>
        <v>0</v>
      </c>
      <c r="M81" s="30"/>
      <c r="N81" s="34"/>
    </row>
    <row r="82" spans="1:14" s="2" customFormat="1" ht="17.100000000000001" customHeight="1" x14ac:dyDescent="0.2">
      <c r="A82" s="2" t="s">
        <v>81</v>
      </c>
      <c r="B82" s="25">
        <v>9620000124</v>
      </c>
      <c r="C82" s="26"/>
      <c r="D82" s="26"/>
      <c r="E82" s="27"/>
      <c r="F82" s="30"/>
      <c r="G82" s="28"/>
      <c r="H82" s="29"/>
      <c r="I82" s="31"/>
      <c r="J82" s="32"/>
      <c r="K82" s="33">
        <f t="shared" si="1"/>
        <v>0</v>
      </c>
      <c r="L82" s="32">
        <f t="shared" si="1"/>
        <v>0</v>
      </c>
      <c r="M82" s="30"/>
      <c r="N82" s="34"/>
    </row>
    <row r="83" spans="1:14" s="2" customFormat="1" ht="17.100000000000001" customHeight="1" x14ac:dyDescent="0.2">
      <c r="A83" s="2" t="s">
        <v>82</v>
      </c>
      <c r="B83" s="25">
        <v>9620000748</v>
      </c>
      <c r="C83" s="26"/>
      <c r="D83" s="26"/>
      <c r="E83" s="27"/>
      <c r="F83" s="30"/>
      <c r="G83" s="28"/>
      <c r="H83" s="29"/>
      <c r="I83" s="31"/>
      <c r="J83" s="32"/>
      <c r="K83" s="33">
        <f t="shared" si="1"/>
        <v>0</v>
      </c>
      <c r="L83" s="32">
        <f t="shared" si="1"/>
        <v>0</v>
      </c>
      <c r="M83" s="30"/>
      <c r="N83" s="34"/>
    </row>
    <row r="84" spans="1:14" s="2" customFormat="1" ht="17.100000000000001" customHeight="1" x14ac:dyDescent="0.2">
      <c r="A84" s="2" t="s">
        <v>82</v>
      </c>
      <c r="B84" s="25">
        <v>9620000749</v>
      </c>
      <c r="C84" s="26"/>
      <c r="D84" s="26"/>
      <c r="E84" s="27"/>
      <c r="F84" s="30"/>
      <c r="G84" s="28"/>
      <c r="H84" s="29"/>
      <c r="I84" s="31"/>
      <c r="J84" s="32"/>
      <c r="K84" s="33">
        <f t="shared" si="1"/>
        <v>0</v>
      </c>
      <c r="L84" s="32">
        <f t="shared" si="1"/>
        <v>0</v>
      </c>
      <c r="M84" s="30"/>
      <c r="N84" s="34"/>
    </row>
    <row r="85" spans="1:14" s="2" customFormat="1" ht="17.100000000000001" customHeight="1" x14ac:dyDescent="0.2">
      <c r="A85" s="2" t="s">
        <v>82</v>
      </c>
      <c r="B85" s="25">
        <v>9620000750</v>
      </c>
      <c r="C85" s="26"/>
      <c r="D85" s="26"/>
      <c r="E85" s="27"/>
      <c r="F85" s="30"/>
      <c r="G85" s="28"/>
      <c r="H85" s="29"/>
      <c r="I85" s="31"/>
      <c r="J85" s="32"/>
      <c r="K85" s="33">
        <f t="shared" si="1"/>
        <v>0</v>
      </c>
      <c r="L85" s="32">
        <f t="shared" si="1"/>
        <v>0</v>
      </c>
      <c r="M85" s="30"/>
      <c r="N85" s="34"/>
    </row>
    <row r="86" spans="1:14" s="2" customFormat="1" ht="17.100000000000001" customHeight="1" x14ac:dyDescent="0.2">
      <c r="A86" s="2" t="s">
        <v>82</v>
      </c>
      <c r="B86" s="25">
        <v>9620000751</v>
      </c>
      <c r="C86" s="26"/>
      <c r="D86" s="26"/>
      <c r="E86" s="27"/>
      <c r="F86" s="30"/>
      <c r="G86" s="28"/>
      <c r="H86" s="29"/>
      <c r="I86" s="31"/>
      <c r="J86" s="32"/>
      <c r="K86" s="33">
        <f t="shared" si="1"/>
        <v>0</v>
      </c>
      <c r="L86" s="32">
        <f t="shared" si="1"/>
        <v>0</v>
      </c>
      <c r="M86" s="30"/>
      <c r="N86" s="34"/>
    </row>
    <row r="87" spans="1:14" s="2" customFormat="1" ht="17.100000000000001" customHeight="1" x14ac:dyDescent="0.2">
      <c r="A87" s="2" t="s">
        <v>82</v>
      </c>
      <c r="B87" s="25">
        <v>9620000752</v>
      </c>
      <c r="C87" s="26"/>
      <c r="D87" s="26"/>
      <c r="E87" s="27"/>
      <c r="F87" s="30"/>
      <c r="G87" s="28"/>
      <c r="H87" s="29"/>
      <c r="I87" s="31"/>
      <c r="J87" s="32"/>
      <c r="K87" s="33">
        <f t="shared" si="1"/>
        <v>0</v>
      </c>
      <c r="L87" s="32">
        <f t="shared" si="1"/>
        <v>0</v>
      </c>
      <c r="M87" s="30"/>
      <c r="N87" s="34"/>
    </row>
    <row r="88" spans="1:14" s="2" customFormat="1" ht="17.100000000000001" customHeight="1" x14ac:dyDescent="0.2">
      <c r="A88" s="2" t="s">
        <v>82</v>
      </c>
      <c r="B88" s="25">
        <v>9620000753</v>
      </c>
      <c r="C88" s="26"/>
      <c r="D88" s="26"/>
      <c r="E88" s="27"/>
      <c r="F88" s="30"/>
      <c r="G88" s="28"/>
      <c r="H88" s="29"/>
      <c r="I88" s="31"/>
      <c r="J88" s="32"/>
      <c r="K88" s="33">
        <f t="shared" si="1"/>
        <v>0</v>
      </c>
      <c r="L88" s="32">
        <f t="shared" si="1"/>
        <v>0</v>
      </c>
      <c r="M88" s="30"/>
      <c r="N88" s="34"/>
    </row>
    <row r="89" spans="1:14" s="2" customFormat="1" ht="17.100000000000001" customHeight="1" x14ac:dyDescent="0.2">
      <c r="A89" s="2" t="s">
        <v>83</v>
      </c>
      <c r="B89" s="25">
        <v>9620000127</v>
      </c>
      <c r="C89" s="26"/>
      <c r="D89" s="26"/>
      <c r="E89" s="27"/>
      <c r="F89" s="30"/>
      <c r="G89" s="28"/>
      <c r="H89" s="29"/>
      <c r="I89" s="31"/>
      <c r="J89" s="32"/>
      <c r="K89" s="33">
        <f t="shared" si="1"/>
        <v>0</v>
      </c>
      <c r="L89" s="32">
        <f t="shared" si="1"/>
        <v>0</v>
      </c>
      <c r="M89" s="30"/>
      <c r="N89" s="34"/>
    </row>
    <row r="90" spans="1:14" s="2" customFormat="1" ht="17.100000000000001" customHeight="1" x14ac:dyDescent="0.2">
      <c r="A90" s="2" t="s">
        <v>84</v>
      </c>
      <c r="B90" s="25">
        <v>9620000129</v>
      </c>
      <c r="C90" s="26"/>
      <c r="D90" s="26"/>
      <c r="E90" s="27"/>
      <c r="F90" s="30"/>
      <c r="G90" s="28"/>
      <c r="H90" s="29"/>
      <c r="I90" s="31"/>
      <c r="J90" s="32"/>
      <c r="K90" s="33">
        <f t="shared" si="1"/>
        <v>0</v>
      </c>
      <c r="L90" s="32">
        <f t="shared" si="1"/>
        <v>0</v>
      </c>
      <c r="M90" s="30"/>
      <c r="N90" s="34"/>
    </row>
    <row r="91" spans="1:14" s="2" customFormat="1" ht="17.100000000000001" customHeight="1" x14ac:dyDescent="0.2">
      <c r="A91" s="2" t="s">
        <v>85</v>
      </c>
      <c r="B91" s="25">
        <v>9620000130</v>
      </c>
      <c r="C91" s="26"/>
      <c r="D91" s="26"/>
      <c r="E91" s="27"/>
      <c r="F91" s="30"/>
      <c r="G91" s="28"/>
      <c r="H91" s="29"/>
      <c r="I91" s="31"/>
      <c r="J91" s="32"/>
      <c r="K91" s="33">
        <f t="shared" si="1"/>
        <v>0</v>
      </c>
      <c r="L91" s="32">
        <f t="shared" si="1"/>
        <v>0</v>
      </c>
      <c r="M91" s="30"/>
      <c r="N91" s="34"/>
    </row>
    <row r="92" spans="1:14" s="2" customFormat="1" ht="17.100000000000001" customHeight="1" x14ac:dyDescent="0.2">
      <c r="A92" s="2" t="s">
        <v>86</v>
      </c>
      <c r="B92" s="25">
        <v>9620048529</v>
      </c>
      <c r="C92" s="26"/>
      <c r="D92" s="26"/>
      <c r="E92" s="27"/>
      <c r="F92" s="30"/>
      <c r="G92" s="28"/>
      <c r="H92" s="29"/>
      <c r="I92" s="31"/>
      <c r="J92" s="32"/>
      <c r="K92" s="33">
        <f t="shared" si="1"/>
        <v>0</v>
      </c>
      <c r="L92" s="32">
        <f t="shared" si="1"/>
        <v>0</v>
      </c>
      <c r="M92" s="30"/>
      <c r="N92" s="34"/>
    </row>
    <row r="93" spans="1:14" s="2" customFormat="1" ht="17.100000000000001" customHeight="1" x14ac:dyDescent="0.2">
      <c r="A93" s="2" t="s">
        <v>87</v>
      </c>
      <c r="B93" s="25">
        <v>9620000755</v>
      </c>
      <c r="C93" s="26"/>
      <c r="D93" s="26"/>
      <c r="E93" s="27"/>
      <c r="F93" s="30"/>
      <c r="G93" s="28"/>
      <c r="H93" s="29"/>
      <c r="I93" s="31"/>
      <c r="J93" s="32"/>
      <c r="K93" s="33">
        <f t="shared" si="1"/>
        <v>0</v>
      </c>
      <c r="L93" s="32">
        <f t="shared" si="1"/>
        <v>0</v>
      </c>
      <c r="M93" s="30"/>
      <c r="N93" s="34"/>
    </row>
    <row r="94" spans="1:14" s="2" customFormat="1" ht="17.100000000000001" customHeight="1" x14ac:dyDescent="0.2">
      <c r="A94" s="2" t="s">
        <v>88</v>
      </c>
      <c r="B94" s="25">
        <v>9620000133</v>
      </c>
      <c r="C94" s="26"/>
      <c r="D94" s="26"/>
      <c r="E94" s="27"/>
      <c r="F94" s="30"/>
      <c r="G94" s="28"/>
      <c r="H94" s="29"/>
      <c r="I94" s="31"/>
      <c r="J94" s="32"/>
      <c r="K94" s="33">
        <f t="shared" si="1"/>
        <v>0</v>
      </c>
      <c r="L94" s="32">
        <f t="shared" si="1"/>
        <v>0</v>
      </c>
      <c r="M94" s="30"/>
      <c r="N94" s="34"/>
    </row>
    <row r="95" spans="1:14" s="2" customFormat="1" ht="17.100000000000001" customHeight="1" x14ac:dyDescent="0.2">
      <c r="A95" s="2" t="s">
        <v>89</v>
      </c>
      <c r="B95" s="25">
        <v>9620000134</v>
      </c>
      <c r="C95" s="26"/>
      <c r="D95" s="26"/>
      <c r="E95" s="27"/>
      <c r="F95" s="30"/>
      <c r="G95" s="28"/>
      <c r="H95" s="29"/>
      <c r="I95" s="31"/>
      <c r="J95" s="32"/>
      <c r="K95" s="33">
        <f t="shared" si="1"/>
        <v>0</v>
      </c>
      <c r="L95" s="32">
        <f t="shared" si="1"/>
        <v>0</v>
      </c>
      <c r="M95" s="30"/>
      <c r="N95" s="34"/>
    </row>
    <row r="96" spans="1:14" s="2" customFormat="1" ht="17.100000000000001" customHeight="1" x14ac:dyDescent="0.2">
      <c r="A96" s="2" t="s">
        <v>90</v>
      </c>
      <c r="B96" s="25">
        <v>9620000136</v>
      </c>
      <c r="C96" s="26"/>
      <c r="D96" s="26"/>
      <c r="E96" s="27"/>
      <c r="F96" s="30"/>
      <c r="G96" s="28"/>
      <c r="H96" s="29"/>
      <c r="I96" s="31"/>
      <c r="J96" s="32"/>
      <c r="K96" s="33">
        <f t="shared" si="1"/>
        <v>0</v>
      </c>
      <c r="L96" s="32">
        <f t="shared" si="1"/>
        <v>0</v>
      </c>
      <c r="M96" s="30"/>
      <c r="N96" s="34"/>
    </row>
    <row r="97" spans="1:14" s="2" customFormat="1" ht="17.100000000000001" customHeight="1" x14ac:dyDescent="0.2">
      <c r="A97" s="2" t="s">
        <v>91</v>
      </c>
      <c r="B97" s="25">
        <v>9620000137</v>
      </c>
      <c r="C97" s="26"/>
      <c r="D97" s="26"/>
      <c r="E97" s="27"/>
      <c r="F97" s="30"/>
      <c r="G97" s="28"/>
      <c r="H97" s="29"/>
      <c r="I97" s="31"/>
      <c r="J97" s="32"/>
      <c r="K97" s="33">
        <f t="shared" si="1"/>
        <v>0</v>
      </c>
      <c r="L97" s="32">
        <f t="shared" si="1"/>
        <v>0</v>
      </c>
      <c r="M97" s="30"/>
      <c r="N97" s="34"/>
    </row>
    <row r="98" spans="1:14" s="2" customFormat="1" ht="17.100000000000001" customHeight="1" x14ac:dyDescent="0.2">
      <c r="A98" s="2" t="s">
        <v>92</v>
      </c>
      <c r="B98" s="25">
        <v>9620000139</v>
      </c>
      <c r="C98" s="26"/>
      <c r="D98" s="26"/>
      <c r="E98" s="27"/>
      <c r="F98" s="30"/>
      <c r="G98" s="28"/>
      <c r="H98" s="29"/>
      <c r="I98" s="31"/>
      <c r="J98" s="32"/>
      <c r="K98" s="33">
        <f t="shared" si="1"/>
        <v>0</v>
      </c>
      <c r="L98" s="32">
        <f t="shared" si="1"/>
        <v>0</v>
      </c>
      <c r="M98" s="30"/>
      <c r="N98" s="34"/>
    </row>
    <row r="99" spans="1:14" s="2" customFormat="1" ht="17.100000000000001" customHeight="1" x14ac:dyDescent="0.2">
      <c r="A99" s="2" t="s">
        <v>93</v>
      </c>
      <c r="B99" s="25">
        <v>9620000141</v>
      </c>
      <c r="C99" s="26"/>
      <c r="D99" s="26"/>
      <c r="E99" s="27"/>
      <c r="F99" s="30"/>
      <c r="G99" s="28"/>
      <c r="H99" s="29"/>
      <c r="I99" s="31"/>
      <c r="J99" s="32"/>
      <c r="K99" s="33">
        <f t="shared" si="1"/>
        <v>0</v>
      </c>
      <c r="L99" s="32">
        <f t="shared" si="1"/>
        <v>0</v>
      </c>
      <c r="M99" s="30"/>
      <c r="N99" s="34"/>
    </row>
    <row r="100" spans="1:14" s="2" customFormat="1" ht="17.100000000000001" customHeight="1" x14ac:dyDescent="0.2">
      <c r="A100" s="2" t="s">
        <v>94</v>
      </c>
      <c r="B100" s="25">
        <v>9620000142</v>
      </c>
      <c r="C100" s="26"/>
      <c r="D100" s="26"/>
      <c r="E100" s="27"/>
      <c r="F100" s="30"/>
      <c r="G100" s="28"/>
      <c r="H100" s="29"/>
      <c r="I100" s="31"/>
      <c r="J100" s="32"/>
      <c r="K100" s="33">
        <f t="shared" si="1"/>
        <v>0</v>
      </c>
      <c r="L100" s="32">
        <f t="shared" si="1"/>
        <v>0</v>
      </c>
      <c r="M100" s="30"/>
      <c r="N100" s="34"/>
    </row>
    <row r="101" spans="1:14" s="2" customFormat="1" ht="17.100000000000001" customHeight="1" x14ac:dyDescent="0.2">
      <c r="A101" s="2" t="s">
        <v>95</v>
      </c>
      <c r="B101" s="25">
        <v>9620000183</v>
      </c>
      <c r="C101" s="26"/>
      <c r="D101" s="26"/>
      <c r="E101" s="27"/>
      <c r="F101" s="30"/>
      <c r="G101" s="28"/>
      <c r="H101" s="29"/>
      <c r="I101" s="31"/>
      <c r="J101" s="32"/>
      <c r="K101" s="33">
        <f t="shared" si="1"/>
        <v>0</v>
      </c>
      <c r="L101" s="32">
        <f t="shared" si="1"/>
        <v>0</v>
      </c>
      <c r="M101" s="30"/>
      <c r="N101" s="34"/>
    </row>
    <row r="102" spans="1:14" s="2" customFormat="1" ht="17.100000000000001" customHeight="1" x14ac:dyDescent="0.2">
      <c r="A102" s="2" t="s">
        <v>96</v>
      </c>
      <c r="B102" s="25">
        <v>9620000145</v>
      </c>
      <c r="C102" s="26"/>
      <c r="D102" s="26"/>
      <c r="E102" s="27"/>
      <c r="F102" s="30"/>
      <c r="G102" s="28"/>
      <c r="H102" s="29"/>
      <c r="I102" s="31"/>
      <c r="J102" s="32"/>
      <c r="K102" s="33">
        <f t="shared" si="1"/>
        <v>0</v>
      </c>
      <c r="L102" s="32">
        <f t="shared" si="1"/>
        <v>0</v>
      </c>
      <c r="M102" s="30"/>
      <c r="N102" s="34"/>
    </row>
    <row r="103" spans="1:14" s="2" customFormat="1" ht="17.100000000000001" customHeight="1" x14ac:dyDescent="0.2">
      <c r="A103" s="2" t="s">
        <v>97</v>
      </c>
      <c r="B103" s="25">
        <v>9620000148</v>
      </c>
      <c r="C103" s="26"/>
      <c r="D103" s="26"/>
      <c r="E103" s="27"/>
      <c r="F103" s="30"/>
      <c r="G103" s="28"/>
      <c r="H103" s="29"/>
      <c r="I103" s="31"/>
      <c r="J103" s="32"/>
      <c r="K103" s="33">
        <f t="shared" si="1"/>
        <v>0</v>
      </c>
      <c r="L103" s="32">
        <f t="shared" si="1"/>
        <v>0</v>
      </c>
      <c r="M103" s="30"/>
      <c r="N103" s="34"/>
    </row>
    <row r="104" spans="1:14" s="2" customFormat="1" ht="17.100000000000001" customHeight="1" x14ac:dyDescent="0.2">
      <c r="A104" s="2" t="s">
        <v>98</v>
      </c>
      <c r="B104" s="25">
        <v>9620000757</v>
      </c>
      <c r="C104" s="26"/>
      <c r="D104" s="26"/>
      <c r="E104" s="27"/>
      <c r="F104" s="30"/>
      <c r="G104" s="28"/>
      <c r="H104" s="29"/>
      <c r="I104" s="31"/>
      <c r="J104" s="32"/>
      <c r="K104" s="33">
        <f t="shared" si="1"/>
        <v>0</v>
      </c>
      <c r="L104" s="32">
        <f t="shared" si="1"/>
        <v>0</v>
      </c>
      <c r="M104" s="30"/>
      <c r="N104" s="34"/>
    </row>
    <row r="105" spans="1:14" s="2" customFormat="1" ht="17.100000000000001" customHeight="1" x14ac:dyDescent="0.2">
      <c r="A105" s="2" t="s">
        <v>99</v>
      </c>
      <c r="B105" s="25">
        <v>9620000758</v>
      </c>
      <c r="C105" s="26"/>
      <c r="D105" s="26"/>
      <c r="E105" s="27"/>
      <c r="F105" s="30"/>
      <c r="G105" s="28"/>
      <c r="H105" s="29"/>
      <c r="I105" s="31"/>
      <c r="J105" s="32"/>
      <c r="K105" s="33">
        <f t="shared" si="1"/>
        <v>0</v>
      </c>
      <c r="L105" s="32">
        <f t="shared" si="1"/>
        <v>0</v>
      </c>
      <c r="M105" s="30"/>
      <c r="N105" s="34"/>
    </row>
    <row r="106" spans="1:14" s="2" customFormat="1" ht="17.100000000000001" customHeight="1" x14ac:dyDescent="0.2">
      <c r="A106" s="2" t="s">
        <v>99</v>
      </c>
      <c r="B106" s="25">
        <v>9620000759</v>
      </c>
      <c r="C106" s="26"/>
      <c r="D106" s="26"/>
      <c r="E106" s="27"/>
      <c r="F106" s="30"/>
      <c r="G106" s="28"/>
      <c r="H106" s="29"/>
      <c r="I106" s="31"/>
      <c r="J106" s="32"/>
      <c r="K106" s="33">
        <f t="shared" si="1"/>
        <v>0</v>
      </c>
      <c r="L106" s="32">
        <f t="shared" si="1"/>
        <v>0</v>
      </c>
      <c r="M106" s="30"/>
      <c r="N106" s="34"/>
    </row>
    <row r="107" spans="1:14" s="2" customFormat="1" ht="17.100000000000001" customHeight="1" x14ac:dyDescent="0.2">
      <c r="A107" s="2" t="s">
        <v>100</v>
      </c>
      <c r="B107" s="25">
        <v>9620000154</v>
      </c>
      <c r="C107" s="26"/>
      <c r="D107" s="26"/>
      <c r="E107" s="27"/>
      <c r="F107" s="30"/>
      <c r="G107" s="28"/>
      <c r="H107" s="29"/>
      <c r="I107" s="31"/>
      <c r="J107" s="32"/>
      <c r="K107" s="33">
        <f t="shared" si="1"/>
        <v>0</v>
      </c>
      <c r="L107" s="32">
        <f t="shared" si="1"/>
        <v>0</v>
      </c>
      <c r="M107" s="30"/>
      <c r="N107" s="34"/>
    </row>
    <row r="108" spans="1:14" s="2" customFormat="1" ht="17.100000000000001" customHeight="1" x14ac:dyDescent="0.2">
      <c r="A108" s="2" t="s">
        <v>101</v>
      </c>
      <c r="B108" s="25">
        <v>9620000760</v>
      </c>
      <c r="C108" s="26"/>
      <c r="D108" s="26"/>
      <c r="E108" s="27"/>
      <c r="F108" s="30"/>
      <c r="G108" s="28"/>
      <c r="H108" s="29"/>
      <c r="I108" s="31"/>
      <c r="J108" s="32"/>
      <c r="K108" s="33">
        <f t="shared" si="1"/>
        <v>0</v>
      </c>
      <c r="L108" s="32">
        <f t="shared" si="1"/>
        <v>0</v>
      </c>
      <c r="M108" s="30"/>
      <c r="N108" s="34"/>
    </row>
    <row r="109" spans="1:14" s="2" customFormat="1" ht="17.100000000000001" customHeight="1" x14ac:dyDescent="0.2">
      <c r="A109" s="2" t="s">
        <v>102</v>
      </c>
      <c r="B109" s="25">
        <v>9620000155</v>
      </c>
      <c r="C109" s="26"/>
      <c r="D109" s="26"/>
      <c r="E109" s="27"/>
      <c r="F109" s="30"/>
      <c r="G109" s="28"/>
      <c r="H109" s="29"/>
      <c r="I109" s="31"/>
      <c r="J109" s="32"/>
      <c r="K109" s="33">
        <f t="shared" si="1"/>
        <v>0</v>
      </c>
      <c r="L109" s="32">
        <f t="shared" si="1"/>
        <v>0</v>
      </c>
      <c r="M109" s="30"/>
      <c r="N109" s="34"/>
    </row>
    <row r="110" spans="1:14" s="2" customFormat="1" ht="17.100000000000001" customHeight="1" x14ac:dyDescent="0.2">
      <c r="A110" s="2" t="s">
        <v>103</v>
      </c>
      <c r="B110" s="25">
        <v>9620000160</v>
      </c>
      <c r="C110" s="26"/>
      <c r="D110" s="26"/>
      <c r="E110" s="27"/>
      <c r="F110" s="30"/>
      <c r="G110" s="28"/>
      <c r="H110" s="29"/>
      <c r="I110" s="31"/>
      <c r="J110" s="32"/>
      <c r="K110" s="33">
        <f t="shared" si="1"/>
        <v>0</v>
      </c>
      <c r="L110" s="32">
        <f t="shared" si="1"/>
        <v>0</v>
      </c>
      <c r="M110" s="30"/>
      <c r="N110" s="34"/>
    </row>
    <row r="111" spans="1:14" s="2" customFormat="1" ht="17.100000000000001" customHeight="1" x14ac:dyDescent="0.2">
      <c r="A111" s="2" t="s">
        <v>104</v>
      </c>
      <c r="B111" s="25">
        <v>9620000161</v>
      </c>
      <c r="C111" s="26"/>
      <c r="D111" s="26"/>
      <c r="E111" s="27"/>
      <c r="F111" s="30"/>
      <c r="G111" s="28"/>
      <c r="H111" s="29"/>
      <c r="I111" s="31"/>
      <c r="J111" s="32"/>
      <c r="K111" s="33">
        <f t="shared" si="1"/>
        <v>0</v>
      </c>
      <c r="L111" s="32">
        <f t="shared" si="1"/>
        <v>0</v>
      </c>
      <c r="M111" s="30"/>
      <c r="N111" s="34"/>
    </row>
    <row r="112" spans="1:14" s="2" customFormat="1" ht="17.100000000000001" customHeight="1" x14ac:dyDescent="0.2">
      <c r="A112" s="2" t="s">
        <v>105</v>
      </c>
      <c r="B112" s="25">
        <v>9620000162</v>
      </c>
      <c r="C112" s="26"/>
      <c r="D112" s="26"/>
      <c r="E112" s="27"/>
      <c r="F112" s="30"/>
      <c r="G112" s="28"/>
      <c r="H112" s="29"/>
      <c r="I112" s="31"/>
      <c r="J112" s="32"/>
      <c r="K112" s="33">
        <f t="shared" si="1"/>
        <v>0</v>
      </c>
      <c r="L112" s="32">
        <f t="shared" si="1"/>
        <v>0</v>
      </c>
      <c r="M112" s="30"/>
      <c r="N112" s="34"/>
    </row>
    <row r="113" spans="1:14" s="2" customFormat="1" ht="17.100000000000001" customHeight="1" x14ac:dyDescent="0.2">
      <c r="A113" s="2" t="s">
        <v>106</v>
      </c>
      <c r="B113" s="25">
        <v>9620046790</v>
      </c>
      <c r="C113" s="26"/>
      <c r="D113" s="26"/>
      <c r="E113" s="27"/>
      <c r="F113" s="30"/>
      <c r="G113" s="28"/>
      <c r="H113" s="29"/>
      <c r="I113" s="31"/>
      <c r="J113" s="32"/>
      <c r="K113" s="33">
        <f t="shared" si="1"/>
        <v>0</v>
      </c>
      <c r="L113" s="32">
        <f t="shared" si="1"/>
        <v>0</v>
      </c>
      <c r="M113" s="30"/>
      <c r="N113" s="34"/>
    </row>
    <row r="114" spans="1:14" s="2" customFormat="1" ht="17.100000000000001" customHeight="1" x14ac:dyDescent="0.2">
      <c r="A114" s="2" t="s">
        <v>107</v>
      </c>
      <c r="B114" s="25">
        <v>9620000163</v>
      </c>
      <c r="C114" s="26"/>
      <c r="D114" s="26"/>
      <c r="E114" s="27"/>
      <c r="F114" s="30"/>
      <c r="G114" s="28"/>
      <c r="H114" s="29"/>
      <c r="I114" s="31"/>
      <c r="J114" s="32"/>
      <c r="K114" s="33">
        <f t="shared" si="1"/>
        <v>0</v>
      </c>
      <c r="L114" s="32">
        <f t="shared" si="1"/>
        <v>0</v>
      </c>
      <c r="M114" s="30"/>
      <c r="N114" s="34"/>
    </row>
    <row r="115" spans="1:14" s="2" customFormat="1" ht="17.100000000000001" customHeight="1" x14ac:dyDescent="0.2">
      <c r="A115" s="2" t="s">
        <v>108</v>
      </c>
      <c r="B115" s="25">
        <v>9620000166</v>
      </c>
      <c r="C115" s="26"/>
      <c r="D115" s="26"/>
      <c r="E115" s="27"/>
      <c r="F115" s="30"/>
      <c r="G115" s="28"/>
      <c r="H115" s="29"/>
      <c r="I115" s="31"/>
      <c r="J115" s="32"/>
      <c r="K115" s="33">
        <f t="shared" si="1"/>
        <v>0</v>
      </c>
      <c r="L115" s="32">
        <f t="shared" si="1"/>
        <v>0</v>
      </c>
      <c r="M115" s="30"/>
      <c r="N115" s="34"/>
    </row>
    <row r="116" spans="1:14" s="2" customFormat="1" ht="17.100000000000001" customHeight="1" x14ac:dyDescent="0.2">
      <c r="A116" s="2" t="s">
        <v>109</v>
      </c>
      <c r="B116" s="25">
        <v>9620000167</v>
      </c>
      <c r="C116" s="26"/>
      <c r="D116" s="26"/>
      <c r="E116" s="27"/>
      <c r="F116" s="30"/>
      <c r="G116" s="28"/>
      <c r="H116" s="29"/>
      <c r="I116" s="31"/>
      <c r="J116" s="32"/>
      <c r="K116" s="33">
        <f t="shared" si="1"/>
        <v>0</v>
      </c>
      <c r="L116" s="32">
        <f t="shared" si="1"/>
        <v>0</v>
      </c>
      <c r="M116" s="30"/>
      <c r="N116" s="34"/>
    </row>
    <row r="117" spans="1:14" s="2" customFormat="1" ht="17.100000000000001" customHeight="1" x14ac:dyDescent="0.2">
      <c r="A117" s="2" t="s">
        <v>110</v>
      </c>
      <c r="B117" s="25">
        <v>9620000168</v>
      </c>
      <c r="C117" s="26"/>
      <c r="D117" s="26"/>
      <c r="E117" s="27"/>
      <c r="F117" s="30"/>
      <c r="G117" s="28"/>
      <c r="H117" s="29"/>
      <c r="I117" s="31"/>
      <c r="J117" s="32"/>
      <c r="K117" s="33">
        <f t="shared" si="1"/>
        <v>0</v>
      </c>
      <c r="L117" s="32">
        <f t="shared" si="1"/>
        <v>0</v>
      </c>
      <c r="M117" s="30"/>
      <c r="N117" s="34"/>
    </row>
    <row r="118" spans="1:14" s="2" customFormat="1" ht="17.100000000000001" customHeight="1" x14ac:dyDescent="0.2">
      <c r="A118" s="2" t="s">
        <v>111</v>
      </c>
      <c r="B118" s="25">
        <v>9620000170</v>
      </c>
      <c r="C118" s="26"/>
      <c r="D118" s="26"/>
      <c r="E118" s="27"/>
      <c r="F118" s="30"/>
      <c r="G118" s="28"/>
      <c r="H118" s="29"/>
      <c r="I118" s="31"/>
      <c r="J118" s="32"/>
      <c r="K118" s="33">
        <f t="shared" si="1"/>
        <v>0</v>
      </c>
      <c r="L118" s="32">
        <f t="shared" si="1"/>
        <v>0</v>
      </c>
      <c r="M118" s="30"/>
      <c r="N118" s="34"/>
    </row>
    <row r="119" spans="1:14" s="2" customFormat="1" ht="17.100000000000001" customHeight="1" x14ac:dyDescent="0.2">
      <c r="A119" s="2" t="s">
        <v>112</v>
      </c>
      <c r="B119" s="25">
        <v>9620000173</v>
      </c>
      <c r="C119" s="26"/>
      <c r="D119" s="26"/>
      <c r="E119" s="27"/>
      <c r="F119" s="30"/>
      <c r="G119" s="28"/>
      <c r="H119" s="29"/>
      <c r="I119" s="31"/>
      <c r="J119" s="32"/>
      <c r="K119" s="33">
        <f t="shared" si="1"/>
        <v>0</v>
      </c>
      <c r="L119" s="32">
        <f t="shared" si="1"/>
        <v>0</v>
      </c>
      <c r="M119" s="30"/>
      <c r="N119" s="34"/>
    </row>
    <row r="120" spans="1:14" s="2" customFormat="1" ht="17.100000000000001" customHeight="1" x14ac:dyDescent="0.2">
      <c r="A120" s="2" t="s">
        <v>113</v>
      </c>
      <c r="B120" s="25">
        <v>9620000174</v>
      </c>
      <c r="C120" s="26"/>
      <c r="D120" s="26"/>
      <c r="E120" s="27"/>
      <c r="F120" s="30"/>
      <c r="G120" s="28"/>
      <c r="H120" s="29"/>
      <c r="I120" s="31"/>
      <c r="J120" s="32"/>
      <c r="K120" s="33">
        <f t="shared" si="1"/>
        <v>0</v>
      </c>
      <c r="L120" s="32">
        <f t="shared" si="1"/>
        <v>0</v>
      </c>
      <c r="M120" s="30"/>
      <c r="N120" s="34"/>
    </row>
    <row r="121" spans="1:14" s="2" customFormat="1" ht="17.100000000000001" customHeight="1" x14ac:dyDescent="0.2">
      <c r="A121" s="2" t="s">
        <v>114</v>
      </c>
      <c r="B121" s="38">
        <v>9620000176</v>
      </c>
      <c r="C121" s="26"/>
      <c r="D121" s="35"/>
      <c r="E121" s="27"/>
      <c r="F121" s="30"/>
      <c r="G121" s="28"/>
      <c r="H121" s="29"/>
      <c r="I121" s="31"/>
      <c r="J121" s="32"/>
      <c r="K121" s="33">
        <f t="shared" si="1"/>
        <v>0</v>
      </c>
      <c r="L121" s="32">
        <f t="shared" si="1"/>
        <v>0</v>
      </c>
      <c r="M121" s="30"/>
      <c r="N121" s="34"/>
    </row>
    <row r="122" spans="1:14" s="2" customFormat="1" ht="17.100000000000001" customHeight="1" x14ac:dyDescent="0.2">
      <c r="A122" s="2" t="s">
        <v>115</v>
      </c>
      <c r="B122" s="25">
        <v>9620000182</v>
      </c>
      <c r="C122" s="26"/>
      <c r="D122" s="26"/>
      <c r="E122" s="27"/>
      <c r="F122" s="30"/>
      <c r="G122" s="28"/>
      <c r="H122" s="29"/>
      <c r="I122" s="31"/>
      <c r="J122" s="32"/>
      <c r="K122" s="33">
        <f t="shared" si="1"/>
        <v>0</v>
      </c>
      <c r="L122" s="32">
        <f t="shared" si="1"/>
        <v>0</v>
      </c>
      <c r="M122" s="30"/>
      <c r="N122" s="34"/>
    </row>
    <row r="123" spans="1:14" s="2" customFormat="1" ht="17.100000000000001" customHeight="1" x14ac:dyDescent="0.2">
      <c r="A123" s="2" t="s">
        <v>116</v>
      </c>
      <c r="B123" s="25">
        <v>9620000763</v>
      </c>
      <c r="C123" s="26"/>
      <c r="D123" s="26"/>
      <c r="E123" s="27"/>
      <c r="F123" s="30"/>
      <c r="G123" s="28"/>
      <c r="H123" s="29"/>
      <c r="I123" s="31"/>
      <c r="J123" s="32"/>
      <c r="K123" s="33">
        <f t="shared" si="1"/>
        <v>0</v>
      </c>
      <c r="L123" s="32">
        <f t="shared" si="1"/>
        <v>0</v>
      </c>
      <c r="M123" s="30"/>
      <c r="N123" s="34"/>
    </row>
    <row r="124" spans="1:14" s="2" customFormat="1" ht="17.100000000000001" customHeight="1" x14ac:dyDescent="0.2">
      <c r="A124" s="2" t="s">
        <v>117</v>
      </c>
      <c r="B124" s="25">
        <v>9620000184</v>
      </c>
      <c r="C124" s="26"/>
      <c r="D124" s="26"/>
      <c r="E124" s="27"/>
      <c r="F124" s="30"/>
      <c r="G124" s="28"/>
      <c r="H124" s="29"/>
      <c r="I124" s="31"/>
      <c r="J124" s="32"/>
      <c r="K124" s="33">
        <f t="shared" si="1"/>
        <v>0</v>
      </c>
      <c r="L124" s="32">
        <f t="shared" si="1"/>
        <v>0</v>
      </c>
      <c r="M124" s="30"/>
      <c r="N124" s="34"/>
    </row>
    <row r="125" spans="1:14" s="2" customFormat="1" ht="17.100000000000001" customHeight="1" x14ac:dyDescent="0.2">
      <c r="A125" s="2" t="s">
        <v>118</v>
      </c>
      <c r="B125" s="25">
        <v>9620000764</v>
      </c>
      <c r="C125" s="26"/>
      <c r="D125" s="26"/>
      <c r="E125" s="27"/>
      <c r="F125" s="30"/>
      <c r="G125" s="28"/>
      <c r="H125" s="29"/>
      <c r="I125" s="31"/>
      <c r="J125" s="32"/>
      <c r="K125" s="33">
        <f t="shared" si="1"/>
        <v>0</v>
      </c>
      <c r="L125" s="32">
        <f t="shared" si="1"/>
        <v>0</v>
      </c>
      <c r="M125" s="30"/>
      <c r="N125" s="34"/>
    </row>
    <row r="126" spans="1:14" s="2" customFormat="1" ht="17.100000000000001" customHeight="1" x14ac:dyDescent="0.2">
      <c r="A126" s="2" t="s">
        <v>119</v>
      </c>
      <c r="B126" s="25">
        <v>9620000185</v>
      </c>
      <c r="C126" s="26"/>
      <c r="D126" s="26"/>
      <c r="E126" s="27"/>
      <c r="F126" s="30"/>
      <c r="G126" s="28"/>
      <c r="H126" s="29"/>
      <c r="I126" s="31"/>
      <c r="J126" s="32"/>
      <c r="K126" s="33">
        <f t="shared" si="1"/>
        <v>0</v>
      </c>
      <c r="L126" s="32">
        <f t="shared" si="1"/>
        <v>0</v>
      </c>
      <c r="M126" s="30"/>
      <c r="N126" s="34"/>
    </row>
    <row r="127" spans="1:14" s="2" customFormat="1" ht="17.100000000000001" customHeight="1" x14ac:dyDescent="0.2">
      <c r="A127" s="2" t="s">
        <v>119</v>
      </c>
      <c r="B127" s="25">
        <v>9620000765</v>
      </c>
      <c r="C127" s="26"/>
      <c r="D127" s="26"/>
      <c r="E127" s="27"/>
      <c r="F127" s="30"/>
      <c r="G127" s="28"/>
      <c r="H127" s="29"/>
      <c r="I127" s="31"/>
      <c r="J127" s="32"/>
      <c r="K127" s="33">
        <f t="shared" si="1"/>
        <v>0</v>
      </c>
      <c r="L127" s="32">
        <f t="shared" si="1"/>
        <v>0</v>
      </c>
      <c r="M127" s="30"/>
      <c r="N127" s="34"/>
    </row>
    <row r="128" spans="1:14" s="2" customFormat="1" ht="17.100000000000001" customHeight="1" x14ac:dyDescent="0.2">
      <c r="A128" s="2" t="s">
        <v>120</v>
      </c>
      <c r="B128" s="25">
        <v>9620000186</v>
      </c>
      <c r="C128" s="26"/>
      <c r="D128" s="26"/>
      <c r="E128" s="27"/>
      <c r="F128" s="30"/>
      <c r="G128" s="28"/>
      <c r="H128" s="29"/>
      <c r="I128" s="31"/>
      <c r="J128" s="32"/>
      <c r="K128" s="33">
        <f t="shared" si="1"/>
        <v>0</v>
      </c>
      <c r="L128" s="32">
        <f t="shared" si="1"/>
        <v>0</v>
      </c>
      <c r="M128" s="30"/>
      <c r="N128" s="34"/>
    </row>
    <row r="129" spans="1:14" s="2" customFormat="1" ht="17.100000000000001" customHeight="1" x14ac:dyDescent="0.2">
      <c r="A129" s="2" t="s">
        <v>121</v>
      </c>
      <c r="B129" s="25">
        <v>9620000191</v>
      </c>
      <c r="C129" s="26"/>
      <c r="D129" s="26"/>
      <c r="E129" s="27"/>
      <c r="F129" s="30"/>
      <c r="G129" s="28"/>
      <c r="H129" s="29"/>
      <c r="I129" s="31"/>
      <c r="J129" s="32"/>
      <c r="K129" s="33">
        <f t="shared" si="1"/>
        <v>0</v>
      </c>
      <c r="L129" s="32">
        <f t="shared" si="1"/>
        <v>0</v>
      </c>
      <c r="M129" s="30"/>
      <c r="N129" s="34"/>
    </row>
    <row r="130" spans="1:14" s="2" customFormat="1" ht="17.100000000000001" customHeight="1" x14ac:dyDescent="0.2">
      <c r="A130" s="2" t="s">
        <v>122</v>
      </c>
      <c r="B130" s="25">
        <v>9620000194</v>
      </c>
      <c r="C130" s="26"/>
      <c r="D130" s="26"/>
      <c r="E130" s="27"/>
      <c r="F130" s="30"/>
      <c r="G130" s="28"/>
      <c r="H130" s="29"/>
      <c r="I130" s="31"/>
      <c r="J130" s="32"/>
      <c r="K130" s="33">
        <f t="shared" ref="K130:L193" si="2">G130-I130</f>
        <v>0</v>
      </c>
      <c r="L130" s="32">
        <f t="shared" si="2"/>
        <v>0</v>
      </c>
      <c r="M130" s="30"/>
      <c r="N130" s="34"/>
    </row>
    <row r="131" spans="1:14" s="2" customFormat="1" ht="17.100000000000001" customHeight="1" x14ac:dyDescent="0.2">
      <c r="A131" s="2" t="s">
        <v>123</v>
      </c>
      <c r="B131" s="25">
        <v>9620000767</v>
      </c>
      <c r="C131" s="26"/>
      <c r="D131" s="26"/>
      <c r="E131" s="27"/>
      <c r="F131" s="30"/>
      <c r="G131" s="28"/>
      <c r="H131" s="29"/>
      <c r="I131" s="31"/>
      <c r="J131" s="32"/>
      <c r="K131" s="33">
        <f t="shared" si="2"/>
        <v>0</v>
      </c>
      <c r="L131" s="32">
        <f t="shared" si="2"/>
        <v>0</v>
      </c>
      <c r="M131" s="30"/>
      <c r="N131" s="34"/>
    </row>
    <row r="132" spans="1:14" s="2" customFormat="1" ht="17.100000000000001" customHeight="1" x14ac:dyDescent="0.2">
      <c r="A132" s="2" t="s">
        <v>124</v>
      </c>
      <c r="B132" s="25">
        <v>9620050785</v>
      </c>
      <c r="C132" s="26"/>
      <c r="D132" s="26"/>
      <c r="E132" s="27"/>
      <c r="F132" s="30"/>
      <c r="G132" s="28"/>
      <c r="H132" s="29"/>
      <c r="I132" s="31"/>
      <c r="J132" s="32"/>
      <c r="K132" s="33">
        <f t="shared" si="2"/>
        <v>0</v>
      </c>
      <c r="L132" s="32">
        <f t="shared" si="2"/>
        <v>0</v>
      </c>
      <c r="M132" s="30"/>
      <c r="N132" s="34"/>
    </row>
    <row r="133" spans="1:14" s="2" customFormat="1" ht="17.100000000000001" customHeight="1" x14ac:dyDescent="0.2">
      <c r="A133" s="2" t="s">
        <v>125</v>
      </c>
      <c r="B133" s="25">
        <v>9620000206</v>
      </c>
      <c r="C133" s="26"/>
      <c r="D133" s="26"/>
      <c r="E133" s="27"/>
      <c r="F133" s="30"/>
      <c r="G133" s="28"/>
      <c r="H133" s="29"/>
      <c r="I133" s="31"/>
      <c r="J133" s="32"/>
      <c r="K133" s="33">
        <f t="shared" si="2"/>
        <v>0</v>
      </c>
      <c r="L133" s="32">
        <f t="shared" si="2"/>
        <v>0</v>
      </c>
      <c r="M133" s="30"/>
      <c r="N133" s="34"/>
    </row>
    <row r="134" spans="1:14" s="2" customFormat="1" ht="17.100000000000001" customHeight="1" x14ac:dyDescent="0.2">
      <c r="A134" s="2" t="s">
        <v>126</v>
      </c>
      <c r="B134" s="25">
        <v>9620000209</v>
      </c>
      <c r="C134" s="26"/>
      <c r="D134" s="26"/>
      <c r="E134" s="27"/>
      <c r="F134" s="30"/>
      <c r="G134" s="28"/>
      <c r="H134" s="29"/>
      <c r="I134" s="31"/>
      <c r="J134" s="32"/>
      <c r="K134" s="33">
        <f t="shared" si="2"/>
        <v>0</v>
      </c>
      <c r="L134" s="32">
        <f t="shared" si="2"/>
        <v>0</v>
      </c>
      <c r="M134" s="30"/>
      <c r="N134" s="34"/>
    </row>
    <row r="135" spans="1:14" s="2" customFormat="1" ht="17.100000000000001" customHeight="1" x14ac:dyDescent="0.2">
      <c r="A135" s="2" t="s">
        <v>127</v>
      </c>
      <c r="B135" s="25">
        <v>9620000768</v>
      </c>
      <c r="C135" s="26"/>
      <c r="D135" s="26"/>
      <c r="E135" s="27"/>
      <c r="F135" s="30"/>
      <c r="G135" s="28"/>
      <c r="H135" s="29"/>
      <c r="I135" s="31"/>
      <c r="J135" s="32"/>
      <c r="K135" s="33">
        <f t="shared" si="2"/>
        <v>0</v>
      </c>
      <c r="L135" s="32">
        <f t="shared" si="2"/>
        <v>0</v>
      </c>
      <c r="M135" s="30"/>
      <c r="N135" s="34"/>
    </row>
    <row r="136" spans="1:14" s="2" customFormat="1" ht="17.100000000000001" customHeight="1" x14ac:dyDescent="0.2">
      <c r="A136" s="2" t="s">
        <v>128</v>
      </c>
      <c r="B136" s="25">
        <v>9620000769</v>
      </c>
      <c r="C136" s="26"/>
      <c r="D136" s="26"/>
      <c r="E136" s="27"/>
      <c r="F136" s="30"/>
      <c r="G136" s="28"/>
      <c r="H136" s="29"/>
      <c r="I136" s="31"/>
      <c r="J136" s="32"/>
      <c r="K136" s="33">
        <f t="shared" si="2"/>
        <v>0</v>
      </c>
      <c r="L136" s="32">
        <f t="shared" si="2"/>
        <v>0</v>
      </c>
      <c r="M136" s="30"/>
      <c r="N136" s="34"/>
    </row>
    <row r="137" spans="1:14" s="2" customFormat="1" ht="17.100000000000001" customHeight="1" x14ac:dyDescent="0.2">
      <c r="A137" s="39" t="s">
        <v>129</v>
      </c>
      <c r="B137" s="38">
        <v>9620000218</v>
      </c>
      <c r="C137" s="35"/>
      <c r="D137" s="35"/>
      <c r="E137" s="27"/>
      <c r="F137" s="42"/>
      <c r="G137" s="40"/>
      <c r="H137" s="41"/>
      <c r="I137" s="43"/>
      <c r="J137" s="44"/>
      <c r="K137" s="33">
        <f t="shared" si="2"/>
        <v>0</v>
      </c>
      <c r="L137" s="32">
        <f t="shared" si="2"/>
        <v>0</v>
      </c>
      <c r="M137" s="42"/>
      <c r="N137" s="45"/>
    </row>
    <row r="138" spans="1:14" s="2" customFormat="1" ht="17.100000000000001" customHeight="1" x14ac:dyDescent="0.2">
      <c r="A138" s="2" t="s">
        <v>129</v>
      </c>
      <c r="B138" s="25">
        <v>9620000770</v>
      </c>
      <c r="C138" s="26"/>
      <c r="D138" s="26"/>
      <c r="E138" s="27"/>
      <c r="F138" s="30"/>
      <c r="G138" s="28"/>
      <c r="H138" s="29"/>
      <c r="I138" s="31"/>
      <c r="J138" s="32"/>
      <c r="K138" s="33">
        <f t="shared" si="2"/>
        <v>0</v>
      </c>
      <c r="L138" s="32">
        <f t="shared" si="2"/>
        <v>0</v>
      </c>
      <c r="M138" s="30"/>
      <c r="N138" s="34"/>
    </row>
    <row r="139" spans="1:14" s="2" customFormat="1" ht="17.100000000000001" customHeight="1" x14ac:dyDescent="0.2">
      <c r="A139" s="2" t="s">
        <v>129</v>
      </c>
      <c r="B139" s="25">
        <v>9620000771</v>
      </c>
      <c r="C139" s="26"/>
      <c r="D139" s="26"/>
      <c r="E139" s="27"/>
      <c r="F139" s="30"/>
      <c r="G139" s="28"/>
      <c r="H139" s="29"/>
      <c r="I139" s="31"/>
      <c r="J139" s="32"/>
      <c r="K139" s="33">
        <f t="shared" si="2"/>
        <v>0</v>
      </c>
      <c r="L139" s="32">
        <f t="shared" si="2"/>
        <v>0</v>
      </c>
      <c r="M139" s="30"/>
      <c r="N139" s="34"/>
    </row>
    <row r="140" spans="1:14" s="2" customFormat="1" ht="17.100000000000001" customHeight="1" x14ac:dyDescent="0.2">
      <c r="A140" s="2" t="s">
        <v>129</v>
      </c>
      <c r="B140" s="25">
        <v>9620000772</v>
      </c>
      <c r="C140" s="26"/>
      <c r="D140" s="26"/>
      <c r="E140" s="27"/>
      <c r="F140" s="30"/>
      <c r="G140" s="28"/>
      <c r="H140" s="29"/>
      <c r="I140" s="31"/>
      <c r="J140" s="32"/>
      <c r="K140" s="33">
        <f t="shared" si="2"/>
        <v>0</v>
      </c>
      <c r="L140" s="32">
        <f t="shared" si="2"/>
        <v>0</v>
      </c>
      <c r="M140" s="30"/>
      <c r="N140" s="34"/>
    </row>
    <row r="141" spans="1:14" s="2" customFormat="1" ht="17.100000000000001" customHeight="1" x14ac:dyDescent="0.2">
      <c r="A141" s="2" t="s">
        <v>129</v>
      </c>
      <c r="B141" s="25">
        <v>9620000773</v>
      </c>
      <c r="C141" s="26"/>
      <c r="D141" s="26"/>
      <c r="E141" s="27"/>
      <c r="F141" s="30"/>
      <c r="G141" s="28"/>
      <c r="H141" s="29"/>
      <c r="I141" s="31"/>
      <c r="J141" s="32"/>
      <c r="K141" s="33">
        <f t="shared" si="2"/>
        <v>0</v>
      </c>
      <c r="L141" s="32">
        <f t="shared" si="2"/>
        <v>0</v>
      </c>
      <c r="M141" s="30"/>
      <c r="N141" s="34"/>
    </row>
    <row r="142" spans="1:14" s="2" customFormat="1" ht="17.100000000000001" customHeight="1" x14ac:dyDescent="0.2">
      <c r="A142" s="2" t="s">
        <v>129</v>
      </c>
      <c r="B142" s="25">
        <v>9620000776</v>
      </c>
      <c r="C142" s="26"/>
      <c r="D142" s="26"/>
      <c r="E142" s="27"/>
      <c r="F142" s="30"/>
      <c r="G142" s="28"/>
      <c r="H142" s="29"/>
      <c r="I142" s="31"/>
      <c r="J142" s="32"/>
      <c r="K142" s="33">
        <f t="shared" si="2"/>
        <v>0</v>
      </c>
      <c r="L142" s="32">
        <f t="shared" si="2"/>
        <v>0</v>
      </c>
      <c r="M142" s="30"/>
      <c r="N142" s="34"/>
    </row>
    <row r="143" spans="1:14" s="2" customFormat="1" ht="17.100000000000001" customHeight="1" x14ac:dyDescent="0.2">
      <c r="A143" s="2" t="s">
        <v>129</v>
      </c>
      <c r="B143" s="25">
        <v>9620000777</v>
      </c>
      <c r="C143" s="26"/>
      <c r="D143" s="26"/>
      <c r="E143" s="27"/>
      <c r="F143" s="30"/>
      <c r="G143" s="28"/>
      <c r="H143" s="29"/>
      <c r="I143" s="31"/>
      <c r="J143" s="32"/>
      <c r="K143" s="33">
        <f t="shared" si="2"/>
        <v>0</v>
      </c>
      <c r="L143" s="32">
        <f t="shared" si="2"/>
        <v>0</v>
      </c>
      <c r="M143" s="30"/>
      <c r="N143" s="34"/>
    </row>
    <row r="144" spans="1:14" s="2" customFormat="1" ht="17.100000000000001" customHeight="1" x14ac:dyDescent="0.2">
      <c r="A144" s="2" t="s">
        <v>129</v>
      </c>
      <c r="B144" s="25">
        <v>9620000778</v>
      </c>
      <c r="C144" s="26"/>
      <c r="D144" s="26"/>
      <c r="E144" s="27"/>
      <c r="F144" s="30"/>
      <c r="G144" s="28"/>
      <c r="H144" s="29"/>
      <c r="I144" s="31"/>
      <c r="J144" s="32"/>
      <c r="K144" s="33">
        <f t="shared" si="2"/>
        <v>0</v>
      </c>
      <c r="L144" s="32">
        <f t="shared" si="2"/>
        <v>0</v>
      </c>
      <c r="M144" s="30"/>
      <c r="N144" s="34"/>
    </row>
    <row r="145" spans="1:14" s="2" customFormat="1" ht="17.100000000000001" customHeight="1" x14ac:dyDescent="0.2">
      <c r="A145" s="2" t="s">
        <v>129</v>
      </c>
      <c r="B145" s="25">
        <v>9620000779</v>
      </c>
      <c r="C145" s="26"/>
      <c r="D145" s="26"/>
      <c r="E145" s="27"/>
      <c r="F145" s="30"/>
      <c r="G145" s="28"/>
      <c r="H145" s="29"/>
      <c r="I145" s="31"/>
      <c r="J145" s="32"/>
      <c r="K145" s="33">
        <f t="shared" si="2"/>
        <v>0</v>
      </c>
      <c r="L145" s="32">
        <f t="shared" si="2"/>
        <v>0</v>
      </c>
      <c r="M145" s="30"/>
      <c r="N145" s="34"/>
    </row>
    <row r="146" spans="1:14" s="2" customFormat="1" ht="17.100000000000001" customHeight="1" x14ac:dyDescent="0.2">
      <c r="A146" s="2" t="s">
        <v>129</v>
      </c>
      <c r="B146" s="25">
        <v>9620000780</v>
      </c>
      <c r="C146" s="26"/>
      <c r="D146" s="26"/>
      <c r="E146" s="27"/>
      <c r="F146" s="30"/>
      <c r="G146" s="28"/>
      <c r="H146" s="29"/>
      <c r="I146" s="31"/>
      <c r="J146" s="32"/>
      <c r="K146" s="33">
        <f t="shared" si="2"/>
        <v>0</v>
      </c>
      <c r="L146" s="32">
        <f t="shared" si="2"/>
        <v>0</v>
      </c>
      <c r="M146" s="30"/>
      <c r="N146" s="34"/>
    </row>
    <row r="147" spans="1:14" s="2" customFormat="1" ht="17.100000000000001" customHeight="1" x14ac:dyDescent="0.2">
      <c r="A147" s="2" t="s">
        <v>129</v>
      </c>
      <c r="B147" s="25">
        <v>9620000781</v>
      </c>
      <c r="C147" s="26"/>
      <c r="D147" s="26"/>
      <c r="E147" s="27"/>
      <c r="F147" s="30"/>
      <c r="G147" s="28"/>
      <c r="H147" s="29"/>
      <c r="I147" s="31"/>
      <c r="J147" s="32"/>
      <c r="K147" s="33">
        <f t="shared" si="2"/>
        <v>0</v>
      </c>
      <c r="L147" s="32">
        <f t="shared" si="2"/>
        <v>0</v>
      </c>
      <c r="M147" s="30"/>
      <c r="N147" s="34"/>
    </row>
    <row r="148" spans="1:14" s="2" customFormat="1" ht="17.100000000000001" customHeight="1" x14ac:dyDescent="0.2">
      <c r="A148" s="2" t="s">
        <v>130</v>
      </c>
      <c r="B148" s="25">
        <v>9620000782</v>
      </c>
      <c r="C148" s="26"/>
      <c r="D148" s="26"/>
      <c r="E148" s="27"/>
      <c r="F148" s="30"/>
      <c r="G148" s="28"/>
      <c r="H148" s="29"/>
      <c r="I148" s="31"/>
      <c r="J148" s="32"/>
      <c r="K148" s="33">
        <f t="shared" si="2"/>
        <v>0</v>
      </c>
      <c r="L148" s="32">
        <f t="shared" si="2"/>
        <v>0</v>
      </c>
      <c r="M148" s="30"/>
      <c r="N148" s="34"/>
    </row>
    <row r="149" spans="1:14" s="2" customFormat="1" ht="17.100000000000001" customHeight="1" x14ac:dyDescent="0.2">
      <c r="A149" s="2" t="s">
        <v>421</v>
      </c>
      <c r="B149" s="25">
        <v>9620035814</v>
      </c>
      <c r="C149" s="26"/>
      <c r="D149" s="26"/>
      <c r="E149" s="27"/>
      <c r="F149" s="37"/>
      <c r="G149" s="28"/>
      <c r="H149" s="29"/>
      <c r="I149" s="31"/>
      <c r="J149" s="29"/>
      <c r="K149" s="33">
        <f t="shared" si="2"/>
        <v>0</v>
      </c>
      <c r="L149" s="32">
        <f t="shared" si="2"/>
        <v>0</v>
      </c>
      <c r="M149" s="37"/>
      <c r="N149" s="34"/>
    </row>
    <row r="150" spans="1:14" s="2" customFormat="1" ht="17.100000000000001" customHeight="1" x14ac:dyDescent="0.2">
      <c r="A150" s="2" t="s">
        <v>131</v>
      </c>
      <c r="B150" s="25">
        <v>9620000225</v>
      </c>
      <c r="C150" s="26"/>
      <c r="D150" s="26"/>
      <c r="E150" s="27"/>
      <c r="F150" s="30"/>
      <c r="G150" s="28"/>
      <c r="H150" s="29"/>
      <c r="I150" s="31"/>
      <c r="J150" s="32"/>
      <c r="K150" s="33">
        <f t="shared" si="2"/>
        <v>0</v>
      </c>
      <c r="L150" s="32">
        <f t="shared" si="2"/>
        <v>0</v>
      </c>
      <c r="M150" s="30"/>
      <c r="N150" s="34"/>
    </row>
    <row r="151" spans="1:14" s="2" customFormat="1" ht="17.100000000000001" customHeight="1" x14ac:dyDescent="0.2">
      <c r="A151" s="2" t="s">
        <v>132</v>
      </c>
      <c r="B151" s="25">
        <v>9620000226</v>
      </c>
      <c r="C151" s="26"/>
      <c r="D151" s="26"/>
      <c r="E151" s="27"/>
      <c r="F151" s="30"/>
      <c r="G151" s="28"/>
      <c r="H151" s="29"/>
      <c r="I151" s="31"/>
      <c r="J151" s="32"/>
      <c r="K151" s="33">
        <f t="shared" si="2"/>
        <v>0</v>
      </c>
      <c r="L151" s="32">
        <f t="shared" si="2"/>
        <v>0</v>
      </c>
      <c r="M151" s="30"/>
      <c r="N151" s="34"/>
    </row>
    <row r="152" spans="1:14" s="2" customFormat="1" ht="17.100000000000001" customHeight="1" x14ac:dyDescent="0.2">
      <c r="A152" s="2" t="s">
        <v>133</v>
      </c>
      <c r="B152" s="25">
        <v>9620000227</v>
      </c>
      <c r="C152" s="26"/>
      <c r="D152" s="26"/>
      <c r="E152" s="27"/>
      <c r="F152" s="30"/>
      <c r="G152" s="28"/>
      <c r="H152" s="29"/>
      <c r="I152" s="31"/>
      <c r="J152" s="32"/>
      <c r="K152" s="33">
        <f t="shared" si="2"/>
        <v>0</v>
      </c>
      <c r="L152" s="32">
        <f t="shared" si="2"/>
        <v>0</v>
      </c>
      <c r="M152" s="30"/>
      <c r="N152" s="34"/>
    </row>
    <row r="153" spans="1:14" s="2" customFormat="1" ht="17.100000000000001" customHeight="1" x14ac:dyDescent="0.2">
      <c r="A153" s="2" t="s">
        <v>134</v>
      </c>
      <c r="B153" s="25">
        <v>9620000783</v>
      </c>
      <c r="C153" s="26"/>
      <c r="D153" s="26"/>
      <c r="E153" s="27"/>
      <c r="F153" s="30"/>
      <c r="G153" s="28"/>
      <c r="H153" s="29"/>
      <c r="I153" s="31"/>
      <c r="J153" s="32"/>
      <c r="K153" s="33">
        <f t="shared" si="2"/>
        <v>0</v>
      </c>
      <c r="L153" s="32">
        <f t="shared" si="2"/>
        <v>0</v>
      </c>
      <c r="M153" s="30"/>
      <c r="N153" s="34"/>
    </row>
    <row r="154" spans="1:14" s="2" customFormat="1" ht="17.100000000000001" customHeight="1" x14ac:dyDescent="0.2">
      <c r="A154" s="2" t="s">
        <v>135</v>
      </c>
      <c r="B154" s="25">
        <v>9620000784</v>
      </c>
      <c r="C154" s="26"/>
      <c r="D154" s="26"/>
      <c r="E154" s="27"/>
      <c r="F154" s="30"/>
      <c r="G154" s="28"/>
      <c r="H154" s="29"/>
      <c r="I154" s="31"/>
      <c r="J154" s="32"/>
      <c r="K154" s="33">
        <f t="shared" si="2"/>
        <v>0</v>
      </c>
      <c r="L154" s="32">
        <f t="shared" si="2"/>
        <v>0</v>
      </c>
      <c r="M154" s="30"/>
      <c r="N154" s="34"/>
    </row>
    <row r="155" spans="1:14" s="2" customFormat="1" ht="17.100000000000001" customHeight="1" x14ac:dyDescent="0.2">
      <c r="A155" s="2" t="s">
        <v>136</v>
      </c>
      <c r="B155" s="25">
        <v>9620000228</v>
      </c>
      <c r="C155" s="26"/>
      <c r="D155" s="26"/>
      <c r="E155" s="27"/>
      <c r="F155" s="30"/>
      <c r="G155" s="28"/>
      <c r="H155" s="29"/>
      <c r="I155" s="31"/>
      <c r="J155" s="32"/>
      <c r="K155" s="33">
        <f t="shared" si="2"/>
        <v>0</v>
      </c>
      <c r="L155" s="32">
        <f t="shared" si="2"/>
        <v>0</v>
      </c>
      <c r="M155" s="30"/>
      <c r="N155" s="34"/>
    </row>
    <row r="156" spans="1:14" s="2" customFormat="1" ht="17.100000000000001" customHeight="1" x14ac:dyDescent="0.2">
      <c r="A156" s="2" t="s">
        <v>137</v>
      </c>
      <c r="B156" s="25">
        <v>9620046925</v>
      </c>
      <c r="C156" s="26"/>
      <c r="D156" s="26"/>
      <c r="E156" s="27"/>
      <c r="F156" s="30"/>
      <c r="G156" s="28"/>
      <c r="H156" s="29"/>
      <c r="I156" s="31"/>
      <c r="J156" s="32"/>
      <c r="K156" s="33">
        <f t="shared" si="2"/>
        <v>0</v>
      </c>
      <c r="L156" s="32">
        <f t="shared" si="2"/>
        <v>0</v>
      </c>
      <c r="M156" s="30"/>
      <c r="N156" s="34"/>
    </row>
    <row r="157" spans="1:14" s="2" customFormat="1" ht="17.100000000000001" customHeight="1" x14ac:dyDescent="0.2">
      <c r="A157" s="2" t="s">
        <v>138</v>
      </c>
      <c r="B157" s="25">
        <v>9620000230</v>
      </c>
      <c r="C157" s="26"/>
      <c r="D157" s="26"/>
      <c r="E157" s="27"/>
      <c r="F157" s="30"/>
      <c r="G157" s="28"/>
      <c r="H157" s="29"/>
      <c r="I157" s="31"/>
      <c r="J157" s="32"/>
      <c r="K157" s="33">
        <f t="shared" si="2"/>
        <v>0</v>
      </c>
      <c r="L157" s="32">
        <f t="shared" si="2"/>
        <v>0</v>
      </c>
      <c r="M157" s="30"/>
      <c r="N157" s="34"/>
    </row>
    <row r="158" spans="1:14" s="2" customFormat="1" ht="17.100000000000001" customHeight="1" x14ac:dyDescent="0.2">
      <c r="A158" s="2" t="s">
        <v>139</v>
      </c>
      <c r="B158" s="25">
        <v>9620000231</v>
      </c>
      <c r="C158" s="26"/>
      <c r="D158" s="26"/>
      <c r="E158" s="27"/>
      <c r="F158" s="30"/>
      <c r="G158" s="28"/>
      <c r="H158" s="29"/>
      <c r="I158" s="31"/>
      <c r="J158" s="32"/>
      <c r="K158" s="33">
        <f t="shared" si="2"/>
        <v>0</v>
      </c>
      <c r="L158" s="32">
        <f t="shared" si="2"/>
        <v>0</v>
      </c>
      <c r="M158" s="30"/>
      <c r="N158" s="34"/>
    </row>
    <row r="159" spans="1:14" s="2" customFormat="1" ht="17.100000000000001" customHeight="1" x14ac:dyDescent="0.2">
      <c r="A159" s="2" t="s">
        <v>140</v>
      </c>
      <c r="B159" s="25">
        <v>9620045927</v>
      </c>
      <c r="C159" s="26"/>
      <c r="D159" s="26"/>
      <c r="E159" s="27"/>
      <c r="F159" s="30"/>
      <c r="G159" s="28"/>
      <c r="H159" s="29"/>
      <c r="I159" s="31"/>
      <c r="J159" s="32"/>
      <c r="K159" s="33">
        <f t="shared" si="2"/>
        <v>0</v>
      </c>
      <c r="L159" s="32">
        <f t="shared" si="2"/>
        <v>0</v>
      </c>
      <c r="M159" s="30"/>
      <c r="N159" s="34"/>
    </row>
    <row r="160" spans="1:14" s="2" customFormat="1" ht="17.100000000000001" customHeight="1" x14ac:dyDescent="0.2">
      <c r="A160" s="2" t="s">
        <v>141</v>
      </c>
      <c r="B160" s="25">
        <v>9620000233</v>
      </c>
      <c r="C160" s="26"/>
      <c r="D160" s="26"/>
      <c r="E160" s="27"/>
      <c r="F160" s="30"/>
      <c r="G160" s="28"/>
      <c r="H160" s="29"/>
      <c r="I160" s="31"/>
      <c r="J160" s="32"/>
      <c r="K160" s="33">
        <f t="shared" si="2"/>
        <v>0</v>
      </c>
      <c r="L160" s="32">
        <f t="shared" si="2"/>
        <v>0</v>
      </c>
      <c r="M160" s="30"/>
      <c r="N160" s="34"/>
    </row>
    <row r="161" spans="1:14" s="2" customFormat="1" ht="17.100000000000001" customHeight="1" x14ac:dyDescent="0.2">
      <c r="A161" s="2" t="s">
        <v>142</v>
      </c>
      <c r="B161" s="25">
        <v>9620000234</v>
      </c>
      <c r="C161" s="26"/>
      <c r="D161" s="26"/>
      <c r="E161" s="27"/>
      <c r="F161" s="30"/>
      <c r="G161" s="28"/>
      <c r="H161" s="29"/>
      <c r="I161" s="31"/>
      <c r="J161" s="32"/>
      <c r="K161" s="33">
        <f t="shared" si="2"/>
        <v>0</v>
      </c>
      <c r="L161" s="32">
        <f t="shared" si="2"/>
        <v>0</v>
      </c>
      <c r="M161" s="30"/>
      <c r="N161" s="34"/>
    </row>
    <row r="162" spans="1:14" s="2" customFormat="1" ht="17.100000000000001" customHeight="1" x14ac:dyDescent="0.2">
      <c r="A162" s="2" t="s">
        <v>143</v>
      </c>
      <c r="B162" s="25">
        <v>9620000786</v>
      </c>
      <c r="C162" s="26"/>
      <c r="D162" s="26"/>
      <c r="E162" s="27"/>
      <c r="F162" s="30"/>
      <c r="G162" s="28"/>
      <c r="H162" s="29"/>
      <c r="I162" s="31"/>
      <c r="J162" s="32"/>
      <c r="K162" s="33">
        <f t="shared" si="2"/>
        <v>0</v>
      </c>
      <c r="L162" s="32">
        <f t="shared" si="2"/>
        <v>0</v>
      </c>
      <c r="M162" s="30"/>
      <c r="N162" s="34"/>
    </row>
    <row r="163" spans="1:14" s="2" customFormat="1" ht="17.100000000000001" customHeight="1" x14ac:dyDescent="0.2">
      <c r="A163" s="2" t="s">
        <v>144</v>
      </c>
      <c r="B163" s="25">
        <v>9620000239</v>
      </c>
      <c r="C163" s="26"/>
      <c r="D163" s="26"/>
      <c r="E163" s="27"/>
      <c r="F163" s="30"/>
      <c r="G163" s="28"/>
      <c r="H163" s="29"/>
      <c r="I163" s="31"/>
      <c r="J163" s="32"/>
      <c r="K163" s="33">
        <f t="shared" si="2"/>
        <v>0</v>
      </c>
      <c r="L163" s="32">
        <f t="shared" si="2"/>
        <v>0</v>
      </c>
      <c r="M163" s="30"/>
      <c r="N163" s="34"/>
    </row>
    <row r="164" spans="1:14" s="2" customFormat="1" ht="17.100000000000001" customHeight="1" x14ac:dyDescent="0.2">
      <c r="A164" s="2" t="s">
        <v>145</v>
      </c>
      <c r="B164" s="25">
        <v>9620000049</v>
      </c>
      <c r="C164" s="26"/>
      <c r="D164" s="26"/>
      <c r="E164" s="27"/>
      <c r="F164" s="30"/>
      <c r="G164" s="28"/>
      <c r="H164" s="29"/>
      <c r="I164" s="31"/>
      <c r="J164" s="32"/>
      <c r="K164" s="33">
        <f t="shared" si="2"/>
        <v>0</v>
      </c>
      <c r="L164" s="32">
        <f t="shared" si="2"/>
        <v>0</v>
      </c>
      <c r="M164" s="30"/>
      <c r="N164" s="34"/>
    </row>
    <row r="165" spans="1:14" s="2" customFormat="1" ht="17.100000000000001" customHeight="1" x14ac:dyDescent="0.2">
      <c r="A165" s="2" t="s">
        <v>146</v>
      </c>
      <c r="B165" s="25">
        <v>9620000244</v>
      </c>
      <c r="C165" s="26"/>
      <c r="D165" s="26"/>
      <c r="E165" s="27"/>
      <c r="F165" s="30"/>
      <c r="G165" s="28"/>
      <c r="H165" s="29"/>
      <c r="I165" s="31"/>
      <c r="J165" s="32"/>
      <c r="K165" s="33">
        <f t="shared" si="2"/>
        <v>0</v>
      </c>
      <c r="L165" s="32">
        <f t="shared" si="2"/>
        <v>0</v>
      </c>
      <c r="M165" s="30"/>
      <c r="N165" s="34"/>
    </row>
    <row r="166" spans="1:14" s="2" customFormat="1" ht="17.100000000000001" customHeight="1" x14ac:dyDescent="0.2">
      <c r="A166" s="2" t="s">
        <v>147</v>
      </c>
      <c r="B166" s="25">
        <v>9620000245</v>
      </c>
      <c r="C166" s="26"/>
      <c r="D166" s="26"/>
      <c r="E166" s="27"/>
      <c r="F166" s="30"/>
      <c r="G166" s="28"/>
      <c r="H166" s="29"/>
      <c r="I166" s="31"/>
      <c r="J166" s="32"/>
      <c r="K166" s="33">
        <f t="shared" si="2"/>
        <v>0</v>
      </c>
      <c r="L166" s="32">
        <f t="shared" si="2"/>
        <v>0</v>
      </c>
      <c r="M166" s="30"/>
      <c r="N166" s="34"/>
    </row>
    <row r="167" spans="1:14" s="2" customFormat="1" ht="17.100000000000001" customHeight="1" x14ac:dyDescent="0.2">
      <c r="A167" s="2" t="s">
        <v>148</v>
      </c>
      <c r="B167" s="25">
        <v>9620000791</v>
      </c>
      <c r="C167" s="26"/>
      <c r="D167" s="26"/>
      <c r="E167" s="27"/>
      <c r="F167" s="30"/>
      <c r="G167" s="28"/>
      <c r="H167" s="29"/>
      <c r="I167" s="31"/>
      <c r="J167" s="32"/>
      <c r="K167" s="33">
        <f t="shared" si="2"/>
        <v>0</v>
      </c>
      <c r="L167" s="32">
        <f t="shared" si="2"/>
        <v>0</v>
      </c>
      <c r="M167" s="30"/>
      <c r="N167" s="34"/>
    </row>
    <row r="168" spans="1:14" s="2" customFormat="1" ht="17.100000000000001" customHeight="1" x14ac:dyDescent="0.2">
      <c r="A168" s="2" t="s">
        <v>149</v>
      </c>
      <c r="B168" s="25">
        <v>9620000788</v>
      </c>
      <c r="C168" s="26"/>
      <c r="D168" s="26"/>
      <c r="E168" s="27"/>
      <c r="F168" s="30"/>
      <c r="G168" s="28"/>
      <c r="H168" s="29"/>
      <c r="I168" s="31"/>
      <c r="J168" s="32"/>
      <c r="K168" s="33">
        <f t="shared" si="2"/>
        <v>0</v>
      </c>
      <c r="L168" s="32">
        <f t="shared" si="2"/>
        <v>0</v>
      </c>
      <c r="M168" s="30"/>
      <c r="N168" s="34"/>
    </row>
    <row r="169" spans="1:14" s="2" customFormat="1" ht="17.100000000000001" customHeight="1" x14ac:dyDescent="0.2">
      <c r="A169" s="2" t="s">
        <v>150</v>
      </c>
      <c r="B169" s="25">
        <v>9620000792</v>
      </c>
      <c r="C169" s="26"/>
      <c r="D169" s="26"/>
      <c r="E169" s="27"/>
      <c r="F169" s="30"/>
      <c r="G169" s="28"/>
      <c r="H169" s="29"/>
      <c r="I169" s="31"/>
      <c r="J169" s="32"/>
      <c r="K169" s="33">
        <f t="shared" si="2"/>
        <v>0</v>
      </c>
      <c r="L169" s="32">
        <f t="shared" si="2"/>
        <v>0</v>
      </c>
      <c r="M169" s="30"/>
      <c r="N169" s="34"/>
    </row>
    <row r="170" spans="1:14" s="2" customFormat="1" ht="17.100000000000001" customHeight="1" x14ac:dyDescent="0.2">
      <c r="A170" s="2" t="s">
        <v>151</v>
      </c>
      <c r="B170" s="25">
        <v>9620000246</v>
      </c>
      <c r="C170" s="26"/>
      <c r="D170" s="26"/>
      <c r="E170" s="27"/>
      <c r="F170" s="30"/>
      <c r="G170" s="28"/>
      <c r="H170" s="29"/>
      <c r="I170" s="31"/>
      <c r="J170" s="32"/>
      <c r="K170" s="33">
        <f t="shared" si="2"/>
        <v>0</v>
      </c>
      <c r="L170" s="32">
        <f t="shared" si="2"/>
        <v>0</v>
      </c>
      <c r="M170" s="30"/>
      <c r="N170" s="34"/>
    </row>
    <row r="171" spans="1:14" s="2" customFormat="1" ht="17.100000000000001" customHeight="1" x14ac:dyDescent="0.2">
      <c r="A171" s="2" t="s">
        <v>152</v>
      </c>
      <c r="B171" s="25">
        <v>9620000252</v>
      </c>
      <c r="C171" s="26"/>
      <c r="D171" s="26"/>
      <c r="E171" s="27"/>
      <c r="F171" s="30"/>
      <c r="G171" s="28"/>
      <c r="H171" s="29"/>
      <c r="I171" s="31"/>
      <c r="J171" s="32"/>
      <c r="K171" s="33">
        <f t="shared" si="2"/>
        <v>0</v>
      </c>
      <c r="L171" s="32">
        <f t="shared" si="2"/>
        <v>0</v>
      </c>
      <c r="M171" s="30"/>
      <c r="N171" s="34"/>
    </row>
    <row r="172" spans="1:14" s="2" customFormat="1" ht="17.100000000000001" customHeight="1" x14ac:dyDescent="0.2">
      <c r="A172" s="2" t="s">
        <v>153</v>
      </c>
      <c r="B172" s="25">
        <v>9620000253</v>
      </c>
      <c r="C172" s="26"/>
      <c r="D172" s="26"/>
      <c r="E172" s="27"/>
      <c r="F172" s="30"/>
      <c r="G172" s="28"/>
      <c r="H172" s="29"/>
      <c r="I172" s="31"/>
      <c r="J172" s="32"/>
      <c r="K172" s="33">
        <f t="shared" si="2"/>
        <v>0</v>
      </c>
      <c r="L172" s="32">
        <f t="shared" si="2"/>
        <v>0</v>
      </c>
      <c r="M172" s="30"/>
      <c r="N172" s="34"/>
    </row>
    <row r="173" spans="1:14" s="2" customFormat="1" ht="17.100000000000001" customHeight="1" x14ac:dyDescent="0.2">
      <c r="A173" s="2" t="s">
        <v>154</v>
      </c>
      <c r="B173" s="25">
        <v>9620000254</v>
      </c>
      <c r="C173" s="26"/>
      <c r="D173" s="26"/>
      <c r="E173" s="27"/>
      <c r="F173" s="30"/>
      <c r="G173" s="28"/>
      <c r="H173" s="29"/>
      <c r="I173" s="31"/>
      <c r="J173" s="32"/>
      <c r="K173" s="33">
        <f t="shared" si="2"/>
        <v>0</v>
      </c>
      <c r="L173" s="32">
        <f t="shared" si="2"/>
        <v>0</v>
      </c>
      <c r="M173" s="30"/>
      <c r="N173" s="34"/>
    </row>
    <row r="174" spans="1:14" s="2" customFormat="1" ht="17.100000000000001" customHeight="1" x14ac:dyDescent="0.2">
      <c r="A174" s="2" t="s">
        <v>155</v>
      </c>
      <c r="B174" s="25">
        <v>9620000256</v>
      </c>
      <c r="C174" s="26"/>
      <c r="D174" s="26"/>
      <c r="E174" s="27"/>
      <c r="F174" s="30"/>
      <c r="G174" s="28"/>
      <c r="H174" s="29"/>
      <c r="I174" s="31"/>
      <c r="J174" s="32"/>
      <c r="K174" s="33">
        <f t="shared" si="2"/>
        <v>0</v>
      </c>
      <c r="L174" s="32">
        <f t="shared" si="2"/>
        <v>0</v>
      </c>
      <c r="M174" s="30"/>
      <c r="N174" s="34"/>
    </row>
    <row r="175" spans="1:14" s="2" customFormat="1" ht="17.100000000000001" customHeight="1" x14ac:dyDescent="0.2">
      <c r="A175" s="2" t="s">
        <v>156</v>
      </c>
      <c r="B175" s="25">
        <v>9620000794</v>
      </c>
      <c r="C175" s="26"/>
      <c r="D175" s="26"/>
      <c r="E175" s="27"/>
      <c r="F175" s="30"/>
      <c r="G175" s="28"/>
      <c r="H175" s="29"/>
      <c r="I175" s="31"/>
      <c r="J175" s="32"/>
      <c r="K175" s="33">
        <f t="shared" si="2"/>
        <v>0</v>
      </c>
      <c r="L175" s="32">
        <f t="shared" si="2"/>
        <v>0</v>
      </c>
      <c r="M175" s="30"/>
      <c r="N175" s="34"/>
    </row>
    <row r="176" spans="1:14" s="2" customFormat="1" ht="17.100000000000001" customHeight="1" x14ac:dyDescent="0.2">
      <c r="A176" s="2" t="s">
        <v>157</v>
      </c>
      <c r="B176" s="25">
        <v>9620000258</v>
      </c>
      <c r="C176" s="26"/>
      <c r="D176" s="26"/>
      <c r="E176" s="27"/>
      <c r="F176" s="30"/>
      <c r="G176" s="28"/>
      <c r="H176" s="29"/>
      <c r="I176" s="31"/>
      <c r="J176" s="32"/>
      <c r="K176" s="33">
        <f t="shared" si="2"/>
        <v>0</v>
      </c>
      <c r="L176" s="32">
        <f t="shared" si="2"/>
        <v>0</v>
      </c>
      <c r="M176" s="30"/>
      <c r="N176" s="34"/>
    </row>
    <row r="177" spans="1:14" s="2" customFormat="1" ht="17.100000000000001" customHeight="1" x14ac:dyDescent="0.2">
      <c r="A177" s="2" t="s">
        <v>158</v>
      </c>
      <c r="B177" s="25">
        <v>9620000259</v>
      </c>
      <c r="C177" s="26"/>
      <c r="D177" s="26"/>
      <c r="E177" s="27"/>
      <c r="F177" s="30"/>
      <c r="G177" s="28"/>
      <c r="H177" s="29"/>
      <c r="I177" s="31"/>
      <c r="J177" s="32"/>
      <c r="K177" s="33">
        <f t="shared" si="2"/>
        <v>0</v>
      </c>
      <c r="L177" s="32">
        <f t="shared" si="2"/>
        <v>0</v>
      </c>
      <c r="M177" s="30"/>
      <c r="N177" s="34"/>
    </row>
    <row r="178" spans="1:14" s="2" customFormat="1" ht="17.100000000000001" customHeight="1" x14ac:dyDescent="0.2">
      <c r="A178" s="2" t="s">
        <v>159</v>
      </c>
      <c r="B178" s="25">
        <v>9620000260</v>
      </c>
      <c r="C178" s="26"/>
      <c r="D178" s="26"/>
      <c r="E178" s="27"/>
      <c r="F178" s="30"/>
      <c r="G178" s="28"/>
      <c r="H178" s="29"/>
      <c r="I178" s="31"/>
      <c r="J178" s="32"/>
      <c r="K178" s="33">
        <f t="shared" si="2"/>
        <v>0</v>
      </c>
      <c r="L178" s="32">
        <f t="shared" si="2"/>
        <v>0</v>
      </c>
      <c r="M178" s="30"/>
      <c r="N178" s="34"/>
    </row>
    <row r="179" spans="1:14" s="2" customFormat="1" ht="17.100000000000001" customHeight="1" x14ac:dyDescent="0.2">
      <c r="A179" s="2" t="s">
        <v>160</v>
      </c>
      <c r="B179" s="25">
        <v>9620000261</v>
      </c>
      <c r="C179" s="26"/>
      <c r="D179" s="26"/>
      <c r="E179" s="27"/>
      <c r="F179" s="30"/>
      <c r="G179" s="28"/>
      <c r="H179" s="29"/>
      <c r="I179" s="31"/>
      <c r="J179" s="32"/>
      <c r="K179" s="33">
        <f t="shared" si="2"/>
        <v>0</v>
      </c>
      <c r="L179" s="32">
        <f t="shared" si="2"/>
        <v>0</v>
      </c>
      <c r="M179" s="30"/>
      <c r="N179" s="34"/>
    </row>
    <row r="180" spans="1:14" s="2" customFormat="1" ht="17.100000000000001" customHeight="1" x14ac:dyDescent="0.2">
      <c r="A180" s="2" t="s">
        <v>161</v>
      </c>
      <c r="B180" s="25">
        <v>9620000262</v>
      </c>
      <c r="C180" s="26"/>
      <c r="D180" s="26"/>
      <c r="E180" s="27"/>
      <c r="F180" s="37"/>
      <c r="G180" s="28"/>
      <c r="H180" s="29"/>
      <c r="I180" s="31"/>
      <c r="J180" s="29"/>
      <c r="K180" s="33">
        <f t="shared" si="2"/>
        <v>0</v>
      </c>
      <c r="L180" s="32">
        <f t="shared" si="2"/>
        <v>0</v>
      </c>
      <c r="M180" s="37"/>
      <c r="N180" s="34"/>
    </row>
    <row r="181" spans="1:14" s="2" customFormat="1" ht="17.100000000000001" customHeight="1" x14ac:dyDescent="0.2">
      <c r="A181" s="2" t="s">
        <v>162</v>
      </c>
      <c r="B181" s="25">
        <v>9620000263</v>
      </c>
      <c r="C181" s="26"/>
      <c r="D181" s="26"/>
      <c r="E181" s="27"/>
      <c r="F181" s="30"/>
      <c r="G181" s="28"/>
      <c r="H181" s="29"/>
      <c r="I181" s="31"/>
      <c r="J181" s="32"/>
      <c r="K181" s="33">
        <f t="shared" si="2"/>
        <v>0</v>
      </c>
      <c r="L181" s="32">
        <f t="shared" si="2"/>
        <v>0</v>
      </c>
      <c r="M181" s="30"/>
      <c r="N181" s="34"/>
    </row>
    <row r="182" spans="1:14" s="2" customFormat="1" ht="17.100000000000001" customHeight="1" x14ac:dyDescent="0.2">
      <c r="A182" s="2" t="s">
        <v>163</v>
      </c>
      <c r="B182" s="25">
        <v>9620000264</v>
      </c>
      <c r="C182" s="26"/>
      <c r="D182" s="26"/>
      <c r="E182" s="27"/>
      <c r="F182" s="30"/>
      <c r="G182" s="28"/>
      <c r="H182" s="29"/>
      <c r="I182" s="31"/>
      <c r="J182" s="32"/>
      <c r="K182" s="33">
        <f t="shared" si="2"/>
        <v>0</v>
      </c>
      <c r="L182" s="32">
        <f t="shared" si="2"/>
        <v>0</v>
      </c>
      <c r="M182" s="30"/>
      <c r="N182" s="34"/>
    </row>
    <row r="183" spans="1:14" s="2" customFormat="1" ht="17.100000000000001" customHeight="1" x14ac:dyDescent="0.2">
      <c r="A183" s="2" t="s">
        <v>164</v>
      </c>
      <c r="B183" s="25">
        <v>9620000795</v>
      </c>
      <c r="C183" s="26"/>
      <c r="D183" s="26"/>
      <c r="E183" s="27"/>
      <c r="F183" s="30"/>
      <c r="G183" s="28"/>
      <c r="H183" s="29"/>
      <c r="I183" s="31"/>
      <c r="J183" s="32"/>
      <c r="K183" s="33">
        <f t="shared" si="2"/>
        <v>0</v>
      </c>
      <c r="L183" s="32">
        <f t="shared" si="2"/>
        <v>0</v>
      </c>
      <c r="M183" s="30"/>
      <c r="N183" s="34"/>
    </row>
    <row r="184" spans="1:14" s="2" customFormat="1" ht="17.100000000000001" customHeight="1" x14ac:dyDescent="0.2">
      <c r="A184" s="2" t="s">
        <v>165</v>
      </c>
      <c r="B184" s="25">
        <v>9620000265</v>
      </c>
      <c r="C184" s="26"/>
      <c r="D184" s="26"/>
      <c r="E184" s="27"/>
      <c r="F184" s="30"/>
      <c r="G184" s="28"/>
      <c r="H184" s="29"/>
      <c r="I184" s="31"/>
      <c r="J184" s="32"/>
      <c r="K184" s="33">
        <f t="shared" si="2"/>
        <v>0</v>
      </c>
      <c r="L184" s="32">
        <f t="shared" si="2"/>
        <v>0</v>
      </c>
      <c r="M184" s="30"/>
      <c r="N184" s="34"/>
    </row>
    <row r="185" spans="1:14" s="2" customFormat="1" ht="17.100000000000001" customHeight="1" x14ac:dyDescent="0.2">
      <c r="A185" s="2" t="s">
        <v>166</v>
      </c>
      <c r="B185" s="25">
        <v>9620000267</v>
      </c>
      <c r="C185" s="26"/>
      <c r="D185" s="26"/>
      <c r="E185" s="27"/>
      <c r="F185" s="30"/>
      <c r="G185" s="28"/>
      <c r="H185" s="29"/>
      <c r="I185" s="31"/>
      <c r="J185" s="32"/>
      <c r="K185" s="33">
        <f t="shared" si="2"/>
        <v>0</v>
      </c>
      <c r="L185" s="32">
        <f t="shared" si="2"/>
        <v>0</v>
      </c>
      <c r="M185" s="30"/>
      <c r="N185" s="34"/>
    </row>
    <row r="186" spans="1:14" s="2" customFormat="1" ht="17.100000000000001" customHeight="1" x14ac:dyDescent="0.2">
      <c r="A186" s="2" t="s">
        <v>167</v>
      </c>
      <c r="B186" s="25">
        <v>9620000268</v>
      </c>
      <c r="C186" s="26"/>
      <c r="D186" s="26"/>
      <c r="E186" s="27"/>
      <c r="F186" s="30"/>
      <c r="G186" s="28"/>
      <c r="H186" s="29"/>
      <c r="I186" s="31"/>
      <c r="J186" s="32"/>
      <c r="K186" s="33">
        <f t="shared" si="2"/>
        <v>0</v>
      </c>
      <c r="L186" s="32">
        <f t="shared" si="2"/>
        <v>0</v>
      </c>
      <c r="M186" s="30"/>
      <c r="N186" s="34"/>
    </row>
    <row r="187" spans="1:14" s="2" customFormat="1" ht="17.100000000000001" customHeight="1" x14ac:dyDescent="0.2">
      <c r="A187" s="2" t="s">
        <v>168</v>
      </c>
      <c r="B187" s="25">
        <v>9620000270</v>
      </c>
      <c r="C187" s="26"/>
      <c r="D187" s="26"/>
      <c r="E187" s="27"/>
      <c r="F187" s="30"/>
      <c r="G187" s="28"/>
      <c r="H187" s="29"/>
      <c r="I187" s="31"/>
      <c r="J187" s="32"/>
      <c r="K187" s="33">
        <f t="shared" si="2"/>
        <v>0</v>
      </c>
      <c r="L187" s="32">
        <f t="shared" si="2"/>
        <v>0</v>
      </c>
      <c r="M187" s="30"/>
      <c r="N187" s="34"/>
    </row>
    <row r="188" spans="1:14" s="2" customFormat="1" ht="17.100000000000001" customHeight="1" x14ac:dyDescent="0.2">
      <c r="A188" s="2" t="s">
        <v>168</v>
      </c>
      <c r="B188" s="25">
        <v>9620000796</v>
      </c>
      <c r="C188" s="26"/>
      <c r="D188" s="26"/>
      <c r="E188" s="27"/>
      <c r="F188" s="30"/>
      <c r="G188" s="28"/>
      <c r="H188" s="29"/>
      <c r="I188" s="31"/>
      <c r="J188" s="32"/>
      <c r="K188" s="33">
        <f t="shared" si="2"/>
        <v>0</v>
      </c>
      <c r="L188" s="32">
        <f t="shared" si="2"/>
        <v>0</v>
      </c>
      <c r="M188" s="30"/>
      <c r="N188" s="34"/>
    </row>
    <row r="189" spans="1:14" s="2" customFormat="1" ht="17.100000000000001" customHeight="1" x14ac:dyDescent="0.2">
      <c r="A189" s="2" t="s">
        <v>168</v>
      </c>
      <c r="B189" s="25">
        <v>9620000797</v>
      </c>
      <c r="C189" s="26"/>
      <c r="D189" s="26"/>
      <c r="E189" s="27"/>
      <c r="F189" s="30"/>
      <c r="G189" s="28"/>
      <c r="H189" s="29"/>
      <c r="I189" s="31"/>
      <c r="J189" s="32"/>
      <c r="K189" s="33">
        <f t="shared" si="2"/>
        <v>0</v>
      </c>
      <c r="L189" s="32">
        <f t="shared" si="2"/>
        <v>0</v>
      </c>
      <c r="M189" s="30"/>
      <c r="N189" s="34"/>
    </row>
    <row r="190" spans="1:14" s="2" customFormat="1" ht="17.100000000000001" customHeight="1" x14ac:dyDescent="0.2">
      <c r="A190" s="2" t="s">
        <v>169</v>
      </c>
      <c r="B190" s="25">
        <v>9620000272</v>
      </c>
      <c r="C190" s="26"/>
      <c r="D190" s="26"/>
      <c r="E190" s="27"/>
      <c r="F190" s="30"/>
      <c r="G190" s="28"/>
      <c r="H190" s="29"/>
      <c r="I190" s="31"/>
      <c r="J190" s="32"/>
      <c r="K190" s="33">
        <f t="shared" si="2"/>
        <v>0</v>
      </c>
      <c r="L190" s="32">
        <f t="shared" si="2"/>
        <v>0</v>
      </c>
      <c r="M190" s="30"/>
      <c r="N190" s="34"/>
    </row>
    <row r="191" spans="1:14" s="2" customFormat="1" ht="17.100000000000001" customHeight="1" x14ac:dyDescent="0.2">
      <c r="A191" s="2" t="s">
        <v>170</v>
      </c>
      <c r="B191" s="25">
        <v>9620000273</v>
      </c>
      <c r="C191" s="26"/>
      <c r="D191" s="26"/>
      <c r="E191" s="27"/>
      <c r="F191" s="30"/>
      <c r="G191" s="28"/>
      <c r="H191" s="29"/>
      <c r="I191" s="31"/>
      <c r="J191" s="32"/>
      <c r="K191" s="33">
        <f t="shared" si="2"/>
        <v>0</v>
      </c>
      <c r="L191" s="32">
        <f t="shared" si="2"/>
        <v>0</v>
      </c>
      <c r="M191" s="30"/>
      <c r="N191" s="34"/>
    </row>
    <row r="192" spans="1:14" s="2" customFormat="1" ht="17.100000000000001" customHeight="1" x14ac:dyDescent="0.2">
      <c r="A192" s="2" t="s">
        <v>171</v>
      </c>
      <c r="B192" s="25">
        <v>9620000278</v>
      </c>
      <c r="C192" s="26"/>
      <c r="D192" s="26"/>
      <c r="E192" s="27"/>
      <c r="F192" s="30"/>
      <c r="G192" s="28"/>
      <c r="H192" s="29"/>
      <c r="I192" s="31"/>
      <c r="J192" s="32"/>
      <c r="K192" s="33">
        <f t="shared" si="2"/>
        <v>0</v>
      </c>
      <c r="L192" s="32">
        <f t="shared" si="2"/>
        <v>0</v>
      </c>
      <c r="M192" s="30"/>
      <c r="N192" s="34"/>
    </row>
    <row r="193" spans="1:14" s="2" customFormat="1" ht="17.100000000000001" customHeight="1" x14ac:dyDescent="0.2">
      <c r="A193" s="2" t="s">
        <v>172</v>
      </c>
      <c r="B193" s="25">
        <v>9620000280</v>
      </c>
      <c r="C193" s="26"/>
      <c r="D193" s="26"/>
      <c r="E193" s="27"/>
      <c r="F193" s="30"/>
      <c r="G193" s="28"/>
      <c r="H193" s="29"/>
      <c r="I193" s="31"/>
      <c r="J193" s="32"/>
      <c r="K193" s="33">
        <f t="shared" si="2"/>
        <v>0</v>
      </c>
      <c r="L193" s="32">
        <f t="shared" si="2"/>
        <v>0</v>
      </c>
      <c r="M193" s="30"/>
      <c r="N193" s="34"/>
    </row>
    <row r="194" spans="1:14" s="2" customFormat="1" ht="17.100000000000001" customHeight="1" x14ac:dyDescent="0.2">
      <c r="A194" s="2" t="s">
        <v>173</v>
      </c>
      <c r="B194" s="25">
        <v>9620000277</v>
      </c>
      <c r="C194" s="26"/>
      <c r="D194" s="26"/>
      <c r="E194" s="27"/>
      <c r="F194" s="30"/>
      <c r="G194" s="28"/>
      <c r="H194" s="29"/>
      <c r="I194" s="31"/>
      <c r="J194" s="32"/>
      <c r="K194" s="33">
        <f t="shared" ref="K194:L257" si="3">G194-I194</f>
        <v>0</v>
      </c>
      <c r="L194" s="32">
        <f t="shared" si="3"/>
        <v>0</v>
      </c>
      <c r="M194" s="30"/>
      <c r="N194" s="34"/>
    </row>
    <row r="195" spans="1:14" s="2" customFormat="1" ht="17.100000000000001" customHeight="1" x14ac:dyDescent="0.2">
      <c r="A195" s="2" t="s">
        <v>174</v>
      </c>
      <c r="B195" s="25">
        <v>9620000284</v>
      </c>
      <c r="C195" s="26"/>
      <c r="D195" s="26"/>
      <c r="E195" s="27"/>
      <c r="F195" s="30"/>
      <c r="G195" s="28"/>
      <c r="H195" s="29"/>
      <c r="I195" s="31"/>
      <c r="J195" s="32"/>
      <c r="K195" s="33">
        <f t="shared" si="3"/>
        <v>0</v>
      </c>
      <c r="L195" s="32">
        <f t="shared" si="3"/>
        <v>0</v>
      </c>
      <c r="M195" s="30"/>
      <c r="N195" s="34"/>
    </row>
    <row r="196" spans="1:14" s="2" customFormat="1" ht="17.100000000000001" customHeight="1" x14ac:dyDescent="0.2">
      <c r="A196" s="2" t="s">
        <v>175</v>
      </c>
      <c r="B196" s="25">
        <v>9620004999</v>
      </c>
      <c r="C196" s="26"/>
      <c r="D196" s="26"/>
      <c r="E196" s="27"/>
      <c r="F196" s="30"/>
      <c r="G196" s="28"/>
      <c r="H196" s="29"/>
      <c r="I196" s="31"/>
      <c r="J196" s="32"/>
      <c r="K196" s="33">
        <f t="shared" si="3"/>
        <v>0</v>
      </c>
      <c r="L196" s="32">
        <f t="shared" si="3"/>
        <v>0</v>
      </c>
      <c r="M196" s="30"/>
      <c r="N196" s="34"/>
    </row>
    <row r="197" spans="1:14" s="2" customFormat="1" ht="17.100000000000001" customHeight="1" x14ac:dyDescent="0.2">
      <c r="A197" s="2" t="s">
        <v>176</v>
      </c>
      <c r="B197" s="25">
        <v>9620000276</v>
      </c>
      <c r="C197" s="26"/>
      <c r="D197" s="26"/>
      <c r="E197" s="27"/>
      <c r="F197" s="37"/>
      <c r="G197" s="28"/>
      <c r="H197" s="29"/>
      <c r="I197" s="31"/>
      <c r="J197" s="29"/>
      <c r="K197" s="33">
        <f t="shared" si="3"/>
        <v>0</v>
      </c>
      <c r="L197" s="32">
        <f t="shared" si="3"/>
        <v>0</v>
      </c>
      <c r="M197" s="37"/>
      <c r="N197" s="34"/>
    </row>
    <row r="198" spans="1:14" s="2" customFormat="1" ht="17.100000000000001" customHeight="1" x14ac:dyDescent="0.2">
      <c r="A198" s="2" t="s">
        <v>177</v>
      </c>
      <c r="B198" s="25">
        <v>9620000290</v>
      </c>
      <c r="C198" s="26"/>
      <c r="D198" s="26"/>
      <c r="E198" s="27"/>
      <c r="F198" s="30"/>
      <c r="G198" s="28"/>
      <c r="H198" s="29"/>
      <c r="I198" s="31"/>
      <c r="J198" s="32"/>
      <c r="K198" s="33">
        <f t="shared" si="3"/>
        <v>0</v>
      </c>
      <c r="L198" s="32">
        <f t="shared" si="3"/>
        <v>0</v>
      </c>
      <c r="M198" s="30"/>
      <c r="N198" s="34"/>
    </row>
    <row r="199" spans="1:14" s="2" customFormat="1" ht="17.100000000000001" customHeight="1" x14ac:dyDescent="0.2">
      <c r="A199" s="2" t="s">
        <v>178</v>
      </c>
      <c r="B199" s="25">
        <v>9620000294</v>
      </c>
      <c r="C199" s="26"/>
      <c r="D199" s="26"/>
      <c r="E199" s="27"/>
      <c r="F199" s="30"/>
      <c r="G199" s="28"/>
      <c r="H199" s="29"/>
      <c r="I199" s="31"/>
      <c r="J199" s="32"/>
      <c r="K199" s="33">
        <f t="shared" si="3"/>
        <v>0</v>
      </c>
      <c r="L199" s="32">
        <f t="shared" si="3"/>
        <v>0</v>
      </c>
      <c r="M199" s="30"/>
      <c r="N199" s="34"/>
    </row>
    <row r="200" spans="1:14" s="2" customFormat="1" ht="17.100000000000001" customHeight="1" x14ac:dyDescent="0.2">
      <c r="A200" s="2" t="s">
        <v>179</v>
      </c>
      <c r="B200" s="25">
        <v>9620046935</v>
      </c>
      <c r="C200" s="26"/>
      <c r="D200" s="26"/>
      <c r="E200" s="27"/>
      <c r="F200" s="30"/>
      <c r="G200" s="28"/>
      <c r="H200" s="29"/>
      <c r="I200" s="31"/>
      <c r="J200" s="32"/>
      <c r="K200" s="33">
        <f t="shared" si="3"/>
        <v>0</v>
      </c>
      <c r="L200" s="32">
        <f t="shared" si="3"/>
        <v>0</v>
      </c>
      <c r="M200" s="30"/>
      <c r="N200" s="34"/>
    </row>
    <row r="201" spans="1:14" s="2" customFormat="1" ht="17.100000000000001" customHeight="1" x14ac:dyDescent="0.2">
      <c r="A201" s="2" t="s">
        <v>180</v>
      </c>
      <c r="B201" s="25">
        <v>9620000803</v>
      </c>
      <c r="C201" s="26"/>
      <c r="D201" s="26"/>
      <c r="E201" s="27"/>
      <c r="F201" s="30"/>
      <c r="G201" s="28"/>
      <c r="H201" s="29"/>
      <c r="I201" s="31"/>
      <c r="J201" s="32"/>
      <c r="K201" s="33">
        <f t="shared" si="3"/>
        <v>0</v>
      </c>
      <c r="L201" s="32">
        <f t="shared" si="3"/>
        <v>0</v>
      </c>
      <c r="M201" s="30"/>
      <c r="N201" s="34"/>
    </row>
    <row r="202" spans="1:14" s="2" customFormat="1" ht="17.100000000000001" customHeight="1" x14ac:dyDescent="0.2">
      <c r="A202" s="2" t="s">
        <v>181</v>
      </c>
      <c r="B202" s="25">
        <v>9620000300</v>
      </c>
      <c r="C202" s="26"/>
      <c r="D202" s="26"/>
      <c r="E202" s="27"/>
      <c r="F202" s="30"/>
      <c r="G202" s="28"/>
      <c r="H202" s="29"/>
      <c r="I202" s="31"/>
      <c r="J202" s="32"/>
      <c r="K202" s="33">
        <f t="shared" si="3"/>
        <v>0</v>
      </c>
      <c r="L202" s="32">
        <f t="shared" si="3"/>
        <v>0</v>
      </c>
      <c r="M202" s="30"/>
      <c r="N202" s="34"/>
    </row>
    <row r="203" spans="1:14" s="2" customFormat="1" ht="17.100000000000001" customHeight="1" x14ac:dyDescent="0.2">
      <c r="A203" s="2" t="s">
        <v>182</v>
      </c>
      <c r="B203" s="25">
        <v>9620000307</v>
      </c>
      <c r="C203" s="26"/>
      <c r="D203" s="26"/>
      <c r="E203" s="27"/>
      <c r="F203" s="30"/>
      <c r="G203" s="28"/>
      <c r="H203" s="29"/>
      <c r="I203" s="31"/>
      <c r="J203" s="32"/>
      <c r="K203" s="33">
        <f t="shared" si="3"/>
        <v>0</v>
      </c>
      <c r="L203" s="32">
        <f t="shared" si="3"/>
        <v>0</v>
      </c>
      <c r="M203" s="30"/>
      <c r="N203" s="34"/>
    </row>
    <row r="204" spans="1:14" s="2" customFormat="1" ht="17.100000000000001" customHeight="1" x14ac:dyDescent="0.2">
      <c r="A204" s="2" t="s">
        <v>183</v>
      </c>
      <c r="B204" s="25">
        <v>9620000308</v>
      </c>
      <c r="C204" s="26"/>
      <c r="D204" s="26"/>
      <c r="E204" s="27"/>
      <c r="F204" s="30"/>
      <c r="G204" s="28"/>
      <c r="H204" s="29"/>
      <c r="I204" s="31"/>
      <c r="J204" s="32"/>
      <c r="K204" s="33">
        <f t="shared" si="3"/>
        <v>0</v>
      </c>
      <c r="L204" s="32">
        <f t="shared" si="3"/>
        <v>0</v>
      </c>
      <c r="M204" s="30"/>
      <c r="N204" s="34"/>
    </row>
    <row r="205" spans="1:14" s="2" customFormat="1" ht="17.100000000000001" customHeight="1" x14ac:dyDescent="0.2">
      <c r="A205" s="2" t="s">
        <v>184</v>
      </c>
      <c r="B205" s="25">
        <v>9620000313</v>
      </c>
      <c r="C205" s="26"/>
      <c r="D205" s="26"/>
      <c r="E205" s="27"/>
      <c r="F205" s="30"/>
      <c r="G205" s="28"/>
      <c r="H205" s="29"/>
      <c r="I205" s="31"/>
      <c r="J205" s="32"/>
      <c r="K205" s="33">
        <f t="shared" si="3"/>
        <v>0</v>
      </c>
      <c r="L205" s="32">
        <f t="shared" si="3"/>
        <v>0</v>
      </c>
      <c r="M205" s="30"/>
      <c r="N205" s="34"/>
    </row>
    <row r="206" spans="1:14" s="2" customFormat="1" ht="17.100000000000001" customHeight="1" x14ac:dyDescent="0.2">
      <c r="A206" s="2" t="s">
        <v>185</v>
      </c>
      <c r="B206" s="25">
        <v>9620000303</v>
      </c>
      <c r="C206" s="26"/>
      <c r="D206" s="26"/>
      <c r="E206" s="27"/>
      <c r="F206" s="30"/>
      <c r="G206" s="28"/>
      <c r="H206" s="29"/>
      <c r="I206" s="31"/>
      <c r="J206" s="32"/>
      <c r="K206" s="33">
        <f t="shared" si="3"/>
        <v>0</v>
      </c>
      <c r="L206" s="32">
        <f t="shared" si="3"/>
        <v>0</v>
      </c>
      <c r="M206" s="30"/>
      <c r="N206" s="34"/>
    </row>
    <row r="207" spans="1:14" s="2" customFormat="1" ht="17.100000000000001" customHeight="1" x14ac:dyDescent="0.2">
      <c r="A207" s="2" t="s">
        <v>185</v>
      </c>
      <c r="B207" s="25">
        <v>9620000304</v>
      </c>
      <c r="C207" s="26"/>
      <c r="D207" s="26"/>
      <c r="E207" s="27"/>
      <c r="F207" s="30"/>
      <c r="G207" s="28"/>
      <c r="H207" s="29"/>
      <c r="I207" s="31"/>
      <c r="J207" s="32"/>
      <c r="K207" s="33">
        <f t="shared" si="3"/>
        <v>0</v>
      </c>
      <c r="L207" s="32">
        <f t="shared" si="3"/>
        <v>0</v>
      </c>
      <c r="M207" s="30"/>
      <c r="N207" s="34"/>
    </row>
    <row r="208" spans="1:14" s="2" customFormat="1" ht="17.100000000000001" customHeight="1" x14ac:dyDescent="0.2">
      <c r="A208" s="2" t="s">
        <v>185</v>
      </c>
      <c r="B208" s="25">
        <v>9620000305</v>
      </c>
      <c r="C208" s="26"/>
      <c r="D208" s="26"/>
      <c r="E208" s="27"/>
      <c r="F208" s="30"/>
      <c r="G208" s="28"/>
      <c r="H208" s="29"/>
      <c r="I208" s="31"/>
      <c r="J208" s="32"/>
      <c r="K208" s="33">
        <f t="shared" si="3"/>
        <v>0</v>
      </c>
      <c r="L208" s="32">
        <f t="shared" si="3"/>
        <v>0</v>
      </c>
      <c r="M208" s="30"/>
      <c r="N208" s="34"/>
    </row>
    <row r="209" spans="1:14" s="2" customFormat="1" ht="17.100000000000001" customHeight="1" x14ac:dyDescent="0.2">
      <c r="A209" s="2" t="s">
        <v>186</v>
      </c>
      <c r="B209" s="25">
        <v>9620000804</v>
      </c>
      <c r="C209" s="26"/>
      <c r="D209" s="26"/>
      <c r="E209" s="27"/>
      <c r="F209" s="30"/>
      <c r="G209" s="28"/>
      <c r="H209" s="29"/>
      <c r="I209" s="31"/>
      <c r="J209" s="32"/>
      <c r="K209" s="33">
        <f t="shared" si="3"/>
        <v>0</v>
      </c>
      <c r="L209" s="32">
        <f t="shared" si="3"/>
        <v>0</v>
      </c>
      <c r="M209" s="30"/>
      <c r="N209" s="34"/>
    </row>
    <row r="210" spans="1:14" s="2" customFormat="1" ht="17.100000000000001" customHeight="1" x14ac:dyDescent="0.2">
      <c r="A210" s="2" t="s">
        <v>187</v>
      </c>
      <c r="B210" s="25">
        <v>9620000314</v>
      </c>
      <c r="C210" s="26"/>
      <c r="D210" s="26"/>
      <c r="E210" s="27"/>
      <c r="F210" s="30"/>
      <c r="G210" s="28"/>
      <c r="H210" s="29"/>
      <c r="I210" s="31"/>
      <c r="J210" s="32"/>
      <c r="K210" s="33">
        <f t="shared" si="3"/>
        <v>0</v>
      </c>
      <c r="L210" s="32">
        <f t="shared" si="3"/>
        <v>0</v>
      </c>
      <c r="M210" s="30"/>
      <c r="N210" s="34"/>
    </row>
    <row r="211" spans="1:14" s="2" customFormat="1" ht="17.100000000000001" customHeight="1" x14ac:dyDescent="0.2">
      <c r="A211" s="2" t="s">
        <v>188</v>
      </c>
      <c r="B211" s="25">
        <v>9620000315</v>
      </c>
      <c r="C211" s="26"/>
      <c r="D211" s="26"/>
      <c r="E211" s="27"/>
      <c r="F211" s="30"/>
      <c r="G211" s="28"/>
      <c r="H211" s="29"/>
      <c r="I211" s="31"/>
      <c r="J211" s="32"/>
      <c r="K211" s="33">
        <f t="shared" si="3"/>
        <v>0</v>
      </c>
      <c r="L211" s="32">
        <f t="shared" si="3"/>
        <v>0</v>
      </c>
      <c r="M211" s="30"/>
      <c r="N211" s="34"/>
    </row>
    <row r="212" spans="1:14" s="2" customFormat="1" ht="17.100000000000001" customHeight="1" x14ac:dyDescent="0.2">
      <c r="A212" s="2" t="s">
        <v>189</v>
      </c>
      <c r="B212" s="25">
        <v>9620000316</v>
      </c>
      <c r="C212" s="26"/>
      <c r="D212" s="26"/>
      <c r="E212" s="27"/>
      <c r="F212" s="30"/>
      <c r="G212" s="28"/>
      <c r="H212" s="29"/>
      <c r="I212" s="31"/>
      <c r="J212" s="32"/>
      <c r="K212" s="33">
        <f t="shared" si="3"/>
        <v>0</v>
      </c>
      <c r="L212" s="32">
        <f t="shared" si="3"/>
        <v>0</v>
      </c>
      <c r="M212" s="30"/>
      <c r="N212" s="34"/>
    </row>
    <row r="213" spans="1:14" s="2" customFormat="1" ht="17.100000000000001" customHeight="1" x14ac:dyDescent="0.2">
      <c r="A213" s="2" t="s">
        <v>190</v>
      </c>
      <c r="B213" s="25">
        <v>9620000805</v>
      </c>
      <c r="C213" s="26"/>
      <c r="D213" s="26"/>
      <c r="E213" s="27"/>
      <c r="F213" s="30"/>
      <c r="G213" s="28"/>
      <c r="H213" s="29"/>
      <c r="I213" s="31"/>
      <c r="J213" s="32"/>
      <c r="K213" s="33">
        <f t="shared" si="3"/>
        <v>0</v>
      </c>
      <c r="L213" s="32">
        <f t="shared" si="3"/>
        <v>0</v>
      </c>
      <c r="M213" s="30"/>
      <c r="N213" s="34"/>
    </row>
    <row r="214" spans="1:14" s="2" customFormat="1" ht="17.100000000000001" customHeight="1" x14ac:dyDescent="0.2">
      <c r="A214" s="2" t="s">
        <v>191</v>
      </c>
      <c r="B214" s="25">
        <v>9620000317</v>
      </c>
      <c r="C214" s="26"/>
      <c r="D214" s="26"/>
      <c r="E214" s="27"/>
      <c r="F214" s="30"/>
      <c r="G214" s="28"/>
      <c r="H214" s="29"/>
      <c r="I214" s="31"/>
      <c r="J214" s="32"/>
      <c r="K214" s="33">
        <f t="shared" si="3"/>
        <v>0</v>
      </c>
      <c r="L214" s="32">
        <f t="shared" si="3"/>
        <v>0</v>
      </c>
      <c r="M214" s="30"/>
      <c r="N214" s="34"/>
    </row>
    <row r="215" spans="1:14" s="2" customFormat="1" ht="17.100000000000001" customHeight="1" x14ac:dyDescent="0.2">
      <c r="A215" s="2" t="s">
        <v>192</v>
      </c>
      <c r="B215" s="25">
        <v>9620047831</v>
      </c>
      <c r="C215" s="26"/>
      <c r="D215" s="26"/>
      <c r="E215" s="27"/>
      <c r="F215" s="30"/>
      <c r="G215" s="33"/>
      <c r="H215" s="29"/>
      <c r="I215" s="31"/>
      <c r="J215" s="32"/>
      <c r="K215" s="33">
        <f t="shared" si="3"/>
        <v>0</v>
      </c>
      <c r="L215" s="32">
        <f t="shared" si="3"/>
        <v>0</v>
      </c>
      <c r="M215" s="30"/>
      <c r="N215" s="34"/>
    </row>
    <row r="216" spans="1:14" s="2" customFormat="1" ht="17.100000000000001" customHeight="1" x14ac:dyDescent="0.2">
      <c r="A216" s="2" t="s">
        <v>193</v>
      </c>
      <c r="B216" s="25">
        <v>9620000323</v>
      </c>
      <c r="C216" s="26"/>
      <c r="D216" s="26"/>
      <c r="E216" s="27"/>
      <c r="F216" s="30"/>
      <c r="G216" s="28"/>
      <c r="H216" s="29"/>
      <c r="I216" s="31"/>
      <c r="J216" s="32"/>
      <c r="K216" s="33">
        <f t="shared" si="3"/>
        <v>0</v>
      </c>
      <c r="L216" s="32">
        <f t="shared" si="3"/>
        <v>0</v>
      </c>
      <c r="M216" s="30"/>
      <c r="N216" s="34"/>
    </row>
    <row r="217" spans="1:14" s="2" customFormat="1" ht="17.100000000000001" customHeight="1" x14ac:dyDescent="0.2">
      <c r="A217" s="2" t="s">
        <v>420</v>
      </c>
      <c r="B217" s="25">
        <v>9620000324</v>
      </c>
      <c r="C217" s="26"/>
      <c r="D217" s="26"/>
      <c r="E217" s="27"/>
      <c r="F217" s="37"/>
      <c r="G217" s="28"/>
      <c r="H217" s="29"/>
      <c r="I217" s="31"/>
      <c r="J217" s="29"/>
      <c r="K217" s="33">
        <f t="shared" si="3"/>
        <v>0</v>
      </c>
      <c r="L217" s="32">
        <f t="shared" si="3"/>
        <v>0</v>
      </c>
      <c r="M217" s="37"/>
      <c r="N217" s="34"/>
    </row>
    <row r="218" spans="1:14" s="2" customFormat="1" ht="17.100000000000001" customHeight="1" x14ac:dyDescent="0.2">
      <c r="A218" s="2" t="s">
        <v>194</v>
      </c>
      <c r="B218" s="25">
        <v>9620000326</v>
      </c>
      <c r="C218" s="26"/>
      <c r="D218" s="26"/>
      <c r="E218" s="27"/>
      <c r="F218" s="30"/>
      <c r="G218" s="46"/>
      <c r="H218" s="29"/>
      <c r="I218" s="31"/>
      <c r="J218" s="32"/>
      <c r="K218" s="33">
        <f t="shared" si="3"/>
        <v>0</v>
      </c>
      <c r="L218" s="32">
        <f t="shared" si="3"/>
        <v>0</v>
      </c>
      <c r="M218" s="30"/>
      <c r="N218" s="34"/>
    </row>
    <row r="219" spans="1:14" s="2" customFormat="1" ht="17.100000000000001" customHeight="1" x14ac:dyDescent="0.2">
      <c r="A219" s="2" t="s">
        <v>195</v>
      </c>
      <c r="B219" s="25">
        <v>9620000327</v>
      </c>
      <c r="C219" s="26"/>
      <c r="D219" s="26"/>
      <c r="E219" s="27"/>
      <c r="F219" s="30"/>
      <c r="G219" s="28"/>
      <c r="H219" s="29"/>
      <c r="I219" s="31"/>
      <c r="J219" s="32"/>
      <c r="K219" s="33">
        <f t="shared" si="3"/>
        <v>0</v>
      </c>
      <c r="L219" s="32">
        <f t="shared" si="3"/>
        <v>0</v>
      </c>
      <c r="M219" s="30"/>
      <c r="N219" s="34"/>
    </row>
    <row r="220" spans="1:14" s="2" customFormat="1" ht="17.100000000000001" customHeight="1" x14ac:dyDescent="0.2">
      <c r="A220" s="2" t="s">
        <v>196</v>
      </c>
      <c r="B220" s="25">
        <v>9620000328</v>
      </c>
      <c r="C220" s="26"/>
      <c r="D220" s="26"/>
      <c r="E220" s="27"/>
      <c r="F220" s="30"/>
      <c r="G220" s="28"/>
      <c r="H220" s="29"/>
      <c r="I220" s="31"/>
      <c r="J220" s="32"/>
      <c r="K220" s="33">
        <f t="shared" si="3"/>
        <v>0</v>
      </c>
      <c r="L220" s="32">
        <f t="shared" si="3"/>
        <v>0</v>
      </c>
      <c r="M220" s="30"/>
      <c r="N220" s="34"/>
    </row>
    <row r="221" spans="1:14" s="2" customFormat="1" ht="17.100000000000001" customHeight="1" x14ac:dyDescent="0.2">
      <c r="A221" s="2" t="s">
        <v>197</v>
      </c>
      <c r="B221" s="25">
        <v>9620000806</v>
      </c>
      <c r="C221" s="26"/>
      <c r="D221" s="26"/>
      <c r="E221" s="27"/>
      <c r="F221" s="30"/>
      <c r="G221" s="28"/>
      <c r="H221" s="29"/>
      <c r="I221" s="31"/>
      <c r="J221" s="32"/>
      <c r="K221" s="33">
        <f t="shared" si="3"/>
        <v>0</v>
      </c>
      <c r="L221" s="32">
        <f t="shared" si="3"/>
        <v>0</v>
      </c>
      <c r="M221" s="30"/>
      <c r="N221" s="34"/>
    </row>
    <row r="222" spans="1:14" s="2" customFormat="1" ht="17.100000000000001" customHeight="1" x14ac:dyDescent="0.2">
      <c r="A222" s="2" t="s">
        <v>198</v>
      </c>
      <c r="B222" s="25">
        <v>9620000329</v>
      </c>
      <c r="C222" s="26"/>
      <c r="D222" s="26"/>
      <c r="E222" s="27"/>
      <c r="F222" s="30"/>
      <c r="G222" s="28"/>
      <c r="H222" s="29"/>
      <c r="I222" s="31"/>
      <c r="J222" s="32"/>
      <c r="K222" s="33">
        <f t="shared" si="3"/>
        <v>0</v>
      </c>
      <c r="L222" s="32">
        <f t="shared" si="3"/>
        <v>0</v>
      </c>
      <c r="M222" s="30"/>
      <c r="N222" s="34"/>
    </row>
    <row r="223" spans="1:14" s="2" customFormat="1" ht="17.100000000000001" customHeight="1" x14ac:dyDescent="0.2">
      <c r="A223" s="2" t="s">
        <v>199</v>
      </c>
      <c r="B223" s="25">
        <v>9620048811</v>
      </c>
      <c r="C223" s="26"/>
      <c r="D223" s="26"/>
      <c r="E223" s="27"/>
      <c r="F223" s="30"/>
      <c r="G223" s="28"/>
      <c r="H223" s="29"/>
      <c r="I223" s="31"/>
      <c r="J223" s="32"/>
      <c r="K223" s="33">
        <f t="shared" si="3"/>
        <v>0</v>
      </c>
      <c r="L223" s="32">
        <f t="shared" si="3"/>
        <v>0</v>
      </c>
      <c r="M223" s="30"/>
      <c r="N223" s="34"/>
    </row>
    <row r="224" spans="1:14" s="2" customFormat="1" ht="17.100000000000001" customHeight="1" x14ac:dyDescent="0.2">
      <c r="A224" s="2" t="s">
        <v>200</v>
      </c>
      <c r="B224" s="25">
        <v>9620000807</v>
      </c>
      <c r="C224" s="26"/>
      <c r="D224" s="26"/>
      <c r="E224" s="27"/>
      <c r="F224" s="30"/>
      <c r="G224" s="28"/>
      <c r="H224" s="29"/>
      <c r="I224" s="31"/>
      <c r="J224" s="32"/>
      <c r="K224" s="33">
        <f t="shared" si="3"/>
        <v>0</v>
      </c>
      <c r="L224" s="32">
        <f t="shared" si="3"/>
        <v>0</v>
      </c>
      <c r="M224" s="30"/>
      <c r="N224" s="34"/>
    </row>
    <row r="225" spans="1:14" s="2" customFormat="1" ht="17.100000000000001" customHeight="1" x14ac:dyDescent="0.2">
      <c r="A225" s="2" t="s">
        <v>201</v>
      </c>
      <c r="B225" s="25">
        <v>9620000331</v>
      </c>
      <c r="C225" s="26"/>
      <c r="D225" s="26"/>
      <c r="E225" s="27"/>
      <c r="F225" s="30"/>
      <c r="G225" s="28"/>
      <c r="H225" s="29"/>
      <c r="I225" s="31"/>
      <c r="J225" s="32"/>
      <c r="K225" s="33">
        <f t="shared" si="3"/>
        <v>0</v>
      </c>
      <c r="L225" s="32">
        <f t="shared" si="3"/>
        <v>0</v>
      </c>
      <c r="M225" s="30"/>
      <c r="N225" s="34"/>
    </row>
    <row r="226" spans="1:14" s="2" customFormat="1" ht="17.100000000000001" customHeight="1" x14ac:dyDescent="0.2">
      <c r="A226" s="2" t="s">
        <v>202</v>
      </c>
      <c r="B226" s="25">
        <v>9620000334</v>
      </c>
      <c r="C226" s="26"/>
      <c r="D226" s="26"/>
      <c r="E226" s="27"/>
      <c r="F226" s="30"/>
      <c r="G226" s="28"/>
      <c r="H226" s="29"/>
      <c r="I226" s="31"/>
      <c r="J226" s="32"/>
      <c r="K226" s="33">
        <f t="shared" si="3"/>
        <v>0</v>
      </c>
      <c r="L226" s="32">
        <f t="shared" si="3"/>
        <v>0</v>
      </c>
      <c r="M226" s="30"/>
      <c r="N226" s="34"/>
    </row>
    <row r="227" spans="1:14" s="2" customFormat="1" ht="17.100000000000001" customHeight="1" x14ac:dyDescent="0.2">
      <c r="A227" s="2" t="s">
        <v>203</v>
      </c>
      <c r="B227" s="25">
        <v>9620000337</v>
      </c>
      <c r="C227" s="26"/>
      <c r="D227" s="26"/>
      <c r="E227" s="27"/>
      <c r="F227" s="30"/>
      <c r="G227" s="28"/>
      <c r="H227" s="29"/>
      <c r="I227" s="31"/>
      <c r="J227" s="32"/>
      <c r="K227" s="33">
        <f t="shared" si="3"/>
        <v>0</v>
      </c>
      <c r="L227" s="32">
        <f t="shared" si="3"/>
        <v>0</v>
      </c>
      <c r="M227" s="30"/>
      <c r="N227" s="34"/>
    </row>
    <row r="228" spans="1:14" s="2" customFormat="1" ht="17.100000000000001" customHeight="1" x14ac:dyDescent="0.2">
      <c r="A228" s="2" t="s">
        <v>204</v>
      </c>
      <c r="B228" s="25">
        <v>9620000338</v>
      </c>
      <c r="C228" s="26"/>
      <c r="D228" s="26"/>
      <c r="E228" s="27"/>
      <c r="F228" s="30"/>
      <c r="G228" s="28"/>
      <c r="H228" s="29"/>
      <c r="I228" s="31"/>
      <c r="J228" s="32"/>
      <c r="K228" s="33">
        <f t="shared" si="3"/>
        <v>0</v>
      </c>
      <c r="L228" s="32">
        <f t="shared" si="3"/>
        <v>0</v>
      </c>
      <c r="M228" s="30"/>
      <c r="N228" s="34"/>
    </row>
    <row r="229" spans="1:14" s="2" customFormat="1" ht="17.100000000000001" customHeight="1" x14ac:dyDescent="0.2">
      <c r="A229" s="2" t="s">
        <v>205</v>
      </c>
      <c r="B229" s="25">
        <v>9620000808</v>
      </c>
      <c r="C229" s="26"/>
      <c r="D229" s="26"/>
      <c r="E229" s="27"/>
      <c r="F229" s="30"/>
      <c r="G229" s="28"/>
      <c r="H229" s="29"/>
      <c r="I229" s="31"/>
      <c r="J229" s="32"/>
      <c r="K229" s="33">
        <f t="shared" si="3"/>
        <v>0</v>
      </c>
      <c r="L229" s="32">
        <f t="shared" si="3"/>
        <v>0</v>
      </c>
      <c r="M229" s="30"/>
      <c r="N229" s="34"/>
    </row>
    <row r="230" spans="1:14" s="2" customFormat="1" ht="17.100000000000001" customHeight="1" x14ac:dyDescent="0.2">
      <c r="A230" s="2" t="s">
        <v>206</v>
      </c>
      <c r="B230" s="25">
        <v>9620000339</v>
      </c>
      <c r="C230" s="26"/>
      <c r="D230" s="26"/>
      <c r="E230" s="27"/>
      <c r="F230" s="30"/>
      <c r="G230" s="28"/>
      <c r="H230" s="29"/>
      <c r="I230" s="31"/>
      <c r="J230" s="32"/>
      <c r="K230" s="33">
        <f t="shared" si="3"/>
        <v>0</v>
      </c>
      <c r="L230" s="32">
        <f t="shared" si="3"/>
        <v>0</v>
      </c>
      <c r="M230" s="30"/>
      <c r="N230" s="34"/>
    </row>
    <row r="231" spans="1:14" s="2" customFormat="1" ht="17.100000000000001" customHeight="1" x14ac:dyDescent="0.2">
      <c r="A231" s="2" t="s">
        <v>207</v>
      </c>
      <c r="B231" s="25">
        <v>9620000340</v>
      </c>
      <c r="C231" s="26"/>
      <c r="D231" s="26"/>
      <c r="E231" s="27"/>
      <c r="F231" s="30"/>
      <c r="G231" s="28"/>
      <c r="H231" s="29"/>
      <c r="I231" s="31"/>
      <c r="J231" s="32"/>
      <c r="K231" s="33">
        <f t="shared" si="3"/>
        <v>0</v>
      </c>
      <c r="L231" s="32">
        <f t="shared" si="3"/>
        <v>0</v>
      </c>
      <c r="M231" s="30"/>
      <c r="N231" s="34"/>
    </row>
    <row r="232" spans="1:14" s="2" customFormat="1" ht="17.100000000000001" customHeight="1" x14ac:dyDescent="0.2">
      <c r="A232" s="2" t="s">
        <v>208</v>
      </c>
      <c r="B232" s="25">
        <v>9620000810</v>
      </c>
      <c r="C232" s="26"/>
      <c r="D232" s="26"/>
      <c r="E232" s="27"/>
      <c r="F232" s="30"/>
      <c r="G232" s="28"/>
      <c r="H232" s="29"/>
      <c r="I232" s="31"/>
      <c r="J232" s="32"/>
      <c r="K232" s="33">
        <f t="shared" si="3"/>
        <v>0</v>
      </c>
      <c r="L232" s="32">
        <f t="shared" si="3"/>
        <v>0</v>
      </c>
      <c r="M232" s="30"/>
      <c r="N232" s="34"/>
    </row>
    <row r="233" spans="1:14" s="2" customFormat="1" ht="17.100000000000001" customHeight="1" x14ac:dyDescent="0.2">
      <c r="A233" s="2" t="s">
        <v>209</v>
      </c>
      <c r="B233" s="25">
        <v>9620000341</v>
      </c>
      <c r="C233" s="26"/>
      <c r="D233" s="26"/>
      <c r="E233" s="27"/>
      <c r="F233" s="30"/>
      <c r="G233" s="28"/>
      <c r="H233" s="29"/>
      <c r="I233" s="31"/>
      <c r="J233" s="32"/>
      <c r="K233" s="33">
        <f t="shared" si="3"/>
        <v>0</v>
      </c>
      <c r="L233" s="32">
        <f t="shared" si="3"/>
        <v>0</v>
      </c>
      <c r="M233" s="30"/>
      <c r="N233" s="34"/>
    </row>
    <row r="234" spans="1:14" s="2" customFormat="1" ht="17.100000000000001" customHeight="1" x14ac:dyDescent="0.2">
      <c r="A234" s="2" t="s">
        <v>210</v>
      </c>
      <c r="B234" s="25">
        <v>9620000344</v>
      </c>
      <c r="C234" s="26"/>
      <c r="D234" s="26"/>
      <c r="E234" s="27"/>
      <c r="F234" s="30"/>
      <c r="G234" s="28"/>
      <c r="H234" s="29"/>
      <c r="I234" s="31"/>
      <c r="J234" s="32"/>
      <c r="K234" s="33">
        <f t="shared" si="3"/>
        <v>0</v>
      </c>
      <c r="L234" s="32">
        <f t="shared" si="3"/>
        <v>0</v>
      </c>
      <c r="M234" s="30"/>
      <c r="N234" s="34"/>
    </row>
    <row r="235" spans="1:14" s="2" customFormat="1" ht="17.100000000000001" customHeight="1" x14ac:dyDescent="0.2">
      <c r="A235" s="2" t="s">
        <v>211</v>
      </c>
      <c r="B235" s="25">
        <v>9620000345</v>
      </c>
      <c r="C235" s="26"/>
      <c r="D235" s="26"/>
      <c r="E235" s="27"/>
      <c r="F235" s="30"/>
      <c r="G235" s="28"/>
      <c r="H235" s="29"/>
      <c r="I235" s="31"/>
      <c r="J235" s="32"/>
      <c r="K235" s="33">
        <f t="shared" si="3"/>
        <v>0</v>
      </c>
      <c r="L235" s="32">
        <f t="shared" si="3"/>
        <v>0</v>
      </c>
      <c r="M235" s="30"/>
      <c r="N235" s="34"/>
    </row>
    <row r="236" spans="1:14" s="2" customFormat="1" ht="17.100000000000001" customHeight="1" x14ac:dyDescent="0.2">
      <c r="A236" s="2" t="s">
        <v>212</v>
      </c>
      <c r="B236" s="25">
        <v>9620000348</v>
      </c>
      <c r="C236" s="26"/>
      <c r="D236" s="26"/>
      <c r="E236" s="27"/>
      <c r="F236" s="30"/>
      <c r="G236" s="28"/>
      <c r="H236" s="29"/>
      <c r="I236" s="31"/>
      <c r="J236" s="32"/>
      <c r="K236" s="33">
        <f t="shared" si="3"/>
        <v>0</v>
      </c>
      <c r="L236" s="32">
        <f t="shared" si="3"/>
        <v>0</v>
      </c>
      <c r="M236" s="30"/>
      <c r="N236" s="34"/>
    </row>
    <row r="237" spans="1:14" s="2" customFormat="1" ht="17.100000000000001" customHeight="1" x14ac:dyDescent="0.2">
      <c r="A237" s="2" t="s">
        <v>213</v>
      </c>
      <c r="B237" s="25">
        <v>9620000351</v>
      </c>
      <c r="C237" s="26"/>
      <c r="D237" s="26"/>
      <c r="E237" s="27"/>
      <c r="F237" s="30"/>
      <c r="G237" s="28"/>
      <c r="H237" s="29"/>
      <c r="I237" s="31"/>
      <c r="J237" s="32"/>
      <c r="K237" s="33">
        <f t="shared" si="3"/>
        <v>0</v>
      </c>
      <c r="L237" s="32">
        <f t="shared" si="3"/>
        <v>0</v>
      </c>
      <c r="M237" s="30"/>
      <c r="N237" s="34"/>
    </row>
    <row r="238" spans="1:14" s="2" customFormat="1" ht="17.100000000000001" customHeight="1" x14ac:dyDescent="0.2">
      <c r="A238" s="2" t="s">
        <v>214</v>
      </c>
      <c r="B238" s="25">
        <v>9620000818</v>
      </c>
      <c r="C238" s="26"/>
      <c r="D238" s="26"/>
      <c r="E238" s="27"/>
      <c r="F238" s="30"/>
      <c r="G238" s="28"/>
      <c r="H238" s="29"/>
      <c r="I238" s="31"/>
      <c r="J238" s="32"/>
      <c r="K238" s="33">
        <f t="shared" si="3"/>
        <v>0</v>
      </c>
      <c r="L238" s="32">
        <f t="shared" si="3"/>
        <v>0</v>
      </c>
      <c r="M238" s="30"/>
      <c r="N238" s="34"/>
    </row>
    <row r="239" spans="1:14" s="2" customFormat="1" ht="17.100000000000001" customHeight="1" x14ac:dyDescent="0.2">
      <c r="A239" s="2" t="s">
        <v>215</v>
      </c>
      <c r="B239" s="25">
        <v>9620000819</v>
      </c>
      <c r="C239" s="26"/>
      <c r="D239" s="26"/>
      <c r="E239" s="27"/>
      <c r="F239" s="30"/>
      <c r="G239" s="28"/>
      <c r="H239" s="29"/>
      <c r="I239" s="31"/>
      <c r="J239" s="32"/>
      <c r="K239" s="33">
        <f t="shared" si="3"/>
        <v>0</v>
      </c>
      <c r="L239" s="32">
        <f t="shared" si="3"/>
        <v>0</v>
      </c>
      <c r="M239" s="30"/>
      <c r="N239" s="34"/>
    </row>
    <row r="240" spans="1:14" s="2" customFormat="1" ht="17.100000000000001" customHeight="1" x14ac:dyDescent="0.2">
      <c r="A240" s="2" t="s">
        <v>216</v>
      </c>
      <c r="B240" s="25">
        <v>9620000353</v>
      </c>
      <c r="C240" s="26"/>
      <c r="D240" s="26"/>
      <c r="E240" s="27"/>
      <c r="F240" s="30"/>
      <c r="G240" s="28"/>
      <c r="H240" s="29"/>
      <c r="I240" s="31"/>
      <c r="J240" s="32"/>
      <c r="K240" s="33">
        <f t="shared" si="3"/>
        <v>0</v>
      </c>
      <c r="L240" s="32">
        <f t="shared" si="3"/>
        <v>0</v>
      </c>
      <c r="M240" s="30"/>
      <c r="N240" s="34"/>
    </row>
    <row r="241" spans="1:14" s="2" customFormat="1" ht="17.100000000000001" customHeight="1" x14ac:dyDescent="0.2">
      <c r="A241" s="2" t="s">
        <v>217</v>
      </c>
      <c r="B241" s="25">
        <v>9620000354</v>
      </c>
      <c r="C241" s="26"/>
      <c r="D241" s="26"/>
      <c r="E241" s="27"/>
      <c r="F241" s="30"/>
      <c r="G241" s="28"/>
      <c r="H241" s="29"/>
      <c r="I241" s="31"/>
      <c r="J241" s="32"/>
      <c r="K241" s="33">
        <f t="shared" si="3"/>
        <v>0</v>
      </c>
      <c r="L241" s="32">
        <f t="shared" si="3"/>
        <v>0</v>
      </c>
      <c r="M241" s="30"/>
      <c r="N241" s="34"/>
    </row>
    <row r="242" spans="1:14" s="2" customFormat="1" ht="17.100000000000001" customHeight="1" x14ac:dyDescent="0.2">
      <c r="A242" s="2" t="s">
        <v>218</v>
      </c>
      <c r="B242" s="25">
        <v>9620000355</v>
      </c>
      <c r="C242" s="26"/>
      <c r="D242" s="26"/>
      <c r="E242" s="27"/>
      <c r="F242" s="30"/>
      <c r="G242" s="28"/>
      <c r="H242" s="29"/>
      <c r="I242" s="31"/>
      <c r="J242" s="32"/>
      <c r="K242" s="33">
        <f t="shared" si="3"/>
        <v>0</v>
      </c>
      <c r="L242" s="32">
        <f t="shared" si="3"/>
        <v>0</v>
      </c>
      <c r="M242" s="30"/>
      <c r="N242" s="34"/>
    </row>
    <row r="243" spans="1:14" s="2" customFormat="1" ht="17.100000000000001" customHeight="1" x14ac:dyDescent="0.2">
      <c r="A243" s="2" t="s">
        <v>424</v>
      </c>
      <c r="B243" s="25">
        <v>9620000356</v>
      </c>
      <c r="C243" s="26"/>
      <c r="D243" s="26"/>
      <c r="E243" s="27"/>
      <c r="F243" s="37"/>
      <c r="G243" s="46"/>
      <c r="H243" s="29"/>
      <c r="I243" s="31"/>
      <c r="J243" s="29"/>
      <c r="K243" s="33">
        <f t="shared" si="3"/>
        <v>0</v>
      </c>
      <c r="L243" s="32">
        <f t="shared" si="3"/>
        <v>0</v>
      </c>
      <c r="M243" s="37"/>
      <c r="N243" s="34"/>
    </row>
    <row r="244" spans="1:14" s="2" customFormat="1" ht="17.100000000000001" customHeight="1" x14ac:dyDescent="0.2">
      <c r="A244" s="2" t="s">
        <v>219</v>
      </c>
      <c r="B244" s="25">
        <v>9620000359</v>
      </c>
      <c r="C244" s="26"/>
      <c r="D244" s="26"/>
      <c r="E244" s="27"/>
      <c r="F244" s="30"/>
      <c r="G244" s="28"/>
      <c r="H244" s="29"/>
      <c r="I244" s="31"/>
      <c r="J244" s="32"/>
      <c r="K244" s="33">
        <f t="shared" si="3"/>
        <v>0</v>
      </c>
      <c r="L244" s="32">
        <f t="shared" si="3"/>
        <v>0</v>
      </c>
      <c r="M244" s="30"/>
      <c r="N244" s="34"/>
    </row>
    <row r="245" spans="1:14" s="2" customFormat="1" ht="17.100000000000001" customHeight="1" x14ac:dyDescent="0.2">
      <c r="A245" s="2" t="s">
        <v>220</v>
      </c>
      <c r="B245" s="25">
        <v>9620000361</v>
      </c>
      <c r="C245" s="26"/>
      <c r="D245" s="26"/>
      <c r="E245" s="27"/>
      <c r="F245" s="30"/>
      <c r="G245" s="28"/>
      <c r="H245" s="29"/>
      <c r="I245" s="31"/>
      <c r="J245" s="32"/>
      <c r="K245" s="33">
        <f t="shared" si="3"/>
        <v>0</v>
      </c>
      <c r="L245" s="32">
        <f t="shared" si="3"/>
        <v>0</v>
      </c>
      <c r="M245" s="30"/>
      <c r="N245" s="34"/>
    </row>
    <row r="246" spans="1:14" s="2" customFormat="1" ht="17.100000000000001" customHeight="1" x14ac:dyDescent="0.2">
      <c r="A246" s="2" t="s">
        <v>221</v>
      </c>
      <c r="B246" s="25">
        <v>9620000362</v>
      </c>
      <c r="C246" s="26"/>
      <c r="D246" s="26"/>
      <c r="E246" s="27"/>
      <c r="F246" s="30"/>
      <c r="G246" s="28"/>
      <c r="H246" s="29"/>
      <c r="I246" s="31"/>
      <c r="J246" s="32"/>
      <c r="K246" s="33">
        <f t="shared" si="3"/>
        <v>0</v>
      </c>
      <c r="L246" s="32">
        <f t="shared" si="3"/>
        <v>0</v>
      </c>
      <c r="M246" s="30"/>
      <c r="N246" s="34"/>
    </row>
    <row r="247" spans="1:14" s="2" customFormat="1" ht="17.100000000000001" customHeight="1" x14ac:dyDescent="0.2">
      <c r="A247" s="2" t="s">
        <v>222</v>
      </c>
      <c r="B247" s="25">
        <v>9620000363</v>
      </c>
      <c r="C247" s="26"/>
      <c r="D247" s="26"/>
      <c r="E247" s="27"/>
      <c r="F247" s="30"/>
      <c r="G247" s="28"/>
      <c r="H247" s="29"/>
      <c r="I247" s="31"/>
      <c r="J247" s="32"/>
      <c r="K247" s="33">
        <f t="shared" si="3"/>
        <v>0</v>
      </c>
      <c r="L247" s="32">
        <f t="shared" si="3"/>
        <v>0</v>
      </c>
      <c r="M247" s="30"/>
      <c r="N247" s="34"/>
    </row>
    <row r="248" spans="1:14" s="2" customFormat="1" ht="17.100000000000001" customHeight="1" x14ac:dyDescent="0.2">
      <c r="A248" s="2" t="s">
        <v>223</v>
      </c>
      <c r="B248" s="25">
        <v>9620048515</v>
      </c>
      <c r="C248" s="26"/>
      <c r="D248" s="26"/>
      <c r="E248" s="27"/>
      <c r="F248" s="30"/>
      <c r="G248" s="28"/>
      <c r="H248" s="29"/>
      <c r="I248" s="31"/>
      <c r="J248" s="32"/>
      <c r="K248" s="33">
        <f t="shared" si="3"/>
        <v>0</v>
      </c>
      <c r="L248" s="32">
        <f t="shared" si="3"/>
        <v>0</v>
      </c>
      <c r="M248" s="30"/>
      <c r="N248" s="34"/>
    </row>
    <row r="249" spans="1:14" s="2" customFormat="1" ht="17.100000000000001" customHeight="1" x14ac:dyDescent="0.2">
      <c r="A249" s="2" t="s">
        <v>224</v>
      </c>
      <c r="B249" s="25">
        <v>9620000365</v>
      </c>
      <c r="C249" s="26"/>
      <c r="D249" s="26"/>
      <c r="E249" s="27"/>
      <c r="F249" s="30"/>
      <c r="G249" s="28"/>
      <c r="H249" s="29"/>
      <c r="I249" s="31"/>
      <c r="J249" s="32"/>
      <c r="K249" s="33">
        <f t="shared" si="3"/>
        <v>0</v>
      </c>
      <c r="L249" s="32">
        <f t="shared" si="3"/>
        <v>0</v>
      </c>
      <c r="M249" s="30"/>
      <c r="N249" s="34"/>
    </row>
    <row r="250" spans="1:14" s="2" customFormat="1" ht="17.100000000000001" customHeight="1" x14ac:dyDescent="0.2">
      <c r="A250" s="2" t="s">
        <v>225</v>
      </c>
      <c r="B250" s="25">
        <v>9620000366</v>
      </c>
      <c r="C250" s="26"/>
      <c r="D250" s="26"/>
      <c r="E250" s="27"/>
      <c r="F250" s="30"/>
      <c r="G250" s="28"/>
      <c r="H250" s="29"/>
      <c r="I250" s="31"/>
      <c r="J250" s="32"/>
      <c r="K250" s="33">
        <f t="shared" si="3"/>
        <v>0</v>
      </c>
      <c r="L250" s="32">
        <f t="shared" si="3"/>
        <v>0</v>
      </c>
      <c r="M250" s="30"/>
      <c r="N250" s="34"/>
    </row>
    <row r="251" spans="1:14" s="2" customFormat="1" ht="17.100000000000001" customHeight="1" x14ac:dyDescent="0.2">
      <c r="A251" s="2" t="s">
        <v>226</v>
      </c>
      <c r="B251" s="25">
        <v>9620000821</v>
      </c>
      <c r="C251" s="26"/>
      <c r="D251" s="26"/>
      <c r="E251" s="27"/>
      <c r="F251" s="30"/>
      <c r="G251" s="28"/>
      <c r="H251" s="29"/>
      <c r="I251" s="31"/>
      <c r="J251" s="32"/>
      <c r="K251" s="33">
        <f t="shared" si="3"/>
        <v>0</v>
      </c>
      <c r="L251" s="32">
        <f t="shared" si="3"/>
        <v>0</v>
      </c>
      <c r="M251" s="30"/>
      <c r="N251" s="34"/>
    </row>
    <row r="252" spans="1:14" s="2" customFormat="1" ht="17.100000000000001" customHeight="1" x14ac:dyDescent="0.2">
      <c r="A252" s="2" t="s">
        <v>227</v>
      </c>
      <c r="B252" s="25">
        <v>9620000367</v>
      </c>
      <c r="C252" s="26"/>
      <c r="D252" s="26"/>
      <c r="E252" s="27"/>
      <c r="F252" s="30"/>
      <c r="G252" s="28"/>
      <c r="H252" s="29"/>
      <c r="I252" s="31"/>
      <c r="J252" s="32"/>
      <c r="K252" s="33">
        <f t="shared" si="3"/>
        <v>0</v>
      </c>
      <c r="L252" s="32">
        <f t="shared" si="3"/>
        <v>0</v>
      </c>
      <c r="M252" s="30"/>
      <c r="N252" s="34"/>
    </row>
    <row r="253" spans="1:14" s="2" customFormat="1" ht="17.100000000000001" customHeight="1" x14ac:dyDescent="0.2">
      <c r="A253" s="2" t="s">
        <v>228</v>
      </c>
      <c r="B253" s="25">
        <v>9620000393</v>
      </c>
      <c r="C253" s="26"/>
      <c r="D253" s="26"/>
      <c r="E253" s="27"/>
      <c r="F253" s="30"/>
      <c r="G253" s="28"/>
      <c r="H253" s="29"/>
      <c r="I253" s="31"/>
      <c r="J253" s="32"/>
      <c r="K253" s="33">
        <f t="shared" si="3"/>
        <v>0</v>
      </c>
      <c r="L253" s="32">
        <f t="shared" si="3"/>
        <v>0</v>
      </c>
      <c r="M253" s="30"/>
      <c r="N253" s="34"/>
    </row>
    <row r="254" spans="1:14" s="2" customFormat="1" ht="17.100000000000001" customHeight="1" x14ac:dyDescent="0.2">
      <c r="A254" s="2" t="s">
        <v>229</v>
      </c>
      <c r="B254" s="25">
        <v>9620000372</v>
      </c>
      <c r="C254" s="26"/>
      <c r="D254" s="26"/>
      <c r="E254" s="27"/>
      <c r="F254" s="30"/>
      <c r="G254" s="28"/>
      <c r="H254" s="29"/>
      <c r="I254" s="31"/>
      <c r="J254" s="32"/>
      <c r="K254" s="33">
        <f t="shared" si="3"/>
        <v>0</v>
      </c>
      <c r="L254" s="32">
        <f t="shared" si="3"/>
        <v>0</v>
      </c>
      <c r="M254" s="30"/>
      <c r="N254" s="34"/>
    </row>
    <row r="255" spans="1:14" s="2" customFormat="1" ht="17.100000000000001" customHeight="1" x14ac:dyDescent="0.2">
      <c r="A255" s="2" t="s">
        <v>230</v>
      </c>
      <c r="B255" s="25">
        <v>9620000375</v>
      </c>
      <c r="C255" s="26"/>
      <c r="D255" s="26"/>
      <c r="E255" s="27"/>
      <c r="F255" s="30"/>
      <c r="G255" s="28"/>
      <c r="H255" s="29"/>
      <c r="I255" s="31"/>
      <c r="J255" s="32"/>
      <c r="K255" s="33">
        <f t="shared" si="3"/>
        <v>0</v>
      </c>
      <c r="L255" s="32">
        <f t="shared" si="3"/>
        <v>0</v>
      </c>
      <c r="M255" s="30"/>
      <c r="N255" s="34"/>
    </row>
    <row r="256" spans="1:14" s="2" customFormat="1" ht="17.100000000000001" customHeight="1" x14ac:dyDescent="0.2">
      <c r="A256" s="2" t="s">
        <v>231</v>
      </c>
      <c r="B256" s="25">
        <v>9620000377</v>
      </c>
      <c r="C256" s="26"/>
      <c r="D256" s="26"/>
      <c r="E256" s="27"/>
      <c r="F256" s="30"/>
      <c r="G256" s="28"/>
      <c r="H256" s="29"/>
      <c r="I256" s="31"/>
      <c r="J256" s="32"/>
      <c r="K256" s="33">
        <f t="shared" si="3"/>
        <v>0</v>
      </c>
      <c r="L256" s="32">
        <f t="shared" si="3"/>
        <v>0</v>
      </c>
      <c r="M256" s="30"/>
      <c r="N256" s="34"/>
    </row>
    <row r="257" spans="1:14" s="2" customFormat="1" ht="17.100000000000001" customHeight="1" x14ac:dyDescent="0.2">
      <c r="A257" s="2" t="s">
        <v>232</v>
      </c>
      <c r="B257" s="25">
        <v>9620000380</v>
      </c>
      <c r="C257" s="26"/>
      <c r="D257" s="26"/>
      <c r="E257" s="27"/>
      <c r="F257" s="30"/>
      <c r="G257" s="28"/>
      <c r="H257" s="29"/>
      <c r="I257" s="31"/>
      <c r="J257" s="32"/>
      <c r="K257" s="33">
        <f t="shared" si="3"/>
        <v>0</v>
      </c>
      <c r="L257" s="32">
        <f t="shared" si="3"/>
        <v>0</v>
      </c>
      <c r="M257" s="30"/>
      <c r="N257" s="34"/>
    </row>
    <row r="258" spans="1:14" s="2" customFormat="1" ht="17.100000000000001" customHeight="1" x14ac:dyDescent="0.2">
      <c r="A258" s="2" t="s">
        <v>233</v>
      </c>
      <c r="B258" s="25">
        <v>9620000381</v>
      </c>
      <c r="C258" s="26"/>
      <c r="D258" s="26"/>
      <c r="E258" s="27"/>
      <c r="F258" s="30"/>
      <c r="G258" s="28"/>
      <c r="H258" s="29"/>
      <c r="I258" s="31"/>
      <c r="J258" s="32"/>
      <c r="K258" s="33">
        <f t="shared" ref="K258:L321" si="4">G258-I258</f>
        <v>0</v>
      </c>
      <c r="L258" s="32">
        <f t="shared" si="4"/>
        <v>0</v>
      </c>
      <c r="M258" s="30"/>
      <c r="N258" s="34"/>
    </row>
    <row r="259" spans="1:14" s="2" customFormat="1" ht="17.100000000000001" customHeight="1" x14ac:dyDescent="0.2">
      <c r="A259" s="2" t="s">
        <v>234</v>
      </c>
      <c r="B259" s="25">
        <v>9620000382</v>
      </c>
      <c r="C259" s="26"/>
      <c r="D259" s="26"/>
      <c r="E259" s="27"/>
      <c r="F259" s="30"/>
      <c r="G259" s="28"/>
      <c r="H259" s="29"/>
      <c r="I259" s="31"/>
      <c r="J259" s="32"/>
      <c r="K259" s="33">
        <f t="shared" si="4"/>
        <v>0</v>
      </c>
      <c r="L259" s="32">
        <f t="shared" si="4"/>
        <v>0</v>
      </c>
      <c r="M259" s="30"/>
      <c r="N259" s="34"/>
    </row>
    <row r="260" spans="1:14" s="2" customFormat="1" ht="17.100000000000001" customHeight="1" x14ac:dyDescent="0.2">
      <c r="A260" s="2" t="s">
        <v>236</v>
      </c>
      <c r="B260" s="25">
        <v>9620000385</v>
      </c>
      <c r="C260" s="26"/>
      <c r="D260" s="26"/>
      <c r="E260" s="27"/>
      <c r="F260" s="30"/>
      <c r="G260" s="28"/>
      <c r="H260" s="29"/>
      <c r="I260" s="31"/>
      <c r="J260" s="32"/>
      <c r="K260" s="33">
        <f t="shared" si="4"/>
        <v>0</v>
      </c>
      <c r="L260" s="32">
        <f t="shared" si="4"/>
        <v>0</v>
      </c>
      <c r="M260" s="30"/>
      <c r="N260" s="34"/>
    </row>
    <row r="261" spans="1:14" s="2" customFormat="1" ht="17.100000000000001" customHeight="1" x14ac:dyDescent="0.2">
      <c r="A261" s="2" t="s">
        <v>237</v>
      </c>
      <c r="B261" s="25">
        <v>9620000823</v>
      </c>
      <c r="C261" s="26"/>
      <c r="D261" s="26"/>
      <c r="E261" s="27"/>
      <c r="F261" s="30"/>
      <c r="G261" s="28"/>
      <c r="H261" s="29"/>
      <c r="I261" s="31"/>
      <c r="J261" s="32"/>
      <c r="K261" s="33">
        <f t="shared" si="4"/>
        <v>0</v>
      </c>
      <c r="L261" s="32">
        <f t="shared" si="4"/>
        <v>0</v>
      </c>
      <c r="M261" s="30"/>
      <c r="N261" s="34"/>
    </row>
    <row r="262" spans="1:14" s="2" customFormat="1" ht="17.100000000000001" customHeight="1" x14ac:dyDescent="0.2">
      <c r="A262" s="2" t="s">
        <v>238</v>
      </c>
      <c r="B262" s="25">
        <v>9620000827</v>
      </c>
      <c r="C262" s="26"/>
      <c r="D262" s="26"/>
      <c r="E262" s="27"/>
      <c r="F262" s="30"/>
      <c r="G262" s="28"/>
      <c r="H262" s="29"/>
      <c r="I262" s="31"/>
      <c r="J262" s="32"/>
      <c r="K262" s="33">
        <f t="shared" si="4"/>
        <v>0</v>
      </c>
      <c r="L262" s="32">
        <f t="shared" si="4"/>
        <v>0</v>
      </c>
      <c r="M262" s="30"/>
      <c r="N262" s="34"/>
    </row>
    <row r="263" spans="1:14" s="2" customFormat="1" ht="17.100000000000001" customHeight="1" x14ac:dyDescent="0.2">
      <c r="A263" s="2" t="s">
        <v>239</v>
      </c>
      <c r="B263" s="25">
        <v>9620000831</v>
      </c>
      <c r="C263" s="26"/>
      <c r="D263" s="26"/>
      <c r="E263" s="27"/>
      <c r="F263" s="30"/>
      <c r="G263" s="28"/>
      <c r="H263" s="29"/>
      <c r="I263" s="31"/>
      <c r="J263" s="32"/>
      <c r="K263" s="33">
        <f t="shared" si="4"/>
        <v>0</v>
      </c>
      <c r="L263" s="32">
        <f t="shared" si="4"/>
        <v>0</v>
      </c>
      <c r="M263" s="30"/>
      <c r="N263" s="34"/>
    </row>
    <row r="264" spans="1:14" s="2" customFormat="1" ht="17.100000000000001" customHeight="1" x14ac:dyDescent="0.2">
      <c r="A264" s="2" t="s">
        <v>235</v>
      </c>
      <c r="B264" s="25">
        <v>9620000384</v>
      </c>
      <c r="C264" s="26"/>
      <c r="D264" s="26"/>
      <c r="E264" s="27"/>
      <c r="F264" s="30"/>
      <c r="G264" s="28"/>
      <c r="H264" s="29"/>
      <c r="I264" s="31"/>
      <c r="J264" s="32"/>
      <c r="K264" s="33">
        <f t="shared" si="4"/>
        <v>0</v>
      </c>
      <c r="L264" s="32">
        <f t="shared" si="4"/>
        <v>0</v>
      </c>
      <c r="M264" s="30"/>
      <c r="N264" s="34"/>
    </row>
    <row r="265" spans="1:14" s="2" customFormat="1" ht="17.100000000000001" customHeight="1" x14ac:dyDescent="0.2">
      <c r="A265" s="2" t="s">
        <v>240</v>
      </c>
      <c r="B265" s="25">
        <v>9620000387</v>
      </c>
      <c r="C265" s="26"/>
      <c r="D265" s="26"/>
      <c r="E265" s="27"/>
      <c r="F265" s="30"/>
      <c r="G265" s="28"/>
      <c r="H265" s="29"/>
      <c r="I265" s="31"/>
      <c r="J265" s="32"/>
      <c r="K265" s="33">
        <f t="shared" si="4"/>
        <v>0</v>
      </c>
      <c r="L265" s="32">
        <f t="shared" si="4"/>
        <v>0</v>
      </c>
      <c r="M265" s="30"/>
      <c r="N265" s="34"/>
    </row>
    <row r="266" spans="1:14" s="2" customFormat="1" ht="17.100000000000001" customHeight="1" x14ac:dyDescent="0.2">
      <c r="A266" s="2" t="s">
        <v>241</v>
      </c>
      <c r="B266" s="25">
        <v>9620000389</v>
      </c>
      <c r="C266" s="26"/>
      <c r="D266" s="26"/>
      <c r="E266" s="27"/>
      <c r="F266" s="30"/>
      <c r="G266" s="28"/>
      <c r="H266" s="29"/>
      <c r="I266" s="31"/>
      <c r="J266" s="32"/>
      <c r="K266" s="33">
        <f t="shared" si="4"/>
        <v>0</v>
      </c>
      <c r="L266" s="32">
        <f t="shared" si="4"/>
        <v>0</v>
      </c>
      <c r="M266" s="30"/>
      <c r="N266" s="34"/>
    </row>
    <row r="267" spans="1:14" s="2" customFormat="1" ht="17.100000000000001" customHeight="1" x14ac:dyDescent="0.2">
      <c r="A267" s="2" t="s">
        <v>242</v>
      </c>
      <c r="B267" s="25">
        <v>9620000395</v>
      </c>
      <c r="C267" s="26"/>
      <c r="D267" s="26"/>
      <c r="E267" s="27"/>
      <c r="F267" s="30"/>
      <c r="G267" s="28"/>
      <c r="H267" s="29"/>
      <c r="I267" s="31"/>
      <c r="J267" s="32"/>
      <c r="K267" s="33">
        <f t="shared" si="4"/>
        <v>0</v>
      </c>
      <c r="L267" s="32">
        <f t="shared" si="4"/>
        <v>0</v>
      </c>
      <c r="M267" s="30"/>
      <c r="N267" s="34"/>
    </row>
    <row r="268" spans="1:14" s="2" customFormat="1" ht="17.100000000000001" customHeight="1" x14ac:dyDescent="0.2">
      <c r="A268" s="2" t="s">
        <v>243</v>
      </c>
      <c r="B268" s="25">
        <v>9620000397</v>
      </c>
      <c r="C268" s="26"/>
      <c r="D268" s="26"/>
      <c r="E268" s="27"/>
      <c r="F268" s="30"/>
      <c r="G268" s="28"/>
      <c r="H268" s="29"/>
      <c r="I268" s="31"/>
      <c r="J268" s="32"/>
      <c r="K268" s="33">
        <f t="shared" si="4"/>
        <v>0</v>
      </c>
      <c r="L268" s="32">
        <f t="shared" si="4"/>
        <v>0</v>
      </c>
      <c r="M268" s="30"/>
      <c r="N268" s="34"/>
    </row>
    <row r="269" spans="1:14" s="2" customFormat="1" ht="17.100000000000001" customHeight="1" x14ac:dyDescent="0.2">
      <c r="A269" s="39" t="s">
        <v>244</v>
      </c>
      <c r="B269" s="38">
        <v>9620000399</v>
      </c>
      <c r="C269" s="35"/>
      <c r="D269" s="35"/>
      <c r="E269" s="27"/>
      <c r="F269" s="42"/>
      <c r="G269" s="40"/>
      <c r="H269" s="41"/>
      <c r="I269" s="43"/>
      <c r="J269" s="44"/>
      <c r="K269" s="33">
        <f t="shared" si="4"/>
        <v>0</v>
      </c>
      <c r="L269" s="32">
        <f t="shared" si="4"/>
        <v>0</v>
      </c>
      <c r="M269" s="42"/>
      <c r="N269" s="45"/>
    </row>
    <row r="270" spans="1:14" s="2" customFormat="1" ht="17.100000000000001" customHeight="1" x14ac:dyDescent="0.2">
      <c r="A270" s="2" t="s">
        <v>245</v>
      </c>
      <c r="B270" s="25">
        <v>9620000403</v>
      </c>
      <c r="C270" s="26"/>
      <c r="D270" s="26"/>
      <c r="E270" s="27"/>
      <c r="F270" s="37"/>
      <c r="G270" s="28"/>
      <c r="H270" s="29"/>
      <c r="I270" s="31"/>
      <c r="J270" s="29"/>
      <c r="K270" s="33">
        <f t="shared" si="4"/>
        <v>0</v>
      </c>
      <c r="L270" s="32">
        <f t="shared" si="4"/>
        <v>0</v>
      </c>
      <c r="M270" s="37"/>
      <c r="N270" s="34"/>
    </row>
    <row r="271" spans="1:14" s="2" customFormat="1" ht="17.100000000000001" customHeight="1" x14ac:dyDescent="0.2">
      <c r="A271" s="2" t="s">
        <v>246</v>
      </c>
      <c r="B271" s="25">
        <v>9620000405</v>
      </c>
      <c r="C271" s="26"/>
      <c r="D271" s="26"/>
      <c r="E271" s="27"/>
      <c r="F271" s="30"/>
      <c r="G271" s="28"/>
      <c r="H271" s="29"/>
      <c r="I271" s="31"/>
      <c r="J271" s="32"/>
      <c r="K271" s="33">
        <f t="shared" si="4"/>
        <v>0</v>
      </c>
      <c r="L271" s="32">
        <f t="shared" si="4"/>
        <v>0</v>
      </c>
      <c r="M271" s="30"/>
      <c r="N271" s="34"/>
    </row>
    <row r="272" spans="1:14" s="2" customFormat="1" ht="17.100000000000001" customHeight="1" x14ac:dyDescent="0.2">
      <c r="A272" s="2" t="s">
        <v>247</v>
      </c>
      <c r="B272" s="25">
        <v>9620000834</v>
      </c>
      <c r="C272" s="26"/>
      <c r="D272" s="26"/>
      <c r="E272" s="27"/>
      <c r="F272" s="30"/>
      <c r="G272" s="28"/>
      <c r="H272" s="29"/>
      <c r="I272" s="31"/>
      <c r="J272" s="32"/>
      <c r="K272" s="33">
        <f t="shared" si="4"/>
        <v>0</v>
      </c>
      <c r="L272" s="32">
        <f t="shared" si="4"/>
        <v>0</v>
      </c>
      <c r="M272" s="30"/>
      <c r="N272" s="34"/>
    </row>
    <row r="273" spans="1:14" s="2" customFormat="1" ht="17.100000000000001" customHeight="1" x14ac:dyDescent="0.2">
      <c r="A273" s="2" t="s">
        <v>248</v>
      </c>
      <c r="B273" s="25">
        <v>9620000409</v>
      </c>
      <c r="C273" s="26"/>
      <c r="D273" s="26"/>
      <c r="E273" s="27"/>
      <c r="F273" s="30"/>
      <c r="G273" s="28"/>
      <c r="H273" s="29"/>
      <c r="I273" s="31"/>
      <c r="J273" s="32"/>
      <c r="K273" s="33">
        <f t="shared" si="4"/>
        <v>0</v>
      </c>
      <c r="L273" s="32">
        <f t="shared" si="4"/>
        <v>0</v>
      </c>
      <c r="M273" s="30"/>
      <c r="N273" s="34"/>
    </row>
    <row r="274" spans="1:14" s="2" customFormat="1" ht="17.100000000000001" customHeight="1" x14ac:dyDescent="0.2">
      <c r="A274" s="2" t="s">
        <v>249</v>
      </c>
      <c r="B274" s="25">
        <v>9620000836</v>
      </c>
      <c r="C274" s="26"/>
      <c r="D274" s="26"/>
      <c r="E274" s="27"/>
      <c r="F274" s="30"/>
      <c r="G274" s="28"/>
      <c r="H274" s="29"/>
      <c r="I274" s="31"/>
      <c r="J274" s="32"/>
      <c r="K274" s="33">
        <f t="shared" si="4"/>
        <v>0</v>
      </c>
      <c r="L274" s="32">
        <f t="shared" si="4"/>
        <v>0</v>
      </c>
      <c r="M274" s="30"/>
      <c r="N274" s="34"/>
    </row>
    <row r="275" spans="1:14" s="2" customFormat="1" ht="17.100000000000001" customHeight="1" x14ac:dyDescent="0.2">
      <c r="A275" s="2" t="s">
        <v>250</v>
      </c>
      <c r="B275" s="25">
        <v>9620000411</v>
      </c>
      <c r="C275" s="26"/>
      <c r="D275" s="26"/>
      <c r="E275" s="27"/>
      <c r="F275" s="30"/>
      <c r="G275" s="28"/>
      <c r="H275" s="29"/>
      <c r="I275" s="31"/>
      <c r="J275" s="32"/>
      <c r="K275" s="33">
        <f t="shared" si="4"/>
        <v>0</v>
      </c>
      <c r="L275" s="32">
        <f t="shared" si="4"/>
        <v>0</v>
      </c>
      <c r="M275" s="30"/>
      <c r="N275" s="34"/>
    </row>
    <row r="276" spans="1:14" s="2" customFormat="1" ht="17.100000000000001" customHeight="1" x14ac:dyDescent="0.2">
      <c r="A276" s="47" t="s">
        <v>251</v>
      </c>
      <c r="B276" s="48">
        <v>9620000414</v>
      </c>
      <c r="C276" s="49"/>
      <c r="D276" s="49"/>
      <c r="E276" s="27"/>
      <c r="F276" s="52"/>
      <c r="G276" s="50"/>
      <c r="H276" s="51"/>
      <c r="I276" s="53"/>
      <c r="J276" s="51"/>
      <c r="K276" s="33">
        <f t="shared" si="4"/>
        <v>0</v>
      </c>
      <c r="L276" s="32">
        <f t="shared" si="4"/>
        <v>0</v>
      </c>
      <c r="M276" s="52"/>
      <c r="N276" s="54"/>
    </row>
    <row r="277" spans="1:14" s="2" customFormat="1" ht="17.100000000000001" customHeight="1" x14ac:dyDescent="0.2">
      <c r="A277" s="2" t="s">
        <v>252</v>
      </c>
      <c r="B277" s="25">
        <v>9620000837</v>
      </c>
      <c r="C277" s="26"/>
      <c r="D277" s="26"/>
      <c r="E277" s="27"/>
      <c r="F277" s="37"/>
      <c r="G277" s="28"/>
      <c r="H277" s="29"/>
      <c r="I277" s="31"/>
      <c r="J277" s="29"/>
      <c r="K277" s="33">
        <f t="shared" si="4"/>
        <v>0</v>
      </c>
      <c r="L277" s="32">
        <f t="shared" si="4"/>
        <v>0</v>
      </c>
      <c r="M277" s="37"/>
      <c r="N277" s="34"/>
    </row>
    <row r="278" spans="1:14" s="2" customFormat="1" ht="17.100000000000001" customHeight="1" x14ac:dyDescent="0.2">
      <c r="A278" s="2" t="s">
        <v>253</v>
      </c>
      <c r="B278" s="25">
        <v>9620000838</v>
      </c>
      <c r="C278" s="26"/>
      <c r="D278" s="26"/>
      <c r="E278" s="27"/>
      <c r="F278" s="37"/>
      <c r="G278" s="28"/>
      <c r="H278" s="29"/>
      <c r="I278" s="31"/>
      <c r="J278" s="29"/>
      <c r="K278" s="33">
        <f t="shared" si="4"/>
        <v>0</v>
      </c>
      <c r="L278" s="32">
        <f t="shared" si="4"/>
        <v>0</v>
      </c>
      <c r="M278" s="37"/>
      <c r="N278" s="34"/>
    </row>
    <row r="279" spans="1:14" s="2" customFormat="1" ht="17.100000000000001" customHeight="1" x14ac:dyDescent="0.2">
      <c r="A279" s="2" t="s">
        <v>254</v>
      </c>
      <c r="B279" s="25">
        <v>9620000839</v>
      </c>
      <c r="C279" s="26"/>
      <c r="D279" s="26"/>
      <c r="E279" s="27"/>
      <c r="F279" s="30"/>
      <c r="G279" s="28"/>
      <c r="H279" s="29"/>
      <c r="I279" s="31"/>
      <c r="J279" s="32"/>
      <c r="K279" s="33">
        <f t="shared" si="4"/>
        <v>0</v>
      </c>
      <c r="L279" s="32">
        <f t="shared" si="4"/>
        <v>0</v>
      </c>
      <c r="M279" s="30"/>
      <c r="N279" s="34"/>
    </row>
    <row r="280" spans="1:14" s="2" customFormat="1" ht="17.100000000000001" customHeight="1" x14ac:dyDescent="0.2">
      <c r="A280" s="2" t="s">
        <v>255</v>
      </c>
      <c r="B280" s="25">
        <v>9620000417</v>
      </c>
      <c r="C280" s="26"/>
      <c r="D280" s="26"/>
      <c r="E280" s="27"/>
      <c r="F280" s="30"/>
      <c r="G280" s="28"/>
      <c r="H280" s="29"/>
      <c r="I280" s="31"/>
      <c r="J280" s="32"/>
      <c r="K280" s="33">
        <f t="shared" si="4"/>
        <v>0</v>
      </c>
      <c r="L280" s="32">
        <f t="shared" si="4"/>
        <v>0</v>
      </c>
      <c r="M280" s="30"/>
      <c r="N280" s="34"/>
    </row>
    <row r="281" spans="1:14" s="2" customFormat="1" ht="17.100000000000001" customHeight="1" x14ac:dyDescent="0.2">
      <c r="A281" s="2" t="s">
        <v>256</v>
      </c>
      <c r="B281" s="25">
        <v>9620000418</v>
      </c>
      <c r="C281" s="26"/>
      <c r="D281" s="26"/>
      <c r="E281" s="27"/>
      <c r="F281" s="30"/>
      <c r="G281" s="28"/>
      <c r="H281" s="29"/>
      <c r="I281" s="31"/>
      <c r="J281" s="32"/>
      <c r="K281" s="33">
        <f t="shared" si="4"/>
        <v>0</v>
      </c>
      <c r="L281" s="32">
        <f t="shared" si="4"/>
        <v>0</v>
      </c>
      <c r="M281" s="30"/>
      <c r="N281" s="34"/>
    </row>
    <row r="282" spans="1:14" s="2" customFormat="1" ht="17.100000000000001" customHeight="1" x14ac:dyDescent="0.2">
      <c r="A282" s="2" t="s">
        <v>257</v>
      </c>
      <c r="B282" s="25">
        <v>9620000419</v>
      </c>
      <c r="C282" s="26"/>
      <c r="D282" s="26"/>
      <c r="E282" s="27"/>
      <c r="F282" s="30"/>
      <c r="G282" s="28"/>
      <c r="H282" s="29"/>
      <c r="I282" s="31"/>
      <c r="J282" s="32"/>
      <c r="K282" s="33">
        <f t="shared" si="4"/>
        <v>0</v>
      </c>
      <c r="L282" s="32">
        <f t="shared" si="4"/>
        <v>0</v>
      </c>
      <c r="M282" s="30"/>
      <c r="N282" s="34"/>
    </row>
    <row r="283" spans="1:14" s="2" customFormat="1" ht="17.100000000000001" customHeight="1" x14ac:dyDescent="0.2">
      <c r="A283" s="2" t="s">
        <v>258</v>
      </c>
      <c r="B283" s="25">
        <v>9620000420</v>
      </c>
      <c r="C283" s="26"/>
      <c r="D283" s="26"/>
      <c r="E283" s="27"/>
      <c r="F283" s="30"/>
      <c r="G283" s="28"/>
      <c r="H283" s="29"/>
      <c r="I283" s="31"/>
      <c r="J283" s="32"/>
      <c r="K283" s="33">
        <f t="shared" si="4"/>
        <v>0</v>
      </c>
      <c r="L283" s="32">
        <f t="shared" si="4"/>
        <v>0</v>
      </c>
      <c r="M283" s="30"/>
      <c r="N283" s="34"/>
    </row>
    <row r="284" spans="1:14" s="2" customFormat="1" ht="17.100000000000001" customHeight="1" x14ac:dyDescent="0.2">
      <c r="A284" s="2" t="s">
        <v>259</v>
      </c>
      <c r="B284" s="25">
        <v>9620000421</v>
      </c>
      <c r="C284" s="26"/>
      <c r="D284" s="26"/>
      <c r="E284" s="27"/>
      <c r="F284" s="30"/>
      <c r="G284" s="28"/>
      <c r="H284" s="29"/>
      <c r="I284" s="31"/>
      <c r="J284" s="32"/>
      <c r="K284" s="33">
        <f t="shared" si="4"/>
        <v>0</v>
      </c>
      <c r="L284" s="32">
        <f t="shared" si="4"/>
        <v>0</v>
      </c>
      <c r="M284" s="30"/>
      <c r="N284" s="34"/>
    </row>
    <row r="285" spans="1:14" s="2" customFormat="1" ht="17.100000000000001" customHeight="1" x14ac:dyDescent="0.2">
      <c r="A285" s="2" t="s">
        <v>260</v>
      </c>
      <c r="B285" s="25">
        <v>9620000423</v>
      </c>
      <c r="C285" s="26"/>
      <c r="D285" s="26"/>
      <c r="E285" s="27"/>
      <c r="F285" s="30"/>
      <c r="G285" s="28"/>
      <c r="H285" s="29"/>
      <c r="I285" s="31"/>
      <c r="J285" s="32"/>
      <c r="K285" s="33">
        <f t="shared" si="4"/>
        <v>0</v>
      </c>
      <c r="L285" s="32">
        <f t="shared" si="4"/>
        <v>0</v>
      </c>
      <c r="M285" s="30"/>
      <c r="N285" s="34"/>
    </row>
    <row r="286" spans="1:14" s="2" customFormat="1" ht="17.100000000000001" customHeight="1" x14ac:dyDescent="0.2">
      <c r="A286" s="2" t="s">
        <v>261</v>
      </c>
      <c r="B286" s="25">
        <v>9620000424</v>
      </c>
      <c r="C286" s="26"/>
      <c r="D286" s="26"/>
      <c r="E286" s="27"/>
      <c r="F286" s="30"/>
      <c r="G286" s="28"/>
      <c r="H286" s="29"/>
      <c r="I286" s="31"/>
      <c r="J286" s="32"/>
      <c r="K286" s="33">
        <f t="shared" si="4"/>
        <v>0</v>
      </c>
      <c r="L286" s="32">
        <f t="shared" si="4"/>
        <v>0</v>
      </c>
      <c r="M286" s="30"/>
      <c r="N286" s="34"/>
    </row>
    <row r="287" spans="1:14" s="2" customFormat="1" ht="17.100000000000001" customHeight="1" x14ac:dyDescent="0.2">
      <c r="A287" s="2" t="s">
        <v>262</v>
      </c>
      <c r="B287" s="25">
        <v>9620000428</v>
      </c>
      <c r="C287" s="26"/>
      <c r="D287" s="26"/>
      <c r="E287" s="27"/>
      <c r="F287" s="30"/>
      <c r="G287" s="28"/>
      <c r="H287" s="29"/>
      <c r="I287" s="31"/>
      <c r="J287" s="32"/>
      <c r="K287" s="33">
        <f t="shared" si="4"/>
        <v>0</v>
      </c>
      <c r="L287" s="32">
        <f t="shared" si="4"/>
        <v>0</v>
      </c>
      <c r="M287" s="30"/>
      <c r="N287" s="34"/>
    </row>
    <row r="288" spans="1:14" s="2" customFormat="1" ht="17.100000000000001" customHeight="1" x14ac:dyDescent="0.2">
      <c r="A288" s="2" t="s">
        <v>263</v>
      </c>
      <c r="B288" s="25">
        <v>9620000431</v>
      </c>
      <c r="C288" s="26"/>
      <c r="D288" s="26"/>
      <c r="E288" s="27"/>
      <c r="F288" s="30"/>
      <c r="G288" s="28"/>
      <c r="H288" s="29"/>
      <c r="I288" s="31"/>
      <c r="J288" s="32"/>
      <c r="K288" s="33">
        <f t="shared" si="4"/>
        <v>0</v>
      </c>
      <c r="L288" s="32">
        <f t="shared" si="4"/>
        <v>0</v>
      </c>
      <c r="M288" s="30"/>
      <c r="N288" s="34"/>
    </row>
    <row r="289" spans="1:14" s="2" customFormat="1" ht="17.100000000000001" customHeight="1" x14ac:dyDescent="0.2">
      <c r="A289" s="2" t="s">
        <v>264</v>
      </c>
      <c r="B289" s="25">
        <v>9620000432</v>
      </c>
      <c r="C289" s="26"/>
      <c r="D289" s="26"/>
      <c r="E289" s="27"/>
      <c r="F289" s="30"/>
      <c r="G289" s="28"/>
      <c r="H289" s="29"/>
      <c r="I289" s="31"/>
      <c r="J289" s="32"/>
      <c r="K289" s="33">
        <f t="shared" si="4"/>
        <v>0</v>
      </c>
      <c r="L289" s="32">
        <f t="shared" si="4"/>
        <v>0</v>
      </c>
      <c r="M289" s="30"/>
      <c r="N289" s="34"/>
    </row>
    <row r="290" spans="1:14" s="2" customFormat="1" ht="17.100000000000001" customHeight="1" x14ac:dyDescent="0.2">
      <c r="A290" s="2" t="s">
        <v>265</v>
      </c>
      <c r="B290" s="25">
        <v>9620000433</v>
      </c>
      <c r="C290" s="26"/>
      <c r="D290" s="26"/>
      <c r="E290" s="27"/>
      <c r="F290" s="37"/>
      <c r="G290" s="28"/>
      <c r="H290" s="29"/>
      <c r="I290" s="31"/>
      <c r="J290" s="29"/>
      <c r="K290" s="33">
        <f t="shared" si="4"/>
        <v>0</v>
      </c>
      <c r="L290" s="32">
        <f t="shared" si="4"/>
        <v>0</v>
      </c>
      <c r="M290" s="37"/>
      <c r="N290" s="34"/>
    </row>
    <row r="291" spans="1:14" s="2" customFormat="1" ht="17.100000000000001" customHeight="1" x14ac:dyDescent="0.2">
      <c r="A291" s="39" t="s">
        <v>266</v>
      </c>
      <c r="B291" s="38">
        <v>9620000435</v>
      </c>
      <c r="C291" s="35"/>
      <c r="D291" s="35"/>
      <c r="E291" s="27"/>
      <c r="F291" s="42"/>
      <c r="G291" s="40"/>
      <c r="H291" s="41"/>
      <c r="I291" s="43"/>
      <c r="J291" s="44"/>
      <c r="K291" s="33">
        <f t="shared" si="4"/>
        <v>0</v>
      </c>
      <c r="L291" s="32">
        <f t="shared" si="4"/>
        <v>0</v>
      </c>
      <c r="M291" s="42"/>
      <c r="N291" s="45"/>
    </row>
    <row r="292" spans="1:14" s="2" customFormat="1" ht="17.100000000000001" customHeight="1" x14ac:dyDescent="0.2">
      <c r="A292" s="2" t="s">
        <v>266</v>
      </c>
      <c r="B292" s="25">
        <v>9620000842</v>
      </c>
      <c r="C292" s="26"/>
      <c r="D292" s="35"/>
      <c r="E292" s="27"/>
      <c r="F292" s="30"/>
      <c r="G292" s="28"/>
      <c r="H292" s="29"/>
      <c r="I292" s="31"/>
      <c r="J292" s="32"/>
      <c r="K292" s="33">
        <f t="shared" si="4"/>
        <v>0</v>
      </c>
      <c r="L292" s="32">
        <f t="shared" si="4"/>
        <v>0</v>
      </c>
      <c r="M292" s="30"/>
      <c r="N292" s="34"/>
    </row>
    <row r="293" spans="1:14" s="2" customFormat="1" ht="17.100000000000001" customHeight="1" x14ac:dyDescent="0.2">
      <c r="A293" s="2" t="s">
        <v>267</v>
      </c>
      <c r="B293" s="25">
        <v>9620000844</v>
      </c>
      <c r="C293" s="26"/>
      <c r="D293" s="35"/>
      <c r="E293" s="27"/>
      <c r="F293" s="30"/>
      <c r="G293" s="28"/>
      <c r="H293" s="29"/>
      <c r="I293" s="31"/>
      <c r="J293" s="32"/>
      <c r="K293" s="33">
        <f t="shared" si="4"/>
        <v>0</v>
      </c>
      <c r="L293" s="32">
        <f t="shared" si="4"/>
        <v>0</v>
      </c>
      <c r="M293" s="30"/>
      <c r="N293" s="34"/>
    </row>
    <row r="294" spans="1:14" s="2" customFormat="1" ht="17.100000000000001" customHeight="1" x14ac:dyDescent="0.2">
      <c r="A294" s="2" t="s">
        <v>268</v>
      </c>
      <c r="B294" s="25">
        <v>9620000845</v>
      </c>
      <c r="C294" s="26"/>
      <c r="D294" s="35"/>
      <c r="E294" s="27"/>
      <c r="F294" s="30"/>
      <c r="G294" s="28"/>
      <c r="H294" s="29"/>
      <c r="I294" s="31"/>
      <c r="J294" s="32"/>
      <c r="K294" s="33">
        <f t="shared" si="4"/>
        <v>0</v>
      </c>
      <c r="L294" s="32">
        <f t="shared" si="4"/>
        <v>0</v>
      </c>
      <c r="M294" s="30"/>
      <c r="N294" s="34"/>
    </row>
    <row r="295" spans="1:14" s="2" customFormat="1" ht="17.100000000000001" customHeight="1" x14ac:dyDescent="0.2">
      <c r="A295" s="2" t="s">
        <v>269</v>
      </c>
      <c r="B295" s="25">
        <v>9620000846</v>
      </c>
      <c r="C295" s="26"/>
      <c r="D295" s="35"/>
      <c r="E295" s="27"/>
      <c r="F295" s="30"/>
      <c r="G295" s="28"/>
      <c r="H295" s="29"/>
      <c r="I295" s="31"/>
      <c r="J295" s="32"/>
      <c r="K295" s="33">
        <f t="shared" si="4"/>
        <v>0</v>
      </c>
      <c r="L295" s="32">
        <f t="shared" si="4"/>
        <v>0</v>
      </c>
      <c r="M295" s="30"/>
      <c r="N295" s="34"/>
    </row>
    <row r="296" spans="1:14" s="2" customFormat="1" ht="17.100000000000001" customHeight="1" x14ac:dyDescent="0.2">
      <c r="A296" s="2" t="s">
        <v>270</v>
      </c>
      <c r="B296" s="25">
        <v>9620000847</v>
      </c>
      <c r="C296" s="26"/>
      <c r="D296" s="35"/>
      <c r="E296" s="27"/>
      <c r="F296" s="30"/>
      <c r="G296" s="28"/>
      <c r="H296" s="29"/>
      <c r="I296" s="31"/>
      <c r="J296" s="32"/>
      <c r="K296" s="33">
        <f t="shared" si="4"/>
        <v>0</v>
      </c>
      <c r="L296" s="32">
        <f t="shared" si="4"/>
        <v>0</v>
      </c>
      <c r="M296" s="30"/>
      <c r="N296" s="34"/>
    </row>
    <row r="297" spans="1:14" s="2" customFormat="1" ht="17.100000000000001" customHeight="1" x14ac:dyDescent="0.2">
      <c r="A297" s="2" t="s">
        <v>271</v>
      </c>
      <c r="B297" s="25">
        <v>9620000849</v>
      </c>
      <c r="C297" s="26"/>
      <c r="D297" s="35"/>
      <c r="E297" s="27"/>
      <c r="F297" s="30"/>
      <c r="G297" s="28"/>
      <c r="H297" s="29"/>
      <c r="I297" s="31"/>
      <c r="J297" s="32"/>
      <c r="K297" s="33">
        <f t="shared" si="4"/>
        <v>0</v>
      </c>
      <c r="L297" s="32">
        <f t="shared" si="4"/>
        <v>0</v>
      </c>
      <c r="M297" s="30"/>
      <c r="N297" s="34"/>
    </row>
    <row r="298" spans="1:14" s="2" customFormat="1" ht="17.100000000000001" customHeight="1" x14ac:dyDescent="0.2">
      <c r="A298" s="2" t="s">
        <v>272</v>
      </c>
      <c r="B298" s="25">
        <v>9620000850</v>
      </c>
      <c r="C298" s="26"/>
      <c r="D298" s="35"/>
      <c r="E298" s="27"/>
      <c r="F298" s="30"/>
      <c r="G298" s="28"/>
      <c r="H298" s="29"/>
      <c r="I298" s="31"/>
      <c r="J298" s="32"/>
      <c r="K298" s="33">
        <f t="shared" si="4"/>
        <v>0</v>
      </c>
      <c r="L298" s="32">
        <f t="shared" si="4"/>
        <v>0</v>
      </c>
      <c r="M298" s="30"/>
      <c r="N298" s="34"/>
    </row>
    <row r="299" spans="1:14" s="2" customFormat="1" ht="17.100000000000001" customHeight="1" x14ac:dyDescent="0.2">
      <c r="A299" s="2" t="s">
        <v>273</v>
      </c>
      <c r="B299" s="25">
        <v>9620000851</v>
      </c>
      <c r="C299" s="26"/>
      <c r="D299" s="35"/>
      <c r="E299" s="27"/>
      <c r="F299" s="30"/>
      <c r="G299" s="28"/>
      <c r="H299" s="29"/>
      <c r="I299" s="31"/>
      <c r="J299" s="32"/>
      <c r="K299" s="33">
        <f t="shared" si="4"/>
        <v>0</v>
      </c>
      <c r="L299" s="32">
        <f t="shared" si="4"/>
        <v>0</v>
      </c>
      <c r="M299" s="30"/>
      <c r="N299" s="34"/>
    </row>
    <row r="300" spans="1:14" s="2" customFormat="1" ht="17.100000000000001" customHeight="1" x14ac:dyDescent="0.2">
      <c r="A300" s="2" t="s">
        <v>274</v>
      </c>
      <c r="B300" s="25">
        <v>9620000852</v>
      </c>
      <c r="C300" s="26"/>
      <c r="D300" s="35"/>
      <c r="E300" s="27"/>
      <c r="F300" s="30"/>
      <c r="G300" s="28"/>
      <c r="H300" s="29"/>
      <c r="I300" s="31"/>
      <c r="J300" s="32"/>
      <c r="K300" s="33">
        <f t="shared" si="4"/>
        <v>0</v>
      </c>
      <c r="L300" s="32">
        <f t="shared" si="4"/>
        <v>0</v>
      </c>
      <c r="M300" s="30"/>
      <c r="N300" s="34"/>
    </row>
    <row r="301" spans="1:14" s="2" customFormat="1" ht="17.100000000000001" customHeight="1" x14ac:dyDescent="0.2">
      <c r="A301" s="2" t="s">
        <v>275</v>
      </c>
      <c r="B301" s="25">
        <v>9620000853</v>
      </c>
      <c r="C301" s="26"/>
      <c r="D301" s="35"/>
      <c r="E301" s="27"/>
      <c r="F301" s="30"/>
      <c r="G301" s="28"/>
      <c r="H301" s="29"/>
      <c r="I301" s="31"/>
      <c r="J301" s="32"/>
      <c r="K301" s="33">
        <f t="shared" si="4"/>
        <v>0</v>
      </c>
      <c r="L301" s="32">
        <f t="shared" si="4"/>
        <v>0</v>
      </c>
      <c r="M301" s="30"/>
      <c r="N301" s="34"/>
    </row>
    <row r="302" spans="1:14" s="2" customFormat="1" ht="17.100000000000001" customHeight="1" x14ac:dyDescent="0.2">
      <c r="A302" s="2" t="s">
        <v>276</v>
      </c>
      <c r="B302" s="25">
        <v>9620000854</v>
      </c>
      <c r="C302" s="26"/>
      <c r="D302" s="35"/>
      <c r="E302" s="27"/>
      <c r="F302" s="30"/>
      <c r="G302" s="28"/>
      <c r="H302" s="29"/>
      <c r="I302" s="31"/>
      <c r="J302" s="32"/>
      <c r="K302" s="33">
        <f t="shared" si="4"/>
        <v>0</v>
      </c>
      <c r="L302" s="32">
        <f t="shared" si="4"/>
        <v>0</v>
      </c>
      <c r="M302" s="30"/>
      <c r="N302" s="34"/>
    </row>
    <row r="303" spans="1:14" s="2" customFormat="1" ht="17.100000000000001" customHeight="1" x14ac:dyDescent="0.2">
      <c r="A303" s="2" t="s">
        <v>277</v>
      </c>
      <c r="B303" s="25">
        <v>9620000443</v>
      </c>
      <c r="C303" s="26"/>
      <c r="D303" s="26"/>
      <c r="E303" s="27"/>
      <c r="F303" s="30"/>
      <c r="G303" s="28"/>
      <c r="H303" s="29"/>
      <c r="I303" s="31"/>
      <c r="J303" s="32"/>
      <c r="K303" s="33">
        <f t="shared" si="4"/>
        <v>0</v>
      </c>
      <c r="L303" s="32">
        <f t="shared" si="4"/>
        <v>0</v>
      </c>
      <c r="M303" s="30"/>
      <c r="N303" s="34"/>
    </row>
    <row r="304" spans="1:14" s="2" customFormat="1" ht="17.100000000000001" customHeight="1" x14ac:dyDescent="0.2">
      <c r="A304" s="2" t="s">
        <v>278</v>
      </c>
      <c r="B304" s="25">
        <v>9620000447</v>
      </c>
      <c r="C304" s="26"/>
      <c r="D304" s="26"/>
      <c r="E304" s="27"/>
      <c r="F304" s="30"/>
      <c r="G304" s="28"/>
      <c r="H304" s="29"/>
      <c r="I304" s="31"/>
      <c r="J304" s="32"/>
      <c r="K304" s="33">
        <f t="shared" si="4"/>
        <v>0</v>
      </c>
      <c r="L304" s="32">
        <f t="shared" si="4"/>
        <v>0</v>
      </c>
      <c r="M304" s="30"/>
      <c r="N304" s="34"/>
    </row>
    <row r="305" spans="1:14" s="2" customFormat="1" ht="17.100000000000001" customHeight="1" x14ac:dyDescent="0.2">
      <c r="A305" s="2" t="s">
        <v>279</v>
      </c>
      <c r="B305" s="25">
        <v>9620000448</v>
      </c>
      <c r="C305" s="26"/>
      <c r="D305" s="26"/>
      <c r="E305" s="27"/>
      <c r="F305" s="30"/>
      <c r="G305" s="28"/>
      <c r="H305" s="29"/>
      <c r="I305" s="31"/>
      <c r="J305" s="32"/>
      <c r="K305" s="33">
        <f t="shared" si="4"/>
        <v>0</v>
      </c>
      <c r="L305" s="32">
        <f t="shared" si="4"/>
        <v>0</v>
      </c>
      <c r="M305" s="30"/>
      <c r="N305" s="34"/>
    </row>
    <row r="306" spans="1:14" s="2" customFormat="1" ht="17.100000000000001" customHeight="1" x14ac:dyDescent="0.2">
      <c r="A306" s="2" t="s">
        <v>280</v>
      </c>
      <c r="B306" s="25">
        <v>9620000855</v>
      </c>
      <c r="C306" s="26"/>
      <c r="D306" s="26"/>
      <c r="E306" s="27"/>
      <c r="F306" s="30"/>
      <c r="G306" s="28"/>
      <c r="H306" s="29"/>
      <c r="I306" s="31"/>
      <c r="J306" s="32"/>
      <c r="K306" s="33">
        <f t="shared" si="4"/>
        <v>0</v>
      </c>
      <c r="L306" s="32">
        <f t="shared" si="4"/>
        <v>0</v>
      </c>
      <c r="M306" s="30"/>
      <c r="N306" s="34"/>
    </row>
    <row r="307" spans="1:14" s="2" customFormat="1" ht="17.100000000000001" customHeight="1" x14ac:dyDescent="0.2">
      <c r="A307" s="2" t="s">
        <v>280</v>
      </c>
      <c r="B307" s="25">
        <v>9620000858</v>
      </c>
      <c r="C307" s="26"/>
      <c r="D307" s="26"/>
      <c r="E307" s="27"/>
      <c r="F307" s="30"/>
      <c r="G307" s="28"/>
      <c r="H307" s="29"/>
      <c r="I307" s="31"/>
      <c r="J307" s="32"/>
      <c r="K307" s="33">
        <f t="shared" si="4"/>
        <v>0</v>
      </c>
      <c r="L307" s="32">
        <f t="shared" si="4"/>
        <v>0</v>
      </c>
      <c r="M307" s="30"/>
      <c r="N307" s="34"/>
    </row>
    <row r="308" spans="1:14" s="2" customFormat="1" ht="17.100000000000001" customHeight="1" x14ac:dyDescent="0.2">
      <c r="A308" s="39" t="s">
        <v>281</v>
      </c>
      <c r="B308" s="38">
        <v>9620000456</v>
      </c>
      <c r="C308" s="35"/>
      <c r="D308" s="35"/>
      <c r="E308" s="27"/>
      <c r="F308" s="42"/>
      <c r="G308" s="40"/>
      <c r="H308" s="41"/>
      <c r="I308" s="43"/>
      <c r="J308" s="44"/>
      <c r="K308" s="33">
        <f t="shared" si="4"/>
        <v>0</v>
      </c>
      <c r="L308" s="32">
        <f t="shared" si="4"/>
        <v>0</v>
      </c>
      <c r="M308" s="42"/>
      <c r="N308" s="45"/>
    </row>
    <row r="309" spans="1:14" s="2" customFormat="1" ht="17.100000000000001" customHeight="1" x14ac:dyDescent="0.2">
      <c r="A309" s="2" t="s">
        <v>282</v>
      </c>
      <c r="B309" s="25">
        <v>9620000460</v>
      </c>
      <c r="C309" s="26"/>
      <c r="D309" s="26"/>
      <c r="E309" s="27"/>
      <c r="F309" s="30"/>
      <c r="G309" s="28"/>
      <c r="H309" s="29"/>
      <c r="I309" s="31"/>
      <c r="J309" s="32"/>
      <c r="K309" s="33">
        <f t="shared" si="4"/>
        <v>0</v>
      </c>
      <c r="L309" s="32">
        <f t="shared" si="4"/>
        <v>0</v>
      </c>
      <c r="M309" s="30"/>
      <c r="N309" s="34"/>
    </row>
    <row r="310" spans="1:14" s="2" customFormat="1" ht="17.100000000000001" customHeight="1" x14ac:dyDescent="0.2">
      <c r="A310" s="2" t="s">
        <v>283</v>
      </c>
      <c r="B310" s="25">
        <v>9620000462</v>
      </c>
      <c r="C310" s="26"/>
      <c r="D310" s="26"/>
      <c r="E310" s="27"/>
      <c r="F310" s="30"/>
      <c r="G310" s="28"/>
      <c r="H310" s="29"/>
      <c r="I310" s="31"/>
      <c r="J310" s="32"/>
      <c r="K310" s="33">
        <f t="shared" si="4"/>
        <v>0</v>
      </c>
      <c r="L310" s="32">
        <f t="shared" si="4"/>
        <v>0</v>
      </c>
      <c r="M310" s="30"/>
      <c r="N310" s="34"/>
    </row>
    <row r="311" spans="1:14" s="2" customFormat="1" ht="17.100000000000001" customHeight="1" x14ac:dyDescent="0.2">
      <c r="A311" s="2" t="s">
        <v>284</v>
      </c>
      <c r="B311" s="25">
        <v>9620000860</v>
      </c>
      <c r="C311" s="26"/>
      <c r="D311" s="26"/>
      <c r="E311" s="27"/>
      <c r="F311" s="30"/>
      <c r="G311" s="28"/>
      <c r="H311" s="29"/>
      <c r="I311" s="31"/>
      <c r="J311" s="32"/>
      <c r="K311" s="33">
        <f t="shared" si="4"/>
        <v>0</v>
      </c>
      <c r="L311" s="32">
        <f t="shared" si="4"/>
        <v>0</v>
      </c>
      <c r="M311" s="30"/>
      <c r="N311" s="34"/>
    </row>
    <row r="312" spans="1:14" s="2" customFormat="1" ht="17.100000000000001" customHeight="1" x14ac:dyDescent="0.2">
      <c r="A312" s="2" t="s">
        <v>285</v>
      </c>
      <c r="B312" s="25">
        <v>9620000464</v>
      </c>
      <c r="C312" s="26"/>
      <c r="D312" s="26"/>
      <c r="E312" s="27"/>
      <c r="F312" s="30"/>
      <c r="G312" s="28"/>
      <c r="H312" s="29"/>
      <c r="I312" s="31"/>
      <c r="J312" s="32"/>
      <c r="K312" s="33">
        <f t="shared" si="4"/>
        <v>0</v>
      </c>
      <c r="L312" s="32">
        <f t="shared" si="4"/>
        <v>0</v>
      </c>
      <c r="M312" s="30"/>
      <c r="N312" s="34"/>
    </row>
    <row r="313" spans="1:14" s="2" customFormat="1" ht="17.100000000000001" customHeight="1" x14ac:dyDescent="0.2">
      <c r="A313" s="2" t="s">
        <v>286</v>
      </c>
      <c r="B313" s="25">
        <v>9620000467</v>
      </c>
      <c r="C313" s="26"/>
      <c r="D313" s="26"/>
      <c r="E313" s="27"/>
      <c r="F313" s="30"/>
      <c r="G313" s="28"/>
      <c r="H313" s="29"/>
      <c r="I313" s="31"/>
      <c r="J313" s="32"/>
      <c r="K313" s="33">
        <f t="shared" si="4"/>
        <v>0</v>
      </c>
      <c r="L313" s="32">
        <f t="shared" si="4"/>
        <v>0</v>
      </c>
      <c r="M313" s="30"/>
      <c r="N313" s="34"/>
    </row>
    <row r="314" spans="1:14" s="2" customFormat="1" ht="17.100000000000001" customHeight="1" x14ac:dyDescent="0.2">
      <c r="A314" s="2" t="s">
        <v>287</v>
      </c>
      <c r="B314" s="25">
        <v>9620000468</v>
      </c>
      <c r="C314" s="26"/>
      <c r="D314" s="26"/>
      <c r="E314" s="27"/>
      <c r="F314" s="30"/>
      <c r="G314" s="28"/>
      <c r="H314" s="29"/>
      <c r="I314" s="31"/>
      <c r="J314" s="32"/>
      <c r="K314" s="33">
        <f t="shared" si="4"/>
        <v>0</v>
      </c>
      <c r="L314" s="32">
        <f t="shared" si="4"/>
        <v>0</v>
      </c>
      <c r="M314" s="30"/>
      <c r="N314" s="34"/>
    </row>
    <row r="315" spans="1:14" s="2" customFormat="1" ht="17.100000000000001" customHeight="1" x14ac:dyDescent="0.2">
      <c r="A315" s="2" t="s">
        <v>288</v>
      </c>
      <c r="B315" s="25">
        <v>9620000472</v>
      </c>
      <c r="C315" s="26"/>
      <c r="D315" s="26"/>
      <c r="E315" s="27"/>
      <c r="F315" s="30"/>
      <c r="G315" s="28"/>
      <c r="H315" s="29"/>
      <c r="I315" s="31"/>
      <c r="J315" s="32"/>
      <c r="K315" s="33">
        <f t="shared" si="4"/>
        <v>0</v>
      </c>
      <c r="L315" s="32">
        <f t="shared" si="4"/>
        <v>0</v>
      </c>
      <c r="M315" s="30"/>
      <c r="N315" s="34"/>
    </row>
    <row r="316" spans="1:14" s="2" customFormat="1" ht="17.100000000000001" customHeight="1" x14ac:dyDescent="0.2">
      <c r="A316" s="2" t="s">
        <v>289</v>
      </c>
      <c r="B316" s="25">
        <v>9620000474</v>
      </c>
      <c r="C316" s="26"/>
      <c r="D316" s="26"/>
      <c r="E316" s="27"/>
      <c r="F316" s="30"/>
      <c r="G316" s="28"/>
      <c r="H316" s="29"/>
      <c r="I316" s="31"/>
      <c r="J316" s="32"/>
      <c r="K316" s="33">
        <f t="shared" si="4"/>
        <v>0</v>
      </c>
      <c r="L316" s="32">
        <f t="shared" si="4"/>
        <v>0</v>
      </c>
      <c r="M316" s="30"/>
      <c r="N316" s="34"/>
    </row>
    <row r="317" spans="1:14" s="2" customFormat="1" ht="17.100000000000001" customHeight="1" x14ac:dyDescent="0.2">
      <c r="A317" s="2" t="s">
        <v>290</v>
      </c>
      <c r="B317" s="25">
        <v>9620000475</v>
      </c>
      <c r="C317" s="26"/>
      <c r="D317" s="26"/>
      <c r="E317" s="27"/>
      <c r="F317" s="30"/>
      <c r="G317" s="28"/>
      <c r="H317" s="29"/>
      <c r="I317" s="31"/>
      <c r="J317" s="32"/>
      <c r="K317" s="33">
        <f t="shared" si="4"/>
        <v>0</v>
      </c>
      <c r="L317" s="32">
        <f t="shared" si="4"/>
        <v>0</v>
      </c>
      <c r="M317" s="30"/>
      <c r="N317" s="34"/>
    </row>
    <row r="318" spans="1:14" s="2" customFormat="1" ht="17.100000000000001" customHeight="1" x14ac:dyDescent="0.2">
      <c r="A318" s="2" t="s">
        <v>291</v>
      </c>
      <c r="B318" s="25">
        <v>9620000476</v>
      </c>
      <c r="C318" s="26"/>
      <c r="D318" s="26"/>
      <c r="E318" s="27"/>
      <c r="F318" s="30"/>
      <c r="G318" s="28"/>
      <c r="H318" s="29"/>
      <c r="I318" s="31"/>
      <c r="J318" s="32"/>
      <c r="K318" s="33">
        <f t="shared" si="4"/>
        <v>0</v>
      </c>
      <c r="L318" s="32">
        <f t="shared" si="4"/>
        <v>0</v>
      </c>
      <c r="M318" s="30"/>
      <c r="N318" s="34"/>
    </row>
    <row r="319" spans="1:14" s="2" customFormat="1" ht="17.100000000000001" customHeight="1" x14ac:dyDescent="0.2">
      <c r="A319" s="2" t="s">
        <v>292</v>
      </c>
      <c r="B319" s="25">
        <v>9620000477</v>
      </c>
      <c r="C319" s="26"/>
      <c r="D319" s="26"/>
      <c r="E319" s="27"/>
      <c r="F319" s="30"/>
      <c r="G319" s="28"/>
      <c r="H319" s="29"/>
      <c r="I319" s="31"/>
      <c r="J319" s="32"/>
      <c r="K319" s="33">
        <f t="shared" si="4"/>
        <v>0</v>
      </c>
      <c r="L319" s="32">
        <f t="shared" si="4"/>
        <v>0</v>
      </c>
      <c r="M319" s="30"/>
      <c r="N319" s="34"/>
    </row>
    <row r="320" spans="1:14" s="2" customFormat="1" ht="17.100000000000001" customHeight="1" x14ac:dyDescent="0.2">
      <c r="A320" s="2" t="s">
        <v>293</v>
      </c>
      <c r="B320" s="25">
        <v>9620000478</v>
      </c>
      <c r="C320" s="26"/>
      <c r="D320" s="26"/>
      <c r="E320" s="27"/>
      <c r="F320" s="30"/>
      <c r="G320" s="28"/>
      <c r="H320" s="29"/>
      <c r="I320" s="31"/>
      <c r="J320" s="32"/>
      <c r="K320" s="33">
        <f t="shared" si="4"/>
        <v>0</v>
      </c>
      <c r="L320" s="32">
        <f t="shared" si="4"/>
        <v>0</v>
      </c>
      <c r="M320" s="30"/>
      <c r="N320" s="34"/>
    </row>
    <row r="321" spans="1:14" s="2" customFormat="1" ht="17.100000000000001" customHeight="1" x14ac:dyDescent="0.2">
      <c r="A321" s="2" t="s">
        <v>294</v>
      </c>
      <c r="B321" s="25">
        <v>9620000481</v>
      </c>
      <c r="C321" s="26"/>
      <c r="D321" s="26"/>
      <c r="E321" s="27"/>
      <c r="F321" s="30"/>
      <c r="G321" s="28"/>
      <c r="H321" s="29"/>
      <c r="I321" s="31"/>
      <c r="J321" s="32"/>
      <c r="K321" s="33">
        <f t="shared" si="4"/>
        <v>0</v>
      </c>
      <c r="L321" s="32">
        <f t="shared" si="4"/>
        <v>0</v>
      </c>
      <c r="M321" s="30"/>
      <c r="N321" s="34"/>
    </row>
    <row r="322" spans="1:14" s="2" customFormat="1" ht="17.100000000000001" customHeight="1" x14ac:dyDescent="0.2">
      <c r="A322" s="2" t="s">
        <v>295</v>
      </c>
      <c r="B322" s="25">
        <v>9620000494</v>
      </c>
      <c r="C322" s="26"/>
      <c r="D322" s="26"/>
      <c r="E322" s="27"/>
      <c r="F322" s="30"/>
      <c r="G322" s="28"/>
      <c r="H322" s="29"/>
      <c r="I322" s="31"/>
      <c r="J322" s="32"/>
      <c r="K322" s="33">
        <f t="shared" ref="K322:L385" si="5">G322-I322</f>
        <v>0</v>
      </c>
      <c r="L322" s="32">
        <f t="shared" si="5"/>
        <v>0</v>
      </c>
      <c r="M322" s="30"/>
      <c r="N322" s="34"/>
    </row>
    <row r="323" spans="1:14" s="2" customFormat="1" ht="17.100000000000001" customHeight="1" x14ac:dyDescent="0.2">
      <c r="A323" s="2" t="s">
        <v>296</v>
      </c>
      <c r="B323" s="25">
        <v>9620047085</v>
      </c>
      <c r="C323" s="26"/>
      <c r="D323" s="26"/>
      <c r="E323" s="27"/>
      <c r="F323" s="30"/>
      <c r="G323" s="28"/>
      <c r="H323" s="29"/>
      <c r="I323" s="31"/>
      <c r="J323" s="32"/>
      <c r="K323" s="33">
        <f t="shared" si="5"/>
        <v>0</v>
      </c>
      <c r="L323" s="32">
        <f t="shared" si="5"/>
        <v>0</v>
      </c>
      <c r="M323" s="30"/>
      <c r="N323" s="34"/>
    </row>
    <row r="324" spans="1:14" s="2" customFormat="1" ht="17.100000000000001" customHeight="1" x14ac:dyDescent="0.2">
      <c r="A324" s="2" t="s">
        <v>297</v>
      </c>
      <c r="B324" s="25">
        <v>9620000500</v>
      </c>
      <c r="C324" s="26"/>
      <c r="D324" s="26"/>
      <c r="E324" s="27"/>
      <c r="F324" s="30"/>
      <c r="G324" s="28"/>
      <c r="H324" s="29"/>
      <c r="I324" s="31"/>
      <c r="J324" s="32"/>
      <c r="K324" s="33">
        <f t="shared" si="5"/>
        <v>0</v>
      </c>
      <c r="L324" s="32">
        <f t="shared" si="5"/>
        <v>0</v>
      </c>
      <c r="M324" s="30"/>
      <c r="N324" s="34"/>
    </row>
    <row r="325" spans="1:14" s="2" customFormat="1" ht="17.100000000000001" customHeight="1" x14ac:dyDescent="0.2">
      <c r="A325" s="2" t="s">
        <v>298</v>
      </c>
      <c r="B325" s="25">
        <v>9620000503</v>
      </c>
      <c r="C325" s="26"/>
      <c r="D325" s="26"/>
      <c r="E325" s="27"/>
      <c r="F325" s="30"/>
      <c r="G325" s="28"/>
      <c r="H325" s="29"/>
      <c r="I325" s="31"/>
      <c r="J325" s="32"/>
      <c r="K325" s="33">
        <f t="shared" si="5"/>
        <v>0</v>
      </c>
      <c r="L325" s="32">
        <f t="shared" si="5"/>
        <v>0</v>
      </c>
      <c r="M325" s="30"/>
      <c r="N325" s="34"/>
    </row>
    <row r="326" spans="1:14" s="2" customFormat="1" ht="17.100000000000001" customHeight="1" x14ac:dyDescent="0.2">
      <c r="A326" s="2" t="s">
        <v>299</v>
      </c>
      <c r="B326" s="25">
        <v>9620000507</v>
      </c>
      <c r="C326" s="26"/>
      <c r="D326" s="26"/>
      <c r="E326" s="27"/>
      <c r="F326" s="30"/>
      <c r="G326" s="28"/>
      <c r="H326" s="29"/>
      <c r="I326" s="31"/>
      <c r="J326" s="32"/>
      <c r="K326" s="33">
        <f t="shared" si="5"/>
        <v>0</v>
      </c>
      <c r="L326" s="32">
        <f t="shared" si="5"/>
        <v>0</v>
      </c>
      <c r="M326" s="30"/>
      <c r="N326" s="34"/>
    </row>
    <row r="327" spans="1:14" s="2" customFormat="1" ht="17.100000000000001" customHeight="1" x14ac:dyDescent="0.2">
      <c r="A327" s="2" t="s">
        <v>300</v>
      </c>
      <c r="B327" s="25">
        <v>9620000509</v>
      </c>
      <c r="C327" s="26"/>
      <c r="D327" s="26"/>
      <c r="E327" s="27"/>
      <c r="F327" s="30"/>
      <c r="G327" s="28"/>
      <c r="H327" s="29"/>
      <c r="I327" s="31"/>
      <c r="J327" s="32"/>
      <c r="K327" s="33">
        <f t="shared" si="5"/>
        <v>0</v>
      </c>
      <c r="L327" s="32">
        <f t="shared" si="5"/>
        <v>0</v>
      </c>
      <c r="M327" s="30"/>
      <c r="N327" s="34"/>
    </row>
    <row r="328" spans="1:14" s="2" customFormat="1" ht="17.100000000000001" customHeight="1" x14ac:dyDescent="0.2">
      <c r="A328" s="2" t="s">
        <v>301</v>
      </c>
      <c r="B328" s="25">
        <v>9620000512</v>
      </c>
      <c r="C328" s="26"/>
      <c r="D328" s="26"/>
      <c r="E328" s="27"/>
      <c r="F328" s="30"/>
      <c r="G328" s="28"/>
      <c r="H328" s="29"/>
      <c r="I328" s="31"/>
      <c r="J328" s="32"/>
      <c r="K328" s="33">
        <f t="shared" si="5"/>
        <v>0</v>
      </c>
      <c r="L328" s="32">
        <f t="shared" si="5"/>
        <v>0</v>
      </c>
      <c r="M328" s="30"/>
      <c r="N328" s="34"/>
    </row>
    <row r="329" spans="1:14" s="2" customFormat="1" ht="17.100000000000001" customHeight="1" x14ac:dyDescent="0.2">
      <c r="A329" s="2" t="s">
        <v>302</v>
      </c>
      <c r="B329" s="25">
        <v>9620000868</v>
      </c>
      <c r="C329" s="26"/>
      <c r="D329" s="26"/>
      <c r="E329" s="27"/>
      <c r="F329" s="30"/>
      <c r="G329" s="28"/>
      <c r="H329" s="29"/>
      <c r="I329" s="31"/>
      <c r="J329" s="32"/>
      <c r="K329" s="33">
        <f t="shared" si="5"/>
        <v>0</v>
      </c>
      <c r="L329" s="32">
        <f t="shared" si="5"/>
        <v>0</v>
      </c>
      <c r="M329" s="30"/>
      <c r="N329" s="34"/>
    </row>
    <row r="330" spans="1:14" s="2" customFormat="1" ht="17.100000000000001" customHeight="1" x14ac:dyDescent="0.2">
      <c r="A330" s="2" t="s">
        <v>303</v>
      </c>
      <c r="B330" s="25">
        <v>9620000514</v>
      </c>
      <c r="C330" s="26"/>
      <c r="D330" s="26"/>
      <c r="E330" s="27"/>
      <c r="F330" s="30"/>
      <c r="G330" s="28"/>
      <c r="H330" s="29"/>
      <c r="I330" s="31"/>
      <c r="J330" s="32"/>
      <c r="K330" s="33">
        <f t="shared" si="5"/>
        <v>0</v>
      </c>
      <c r="L330" s="32">
        <f t="shared" si="5"/>
        <v>0</v>
      </c>
      <c r="M330" s="30"/>
      <c r="N330" s="34"/>
    </row>
    <row r="331" spans="1:14" s="2" customFormat="1" ht="17.100000000000001" customHeight="1" x14ac:dyDescent="0.2">
      <c r="A331" s="2" t="s">
        <v>304</v>
      </c>
      <c r="B331" s="25">
        <v>9620000869</v>
      </c>
      <c r="C331" s="26"/>
      <c r="D331" s="26"/>
      <c r="E331" s="27"/>
      <c r="F331" s="30"/>
      <c r="G331" s="28"/>
      <c r="H331" s="29"/>
      <c r="I331" s="31"/>
      <c r="J331" s="32"/>
      <c r="K331" s="33">
        <f t="shared" si="5"/>
        <v>0</v>
      </c>
      <c r="L331" s="32">
        <f t="shared" si="5"/>
        <v>0</v>
      </c>
      <c r="M331" s="30"/>
      <c r="N331" s="34"/>
    </row>
    <row r="332" spans="1:14" s="2" customFormat="1" ht="17.100000000000001" customHeight="1" x14ac:dyDescent="0.2">
      <c r="A332" s="2" t="s">
        <v>305</v>
      </c>
      <c r="B332" s="25">
        <v>9620000521</v>
      </c>
      <c r="C332" s="26"/>
      <c r="D332" s="26"/>
      <c r="E332" s="27"/>
      <c r="F332" s="30"/>
      <c r="G332" s="28"/>
      <c r="H332" s="29"/>
      <c r="I332" s="31"/>
      <c r="J332" s="32"/>
      <c r="K332" s="33">
        <f t="shared" si="5"/>
        <v>0</v>
      </c>
      <c r="L332" s="32">
        <f t="shared" si="5"/>
        <v>0</v>
      </c>
      <c r="M332" s="30"/>
      <c r="N332" s="34"/>
    </row>
    <row r="333" spans="1:14" s="2" customFormat="1" ht="17.100000000000001" customHeight="1" x14ac:dyDescent="0.2">
      <c r="A333" s="2" t="s">
        <v>306</v>
      </c>
      <c r="B333" s="25">
        <v>9620000870</v>
      </c>
      <c r="C333" s="26"/>
      <c r="D333" s="26"/>
      <c r="E333" s="27"/>
      <c r="F333" s="30"/>
      <c r="G333" s="28"/>
      <c r="H333" s="29"/>
      <c r="I333" s="31"/>
      <c r="J333" s="32"/>
      <c r="K333" s="33">
        <f t="shared" si="5"/>
        <v>0</v>
      </c>
      <c r="L333" s="32">
        <f t="shared" si="5"/>
        <v>0</v>
      </c>
      <c r="M333" s="30"/>
      <c r="N333" s="34"/>
    </row>
    <row r="334" spans="1:14" s="2" customFormat="1" ht="17.100000000000001" customHeight="1" x14ac:dyDescent="0.2">
      <c r="A334" s="2" t="s">
        <v>307</v>
      </c>
      <c r="B334" s="25">
        <v>9620000522</v>
      </c>
      <c r="C334" s="26"/>
      <c r="D334" s="26"/>
      <c r="E334" s="27"/>
      <c r="F334" s="30"/>
      <c r="G334" s="28"/>
      <c r="H334" s="29"/>
      <c r="I334" s="31"/>
      <c r="J334" s="32"/>
      <c r="K334" s="33">
        <f t="shared" si="5"/>
        <v>0</v>
      </c>
      <c r="L334" s="32">
        <f t="shared" si="5"/>
        <v>0</v>
      </c>
      <c r="M334" s="30"/>
      <c r="N334" s="34"/>
    </row>
    <row r="335" spans="1:14" s="2" customFormat="1" ht="17.100000000000001" customHeight="1" x14ac:dyDescent="0.2">
      <c r="A335" s="2" t="s">
        <v>308</v>
      </c>
      <c r="B335" s="25">
        <v>9620004739</v>
      </c>
      <c r="C335" s="26"/>
      <c r="D335" s="26"/>
      <c r="E335" s="27"/>
      <c r="F335" s="30"/>
      <c r="G335" s="28"/>
      <c r="H335" s="29"/>
      <c r="I335" s="31"/>
      <c r="J335" s="32"/>
      <c r="K335" s="33">
        <f t="shared" si="5"/>
        <v>0</v>
      </c>
      <c r="L335" s="32">
        <f t="shared" si="5"/>
        <v>0</v>
      </c>
      <c r="M335" s="30"/>
      <c r="N335" s="34"/>
    </row>
    <row r="336" spans="1:14" s="2" customFormat="1" ht="17.100000000000001" customHeight="1" x14ac:dyDescent="0.2">
      <c r="A336" s="2" t="s">
        <v>309</v>
      </c>
      <c r="B336" s="25">
        <v>9620000523</v>
      </c>
      <c r="C336" s="26"/>
      <c r="D336" s="26"/>
      <c r="E336" s="27"/>
      <c r="F336" s="30"/>
      <c r="G336" s="28"/>
      <c r="H336" s="29"/>
      <c r="I336" s="31"/>
      <c r="J336" s="32"/>
      <c r="K336" s="33">
        <f t="shared" si="5"/>
        <v>0</v>
      </c>
      <c r="L336" s="32">
        <f t="shared" si="5"/>
        <v>0</v>
      </c>
      <c r="M336" s="30"/>
      <c r="N336" s="34"/>
    </row>
    <row r="337" spans="1:14" s="2" customFormat="1" ht="17.100000000000001" customHeight="1" x14ac:dyDescent="0.2">
      <c r="A337" s="2" t="s">
        <v>310</v>
      </c>
      <c r="B337" s="25">
        <v>9620034515</v>
      </c>
      <c r="C337" s="26"/>
      <c r="D337" s="26"/>
      <c r="E337" s="27"/>
      <c r="F337" s="30"/>
      <c r="G337" s="28"/>
      <c r="H337" s="29"/>
      <c r="I337" s="31"/>
      <c r="J337" s="32"/>
      <c r="K337" s="33">
        <f t="shared" si="5"/>
        <v>0</v>
      </c>
      <c r="L337" s="32">
        <f t="shared" si="5"/>
        <v>0</v>
      </c>
      <c r="M337" s="30"/>
      <c r="N337" s="34"/>
    </row>
    <row r="338" spans="1:14" s="2" customFormat="1" ht="17.100000000000001" customHeight="1" x14ac:dyDescent="0.2">
      <c r="A338" s="2" t="s">
        <v>311</v>
      </c>
      <c r="B338" s="25">
        <v>9620000526</v>
      </c>
      <c r="C338" s="26"/>
      <c r="D338" s="26"/>
      <c r="E338" s="27"/>
      <c r="F338" s="30"/>
      <c r="G338" s="28"/>
      <c r="H338" s="29"/>
      <c r="I338" s="31"/>
      <c r="J338" s="32"/>
      <c r="K338" s="33">
        <f t="shared" si="5"/>
        <v>0</v>
      </c>
      <c r="L338" s="32">
        <f t="shared" si="5"/>
        <v>0</v>
      </c>
      <c r="M338" s="30"/>
      <c r="N338" s="34"/>
    </row>
    <row r="339" spans="1:14" s="2" customFormat="1" ht="17.100000000000001" customHeight="1" x14ac:dyDescent="0.2">
      <c r="A339" s="2" t="s">
        <v>422</v>
      </c>
      <c r="B339" s="25">
        <v>9620000527</v>
      </c>
      <c r="C339" s="26"/>
      <c r="D339" s="26"/>
      <c r="E339" s="27"/>
      <c r="F339" s="37"/>
      <c r="G339" s="28"/>
      <c r="H339" s="29"/>
      <c r="I339" s="31"/>
      <c r="J339" s="29"/>
      <c r="K339" s="33">
        <f t="shared" si="5"/>
        <v>0</v>
      </c>
      <c r="L339" s="32">
        <f t="shared" si="5"/>
        <v>0</v>
      </c>
      <c r="M339" s="37"/>
      <c r="N339" s="34"/>
    </row>
    <row r="340" spans="1:14" s="2" customFormat="1" ht="17.100000000000001" customHeight="1" x14ac:dyDescent="0.2">
      <c r="A340" s="2" t="s">
        <v>312</v>
      </c>
      <c r="B340" s="25">
        <v>9620000528</v>
      </c>
      <c r="C340" s="26"/>
      <c r="D340" s="26"/>
      <c r="E340" s="27"/>
      <c r="F340" s="30"/>
      <c r="G340" s="28"/>
      <c r="H340" s="29"/>
      <c r="I340" s="31"/>
      <c r="J340" s="32"/>
      <c r="K340" s="33">
        <f t="shared" si="5"/>
        <v>0</v>
      </c>
      <c r="L340" s="32">
        <f t="shared" si="5"/>
        <v>0</v>
      </c>
      <c r="M340" s="30"/>
      <c r="N340" s="34"/>
    </row>
    <row r="341" spans="1:14" s="2" customFormat="1" ht="17.100000000000001" customHeight="1" x14ac:dyDescent="0.2">
      <c r="A341" s="2" t="s">
        <v>313</v>
      </c>
      <c r="B341" s="25">
        <v>9620000531</v>
      </c>
      <c r="C341" s="26"/>
      <c r="D341" s="26"/>
      <c r="E341" s="27"/>
      <c r="F341" s="30"/>
      <c r="G341" s="28"/>
      <c r="H341" s="29"/>
      <c r="I341" s="31"/>
      <c r="J341" s="32"/>
      <c r="K341" s="33">
        <f t="shared" si="5"/>
        <v>0</v>
      </c>
      <c r="L341" s="32">
        <f t="shared" si="5"/>
        <v>0</v>
      </c>
      <c r="M341" s="30"/>
      <c r="N341" s="34"/>
    </row>
    <row r="342" spans="1:14" s="2" customFormat="1" ht="17.100000000000001" customHeight="1" x14ac:dyDescent="0.2">
      <c r="A342" s="2" t="s">
        <v>314</v>
      </c>
      <c r="B342" s="25">
        <v>9620000533</v>
      </c>
      <c r="C342" s="26"/>
      <c r="D342" s="26"/>
      <c r="E342" s="27"/>
      <c r="F342" s="30"/>
      <c r="G342" s="28"/>
      <c r="H342" s="29"/>
      <c r="I342" s="31"/>
      <c r="J342" s="32"/>
      <c r="K342" s="33">
        <f t="shared" si="5"/>
        <v>0</v>
      </c>
      <c r="L342" s="32">
        <f t="shared" si="5"/>
        <v>0</v>
      </c>
      <c r="M342" s="30"/>
      <c r="N342" s="34"/>
    </row>
    <row r="343" spans="1:14" s="2" customFormat="1" ht="17.100000000000001" customHeight="1" x14ac:dyDescent="0.2">
      <c r="A343" s="2" t="s">
        <v>315</v>
      </c>
      <c r="B343" s="25">
        <v>9620000871</v>
      </c>
      <c r="C343" s="26"/>
      <c r="D343" s="26"/>
      <c r="E343" s="27"/>
      <c r="F343" s="30"/>
      <c r="G343" s="28"/>
      <c r="H343" s="29"/>
      <c r="I343" s="31"/>
      <c r="J343" s="32"/>
      <c r="K343" s="33">
        <f t="shared" si="5"/>
        <v>0</v>
      </c>
      <c r="L343" s="32">
        <f t="shared" si="5"/>
        <v>0</v>
      </c>
      <c r="M343" s="30"/>
      <c r="N343" s="34"/>
    </row>
    <row r="344" spans="1:14" s="2" customFormat="1" ht="17.100000000000001" customHeight="1" x14ac:dyDescent="0.2">
      <c r="A344" s="2" t="s">
        <v>316</v>
      </c>
      <c r="B344" s="25">
        <v>9620000873</v>
      </c>
      <c r="C344" s="26"/>
      <c r="D344" s="26"/>
      <c r="E344" s="27"/>
      <c r="F344" s="30"/>
      <c r="G344" s="28"/>
      <c r="H344" s="29"/>
      <c r="I344" s="31"/>
      <c r="J344" s="32"/>
      <c r="K344" s="33">
        <f t="shared" si="5"/>
        <v>0</v>
      </c>
      <c r="L344" s="32">
        <f t="shared" si="5"/>
        <v>0</v>
      </c>
      <c r="M344" s="30"/>
      <c r="N344" s="34"/>
    </row>
    <row r="345" spans="1:14" s="2" customFormat="1" ht="17.100000000000001" customHeight="1" x14ac:dyDescent="0.2">
      <c r="A345" s="2" t="s">
        <v>316</v>
      </c>
      <c r="B345" s="25">
        <v>9620000874</v>
      </c>
      <c r="C345" s="26"/>
      <c r="D345" s="26"/>
      <c r="E345" s="27"/>
      <c r="F345" s="30"/>
      <c r="G345" s="28"/>
      <c r="H345" s="29"/>
      <c r="I345" s="31"/>
      <c r="J345" s="32"/>
      <c r="K345" s="33">
        <f t="shared" si="5"/>
        <v>0</v>
      </c>
      <c r="L345" s="32">
        <f t="shared" si="5"/>
        <v>0</v>
      </c>
      <c r="M345" s="30"/>
      <c r="N345" s="34"/>
    </row>
    <row r="346" spans="1:14" s="2" customFormat="1" ht="17.100000000000001" customHeight="1" x14ac:dyDescent="0.2">
      <c r="A346" s="2" t="s">
        <v>316</v>
      </c>
      <c r="B346" s="25">
        <v>9620000875</v>
      </c>
      <c r="C346" s="26"/>
      <c r="D346" s="26"/>
      <c r="E346" s="27"/>
      <c r="F346" s="30"/>
      <c r="G346" s="28"/>
      <c r="H346" s="29"/>
      <c r="I346" s="31"/>
      <c r="J346" s="32"/>
      <c r="K346" s="33">
        <f t="shared" si="5"/>
        <v>0</v>
      </c>
      <c r="L346" s="32">
        <f t="shared" si="5"/>
        <v>0</v>
      </c>
      <c r="M346" s="30"/>
      <c r="N346" s="34"/>
    </row>
    <row r="347" spans="1:14" s="2" customFormat="1" ht="17.100000000000001" customHeight="1" x14ac:dyDescent="0.2">
      <c r="A347" s="2" t="s">
        <v>316</v>
      </c>
      <c r="B347" s="25">
        <v>9620000876</v>
      </c>
      <c r="C347" s="26"/>
      <c r="D347" s="26"/>
      <c r="E347" s="27"/>
      <c r="F347" s="30"/>
      <c r="G347" s="28"/>
      <c r="H347" s="29"/>
      <c r="I347" s="31"/>
      <c r="J347" s="32"/>
      <c r="K347" s="33">
        <f t="shared" si="5"/>
        <v>0</v>
      </c>
      <c r="L347" s="32">
        <f t="shared" si="5"/>
        <v>0</v>
      </c>
      <c r="M347" s="30"/>
      <c r="N347" s="34"/>
    </row>
    <row r="348" spans="1:14" s="2" customFormat="1" ht="17.100000000000001" customHeight="1" x14ac:dyDescent="0.2">
      <c r="A348" s="2" t="s">
        <v>316</v>
      </c>
      <c r="B348" s="25">
        <v>9620000877</v>
      </c>
      <c r="C348" s="26"/>
      <c r="D348" s="26"/>
      <c r="E348" s="27"/>
      <c r="F348" s="30"/>
      <c r="G348" s="28"/>
      <c r="H348" s="29"/>
      <c r="I348" s="31"/>
      <c r="J348" s="32"/>
      <c r="K348" s="33">
        <f t="shared" si="5"/>
        <v>0</v>
      </c>
      <c r="L348" s="32">
        <f t="shared" si="5"/>
        <v>0</v>
      </c>
      <c r="M348" s="30"/>
      <c r="N348" s="34"/>
    </row>
    <row r="349" spans="1:14" s="2" customFormat="1" ht="17.100000000000001" customHeight="1" x14ac:dyDescent="0.2">
      <c r="A349" s="2" t="s">
        <v>317</v>
      </c>
      <c r="B349" s="25">
        <v>9620000535</v>
      </c>
      <c r="C349" s="26"/>
      <c r="D349" s="26"/>
      <c r="E349" s="27"/>
      <c r="F349" s="30"/>
      <c r="G349" s="28"/>
      <c r="H349" s="29"/>
      <c r="I349" s="31"/>
      <c r="J349" s="32"/>
      <c r="K349" s="33">
        <f t="shared" si="5"/>
        <v>0</v>
      </c>
      <c r="L349" s="32">
        <f t="shared" si="5"/>
        <v>0</v>
      </c>
      <c r="M349" s="30"/>
      <c r="N349" s="34"/>
    </row>
    <row r="350" spans="1:14" s="2" customFormat="1" ht="17.100000000000001" customHeight="1" x14ac:dyDescent="0.2">
      <c r="A350" s="2" t="s">
        <v>318</v>
      </c>
      <c r="B350" s="25">
        <v>9620000536</v>
      </c>
      <c r="C350" s="26"/>
      <c r="D350" s="26"/>
      <c r="E350" s="27"/>
      <c r="F350" s="30"/>
      <c r="G350" s="28"/>
      <c r="H350" s="29"/>
      <c r="I350" s="31"/>
      <c r="J350" s="32"/>
      <c r="K350" s="33">
        <f t="shared" si="5"/>
        <v>0</v>
      </c>
      <c r="L350" s="32">
        <f t="shared" si="5"/>
        <v>0</v>
      </c>
      <c r="M350" s="30"/>
      <c r="N350" s="34"/>
    </row>
    <row r="351" spans="1:14" s="2" customFormat="1" ht="17.100000000000001" customHeight="1" x14ac:dyDescent="0.2">
      <c r="A351" s="2" t="s">
        <v>319</v>
      </c>
      <c r="B351" s="25">
        <v>9620000540</v>
      </c>
      <c r="C351" s="26"/>
      <c r="D351" s="26"/>
      <c r="E351" s="27"/>
      <c r="F351" s="30"/>
      <c r="G351" s="28"/>
      <c r="H351" s="29"/>
      <c r="I351" s="31"/>
      <c r="J351" s="32"/>
      <c r="K351" s="33">
        <f t="shared" si="5"/>
        <v>0</v>
      </c>
      <c r="L351" s="32">
        <f t="shared" si="5"/>
        <v>0</v>
      </c>
      <c r="M351" s="30"/>
      <c r="N351" s="34"/>
    </row>
    <row r="352" spans="1:14" s="2" customFormat="1" ht="17.100000000000001" customHeight="1" x14ac:dyDescent="0.2">
      <c r="A352" s="2" t="s">
        <v>320</v>
      </c>
      <c r="B352" s="25">
        <v>9620000545</v>
      </c>
      <c r="C352" s="26"/>
      <c r="D352" s="26"/>
      <c r="E352" s="27"/>
      <c r="F352" s="37"/>
      <c r="G352" s="28"/>
      <c r="H352" s="29"/>
      <c r="I352" s="31"/>
      <c r="J352" s="29"/>
      <c r="K352" s="33">
        <f t="shared" si="5"/>
        <v>0</v>
      </c>
      <c r="L352" s="32">
        <f t="shared" si="5"/>
        <v>0</v>
      </c>
      <c r="M352" s="37"/>
      <c r="N352" s="34"/>
    </row>
    <row r="353" spans="1:14" s="2" customFormat="1" ht="17.100000000000001" customHeight="1" x14ac:dyDescent="0.2">
      <c r="A353" s="2" t="s">
        <v>321</v>
      </c>
      <c r="B353" s="25">
        <v>9620000546</v>
      </c>
      <c r="C353" s="26"/>
      <c r="D353" s="26"/>
      <c r="E353" s="27"/>
      <c r="F353" s="30"/>
      <c r="G353" s="28"/>
      <c r="H353" s="29"/>
      <c r="I353" s="31"/>
      <c r="J353" s="32"/>
      <c r="K353" s="33">
        <f t="shared" si="5"/>
        <v>0</v>
      </c>
      <c r="L353" s="32">
        <f t="shared" si="5"/>
        <v>0</v>
      </c>
      <c r="M353" s="30"/>
      <c r="N353" s="34"/>
    </row>
    <row r="354" spans="1:14" s="2" customFormat="1" ht="17.100000000000001" customHeight="1" x14ac:dyDescent="0.2">
      <c r="A354" s="2" t="s">
        <v>322</v>
      </c>
      <c r="B354" s="25">
        <v>9620000549</v>
      </c>
      <c r="C354" s="26"/>
      <c r="D354" s="26"/>
      <c r="E354" s="27"/>
      <c r="F354" s="30"/>
      <c r="G354" s="28"/>
      <c r="H354" s="29"/>
      <c r="I354" s="31"/>
      <c r="J354" s="32"/>
      <c r="K354" s="33">
        <f t="shared" si="5"/>
        <v>0</v>
      </c>
      <c r="L354" s="32">
        <f t="shared" si="5"/>
        <v>0</v>
      </c>
      <c r="M354" s="30"/>
      <c r="N354" s="34"/>
    </row>
    <row r="355" spans="1:14" s="2" customFormat="1" ht="17.100000000000001" customHeight="1" x14ac:dyDescent="0.2">
      <c r="A355" s="2" t="s">
        <v>323</v>
      </c>
      <c r="B355" s="25">
        <v>9620000878</v>
      </c>
      <c r="C355" s="26"/>
      <c r="D355" s="26"/>
      <c r="E355" s="27"/>
      <c r="F355" s="30"/>
      <c r="G355" s="28"/>
      <c r="H355" s="29"/>
      <c r="I355" s="31"/>
      <c r="J355" s="32"/>
      <c r="K355" s="33">
        <f t="shared" si="5"/>
        <v>0</v>
      </c>
      <c r="L355" s="32">
        <f t="shared" si="5"/>
        <v>0</v>
      </c>
      <c r="M355" s="30"/>
      <c r="N355" s="34"/>
    </row>
    <row r="356" spans="1:14" s="2" customFormat="1" ht="17.100000000000001" customHeight="1" x14ac:dyDescent="0.2">
      <c r="A356" s="2" t="s">
        <v>324</v>
      </c>
      <c r="B356" s="25">
        <v>9620000552</v>
      </c>
      <c r="C356" s="26"/>
      <c r="D356" s="26"/>
      <c r="E356" s="27"/>
      <c r="F356" s="30"/>
      <c r="G356" s="28"/>
      <c r="H356" s="29"/>
      <c r="I356" s="31"/>
      <c r="J356" s="32"/>
      <c r="K356" s="33">
        <f t="shared" si="5"/>
        <v>0</v>
      </c>
      <c r="L356" s="32">
        <f t="shared" si="5"/>
        <v>0</v>
      </c>
      <c r="M356" s="30"/>
      <c r="N356" s="34"/>
    </row>
    <row r="357" spans="1:14" s="2" customFormat="1" ht="17.100000000000001" customHeight="1" x14ac:dyDescent="0.2">
      <c r="A357" s="2" t="s">
        <v>325</v>
      </c>
      <c r="B357" s="25">
        <v>9620000554</v>
      </c>
      <c r="C357" s="26"/>
      <c r="D357" s="26"/>
      <c r="E357" s="27"/>
      <c r="F357" s="30"/>
      <c r="G357" s="28"/>
      <c r="H357" s="29"/>
      <c r="I357" s="31"/>
      <c r="J357" s="32"/>
      <c r="K357" s="33">
        <f t="shared" si="5"/>
        <v>0</v>
      </c>
      <c r="L357" s="32">
        <f t="shared" si="5"/>
        <v>0</v>
      </c>
      <c r="M357" s="30"/>
      <c r="N357" s="34"/>
    </row>
    <row r="358" spans="1:14" s="2" customFormat="1" ht="17.100000000000001" customHeight="1" x14ac:dyDescent="0.2">
      <c r="A358" s="2" t="s">
        <v>326</v>
      </c>
      <c r="B358" s="25">
        <v>9620047082</v>
      </c>
      <c r="C358" s="26"/>
      <c r="D358" s="26"/>
      <c r="E358" s="27"/>
      <c r="F358" s="30"/>
      <c r="G358" s="28"/>
      <c r="H358" s="29"/>
      <c r="I358" s="31"/>
      <c r="J358" s="32"/>
      <c r="K358" s="33">
        <f t="shared" si="5"/>
        <v>0</v>
      </c>
      <c r="L358" s="32">
        <f t="shared" si="5"/>
        <v>0</v>
      </c>
      <c r="M358" s="30"/>
      <c r="N358" s="34"/>
    </row>
    <row r="359" spans="1:14" s="2" customFormat="1" ht="17.100000000000001" customHeight="1" x14ac:dyDescent="0.2">
      <c r="A359" s="2" t="s">
        <v>327</v>
      </c>
      <c r="B359" s="25">
        <v>9620000556</v>
      </c>
      <c r="C359" s="26"/>
      <c r="D359" s="26"/>
      <c r="E359" s="27"/>
      <c r="F359" s="37"/>
      <c r="G359" s="28"/>
      <c r="H359" s="29"/>
      <c r="I359" s="31"/>
      <c r="J359" s="29"/>
      <c r="K359" s="33">
        <f t="shared" si="5"/>
        <v>0</v>
      </c>
      <c r="L359" s="32">
        <f t="shared" si="5"/>
        <v>0</v>
      </c>
      <c r="M359" s="37"/>
      <c r="N359" s="34"/>
    </row>
    <row r="360" spans="1:14" s="2" customFormat="1" ht="17.100000000000001" customHeight="1" x14ac:dyDescent="0.2">
      <c r="A360" s="2" t="s">
        <v>328</v>
      </c>
      <c r="B360" s="25">
        <v>9620000560</v>
      </c>
      <c r="C360" s="26"/>
      <c r="D360" s="26"/>
      <c r="E360" s="27"/>
      <c r="F360" s="30"/>
      <c r="G360" s="28"/>
      <c r="H360" s="29"/>
      <c r="I360" s="31"/>
      <c r="J360" s="32"/>
      <c r="K360" s="33">
        <f t="shared" si="5"/>
        <v>0</v>
      </c>
      <c r="L360" s="32">
        <f t="shared" si="5"/>
        <v>0</v>
      </c>
      <c r="M360" s="30"/>
      <c r="N360" s="34"/>
    </row>
    <row r="361" spans="1:14" s="2" customFormat="1" ht="17.100000000000001" customHeight="1" x14ac:dyDescent="0.2">
      <c r="A361" s="2" t="s">
        <v>329</v>
      </c>
      <c r="B361" s="25">
        <v>9620000562</v>
      </c>
      <c r="C361" s="26"/>
      <c r="D361" s="26"/>
      <c r="E361" s="27"/>
      <c r="F361" s="30"/>
      <c r="G361" s="28"/>
      <c r="H361" s="29"/>
      <c r="I361" s="31"/>
      <c r="J361" s="32"/>
      <c r="K361" s="33">
        <f t="shared" si="5"/>
        <v>0</v>
      </c>
      <c r="L361" s="32">
        <f t="shared" si="5"/>
        <v>0</v>
      </c>
      <c r="M361" s="30"/>
      <c r="N361" s="34"/>
    </row>
    <row r="362" spans="1:14" s="2" customFormat="1" ht="17.100000000000001" customHeight="1" x14ac:dyDescent="0.2">
      <c r="A362" s="2" t="s">
        <v>330</v>
      </c>
      <c r="B362" s="25">
        <v>9620000563</v>
      </c>
      <c r="C362" s="26"/>
      <c r="D362" s="26"/>
      <c r="E362" s="27"/>
      <c r="F362" s="30"/>
      <c r="G362" s="28"/>
      <c r="H362" s="29"/>
      <c r="I362" s="31"/>
      <c r="J362" s="32"/>
      <c r="K362" s="33">
        <f t="shared" si="5"/>
        <v>0</v>
      </c>
      <c r="L362" s="32">
        <f t="shared" si="5"/>
        <v>0</v>
      </c>
      <c r="M362" s="30"/>
      <c r="N362" s="34"/>
    </row>
    <row r="363" spans="1:14" s="2" customFormat="1" ht="17.100000000000001" customHeight="1" x14ac:dyDescent="0.2">
      <c r="A363" s="2" t="s">
        <v>331</v>
      </c>
      <c r="B363" s="25">
        <v>9620000564</v>
      </c>
      <c r="C363" s="26"/>
      <c r="D363" s="26"/>
      <c r="E363" s="27"/>
      <c r="F363" s="30"/>
      <c r="G363" s="28"/>
      <c r="H363" s="29"/>
      <c r="I363" s="31"/>
      <c r="J363" s="32"/>
      <c r="K363" s="33">
        <f t="shared" si="5"/>
        <v>0</v>
      </c>
      <c r="L363" s="32">
        <f t="shared" si="5"/>
        <v>0</v>
      </c>
      <c r="M363" s="30"/>
      <c r="N363" s="34"/>
    </row>
    <row r="364" spans="1:14" s="2" customFormat="1" ht="17.100000000000001" customHeight="1" x14ac:dyDescent="0.2">
      <c r="A364" s="2" t="s">
        <v>332</v>
      </c>
      <c r="B364" s="25">
        <v>9620000566</v>
      </c>
      <c r="C364" s="26"/>
      <c r="D364" s="26"/>
      <c r="E364" s="27"/>
      <c r="F364" s="30"/>
      <c r="G364" s="28"/>
      <c r="H364" s="29"/>
      <c r="I364" s="31"/>
      <c r="J364" s="32"/>
      <c r="K364" s="33">
        <f t="shared" si="5"/>
        <v>0</v>
      </c>
      <c r="L364" s="32">
        <f t="shared" si="5"/>
        <v>0</v>
      </c>
      <c r="M364" s="30"/>
      <c r="N364" s="34"/>
    </row>
    <row r="365" spans="1:14" s="2" customFormat="1" ht="17.100000000000001" customHeight="1" x14ac:dyDescent="0.2">
      <c r="A365" s="2" t="s">
        <v>333</v>
      </c>
      <c r="B365" s="25">
        <v>9620000879</v>
      </c>
      <c r="C365" s="26"/>
      <c r="D365" s="26"/>
      <c r="E365" s="27"/>
      <c r="F365" s="30"/>
      <c r="G365" s="28"/>
      <c r="H365" s="29"/>
      <c r="I365" s="31"/>
      <c r="J365" s="32"/>
      <c r="K365" s="33">
        <f t="shared" si="5"/>
        <v>0</v>
      </c>
      <c r="L365" s="32">
        <f t="shared" si="5"/>
        <v>0</v>
      </c>
      <c r="M365" s="30"/>
      <c r="N365" s="34"/>
    </row>
    <row r="366" spans="1:14" s="2" customFormat="1" ht="17.100000000000001" customHeight="1" x14ac:dyDescent="0.2">
      <c r="A366" s="2" t="s">
        <v>334</v>
      </c>
      <c r="B366" s="25">
        <v>9620000567</v>
      </c>
      <c r="C366" s="26"/>
      <c r="D366" s="26"/>
      <c r="E366" s="27"/>
      <c r="F366" s="30"/>
      <c r="G366" s="28"/>
      <c r="H366" s="29"/>
      <c r="I366" s="31"/>
      <c r="J366" s="32"/>
      <c r="K366" s="33">
        <f t="shared" si="5"/>
        <v>0</v>
      </c>
      <c r="L366" s="32">
        <f t="shared" si="5"/>
        <v>0</v>
      </c>
      <c r="M366" s="30"/>
      <c r="N366" s="34"/>
    </row>
    <row r="367" spans="1:14" s="2" customFormat="1" ht="17.100000000000001" customHeight="1" x14ac:dyDescent="0.2">
      <c r="A367" s="2" t="s">
        <v>335</v>
      </c>
      <c r="B367" s="25">
        <v>9620000569</v>
      </c>
      <c r="C367" s="26"/>
      <c r="D367" s="26"/>
      <c r="E367" s="27"/>
      <c r="F367" s="30"/>
      <c r="G367" s="28"/>
      <c r="H367" s="29"/>
      <c r="I367" s="31"/>
      <c r="J367" s="32"/>
      <c r="K367" s="33">
        <f t="shared" si="5"/>
        <v>0</v>
      </c>
      <c r="L367" s="32">
        <f t="shared" si="5"/>
        <v>0</v>
      </c>
      <c r="M367" s="30"/>
      <c r="N367" s="34"/>
    </row>
    <row r="368" spans="1:14" s="2" customFormat="1" ht="17.100000000000001" customHeight="1" x14ac:dyDescent="0.2">
      <c r="A368" s="2" t="s">
        <v>336</v>
      </c>
      <c r="B368" s="25">
        <v>9620000571</v>
      </c>
      <c r="C368" s="26"/>
      <c r="D368" s="26"/>
      <c r="E368" s="27"/>
      <c r="F368" s="37"/>
      <c r="G368" s="28"/>
      <c r="H368" s="29"/>
      <c r="I368" s="31"/>
      <c r="J368" s="29"/>
      <c r="K368" s="33">
        <f t="shared" si="5"/>
        <v>0</v>
      </c>
      <c r="L368" s="32">
        <f t="shared" si="5"/>
        <v>0</v>
      </c>
      <c r="M368" s="37"/>
      <c r="N368" s="34"/>
    </row>
    <row r="369" spans="1:14" s="2" customFormat="1" ht="17.100000000000001" customHeight="1" x14ac:dyDescent="0.2">
      <c r="A369" s="2" t="s">
        <v>337</v>
      </c>
      <c r="B369" s="25">
        <v>9620000889</v>
      </c>
      <c r="C369" s="26"/>
      <c r="D369" s="26"/>
      <c r="E369" s="27"/>
      <c r="F369" s="30"/>
      <c r="G369" s="28"/>
      <c r="H369" s="29"/>
      <c r="I369" s="31"/>
      <c r="J369" s="32"/>
      <c r="K369" s="33">
        <f t="shared" si="5"/>
        <v>0</v>
      </c>
      <c r="L369" s="32">
        <f t="shared" si="5"/>
        <v>0</v>
      </c>
      <c r="M369" s="30"/>
      <c r="N369" s="34"/>
    </row>
    <row r="370" spans="1:14" s="2" customFormat="1" ht="17.100000000000001" customHeight="1" x14ac:dyDescent="0.2">
      <c r="A370" s="2" t="s">
        <v>338</v>
      </c>
      <c r="B370" s="25">
        <v>9620000572</v>
      </c>
      <c r="C370" s="26"/>
      <c r="D370" s="26"/>
      <c r="E370" s="27"/>
      <c r="F370" s="30"/>
      <c r="G370" s="28"/>
      <c r="H370" s="29"/>
      <c r="I370" s="31"/>
      <c r="J370" s="32"/>
      <c r="K370" s="33">
        <f t="shared" si="5"/>
        <v>0</v>
      </c>
      <c r="L370" s="32">
        <f t="shared" si="5"/>
        <v>0</v>
      </c>
      <c r="M370" s="30"/>
      <c r="N370" s="34"/>
    </row>
    <row r="371" spans="1:14" s="2" customFormat="1" ht="17.100000000000001" customHeight="1" x14ac:dyDescent="0.2">
      <c r="A371" s="2" t="s">
        <v>339</v>
      </c>
      <c r="B371" s="25">
        <v>9620000573</v>
      </c>
      <c r="C371" s="26"/>
      <c r="D371" s="26"/>
      <c r="E371" s="27"/>
      <c r="F371" s="30"/>
      <c r="G371" s="28"/>
      <c r="H371" s="29"/>
      <c r="I371" s="31"/>
      <c r="J371" s="32"/>
      <c r="K371" s="33">
        <f t="shared" si="5"/>
        <v>0</v>
      </c>
      <c r="L371" s="32">
        <f t="shared" si="5"/>
        <v>0</v>
      </c>
      <c r="M371" s="30"/>
      <c r="N371" s="34"/>
    </row>
    <row r="372" spans="1:14" s="2" customFormat="1" ht="17.100000000000001" customHeight="1" x14ac:dyDescent="0.2">
      <c r="A372" s="2" t="s">
        <v>340</v>
      </c>
      <c r="B372" s="25">
        <v>9620000880</v>
      </c>
      <c r="C372" s="26"/>
      <c r="D372" s="26"/>
      <c r="E372" s="27"/>
      <c r="F372" s="30"/>
      <c r="G372" s="28"/>
      <c r="H372" s="29"/>
      <c r="I372" s="31"/>
      <c r="J372" s="32"/>
      <c r="K372" s="33">
        <f t="shared" si="5"/>
        <v>0</v>
      </c>
      <c r="L372" s="32">
        <f t="shared" si="5"/>
        <v>0</v>
      </c>
      <c r="M372" s="30"/>
      <c r="N372" s="34"/>
    </row>
    <row r="373" spans="1:14" s="2" customFormat="1" ht="17.100000000000001" customHeight="1" x14ac:dyDescent="0.2">
      <c r="A373" s="2" t="s">
        <v>341</v>
      </c>
      <c r="B373" s="25">
        <v>9620000574</v>
      </c>
      <c r="C373" s="26"/>
      <c r="D373" s="26"/>
      <c r="E373" s="27"/>
      <c r="F373" s="30"/>
      <c r="G373" s="28"/>
      <c r="H373" s="29"/>
      <c r="I373" s="31"/>
      <c r="J373" s="32"/>
      <c r="K373" s="33">
        <f t="shared" si="5"/>
        <v>0</v>
      </c>
      <c r="L373" s="32">
        <f t="shared" si="5"/>
        <v>0</v>
      </c>
      <c r="M373" s="30"/>
      <c r="N373" s="34"/>
    </row>
    <row r="374" spans="1:14" s="2" customFormat="1" ht="17.100000000000001" customHeight="1" x14ac:dyDescent="0.2">
      <c r="A374" s="2" t="s">
        <v>342</v>
      </c>
      <c r="B374" s="25">
        <v>9620000576</v>
      </c>
      <c r="C374" s="26"/>
      <c r="D374" s="26"/>
      <c r="E374" s="27"/>
      <c r="F374" s="30"/>
      <c r="G374" s="28"/>
      <c r="H374" s="29"/>
      <c r="I374" s="31"/>
      <c r="J374" s="32"/>
      <c r="K374" s="33">
        <f t="shared" si="5"/>
        <v>0</v>
      </c>
      <c r="L374" s="32">
        <f t="shared" si="5"/>
        <v>0</v>
      </c>
      <c r="M374" s="30"/>
      <c r="N374" s="34"/>
    </row>
    <row r="375" spans="1:14" s="2" customFormat="1" ht="17.100000000000001" customHeight="1" x14ac:dyDescent="0.2">
      <c r="A375" s="2" t="s">
        <v>343</v>
      </c>
      <c r="B375" s="25">
        <v>9620000577</v>
      </c>
      <c r="C375" s="26"/>
      <c r="D375" s="26"/>
      <c r="E375" s="27"/>
      <c r="F375" s="30"/>
      <c r="G375" s="28"/>
      <c r="H375" s="29"/>
      <c r="I375" s="31"/>
      <c r="J375" s="32"/>
      <c r="K375" s="33">
        <f t="shared" si="5"/>
        <v>0</v>
      </c>
      <c r="L375" s="32">
        <f t="shared" si="5"/>
        <v>0</v>
      </c>
      <c r="M375" s="30"/>
      <c r="N375" s="34"/>
    </row>
    <row r="376" spans="1:14" s="2" customFormat="1" ht="17.100000000000001" customHeight="1" x14ac:dyDescent="0.2">
      <c r="A376" s="2" t="s">
        <v>344</v>
      </c>
      <c r="B376" s="25">
        <v>9620000881</v>
      </c>
      <c r="C376" s="26"/>
      <c r="D376" s="26"/>
      <c r="E376" s="27"/>
      <c r="F376" s="30"/>
      <c r="G376" s="28"/>
      <c r="H376" s="29"/>
      <c r="I376" s="31"/>
      <c r="J376" s="32"/>
      <c r="K376" s="33">
        <f t="shared" si="5"/>
        <v>0</v>
      </c>
      <c r="L376" s="32">
        <f t="shared" si="5"/>
        <v>0</v>
      </c>
      <c r="M376" s="30"/>
      <c r="N376" s="34"/>
    </row>
    <row r="377" spans="1:14" s="2" customFormat="1" ht="17.100000000000001" customHeight="1" x14ac:dyDescent="0.2">
      <c r="A377" s="2" t="s">
        <v>345</v>
      </c>
      <c r="B377" s="25">
        <v>9620000578</v>
      </c>
      <c r="C377" s="26"/>
      <c r="D377" s="26"/>
      <c r="E377" s="27"/>
      <c r="F377" s="30"/>
      <c r="G377" s="28"/>
      <c r="H377" s="29"/>
      <c r="I377" s="31"/>
      <c r="J377" s="32"/>
      <c r="K377" s="33">
        <f t="shared" si="5"/>
        <v>0</v>
      </c>
      <c r="L377" s="32">
        <f t="shared" si="5"/>
        <v>0</v>
      </c>
      <c r="M377" s="30"/>
      <c r="N377" s="34"/>
    </row>
    <row r="378" spans="1:14" s="2" customFormat="1" ht="17.100000000000001" customHeight="1" x14ac:dyDescent="0.2">
      <c r="A378" s="2" t="s">
        <v>346</v>
      </c>
      <c r="B378" s="25">
        <v>9620000584</v>
      </c>
      <c r="C378" s="26"/>
      <c r="D378" s="26"/>
      <c r="E378" s="27"/>
      <c r="F378" s="30"/>
      <c r="G378" s="28"/>
      <c r="H378" s="29"/>
      <c r="I378" s="31"/>
      <c r="J378" s="32"/>
      <c r="K378" s="33">
        <f t="shared" si="5"/>
        <v>0</v>
      </c>
      <c r="L378" s="32">
        <f t="shared" si="5"/>
        <v>0</v>
      </c>
      <c r="M378" s="30"/>
      <c r="N378" s="34"/>
    </row>
    <row r="379" spans="1:14" s="2" customFormat="1" ht="17.100000000000001" customHeight="1" x14ac:dyDescent="0.2">
      <c r="A379" s="2" t="s">
        <v>347</v>
      </c>
      <c r="B379" s="25">
        <v>9620000585</v>
      </c>
      <c r="C379" s="26"/>
      <c r="D379" s="26"/>
      <c r="E379" s="27"/>
      <c r="F379" s="30"/>
      <c r="G379" s="28"/>
      <c r="H379" s="29"/>
      <c r="I379" s="31"/>
      <c r="J379" s="32"/>
      <c r="K379" s="33">
        <f t="shared" si="5"/>
        <v>0</v>
      </c>
      <c r="L379" s="32">
        <f t="shared" si="5"/>
        <v>0</v>
      </c>
      <c r="M379" s="30"/>
      <c r="N379" s="34"/>
    </row>
    <row r="380" spans="1:14" s="2" customFormat="1" ht="17.100000000000001" customHeight="1" x14ac:dyDescent="0.2">
      <c r="A380" s="2" t="s">
        <v>348</v>
      </c>
      <c r="B380" s="25">
        <v>9620000586</v>
      </c>
      <c r="C380" s="26"/>
      <c r="D380" s="26"/>
      <c r="E380" s="27"/>
      <c r="F380" s="30"/>
      <c r="G380" s="28"/>
      <c r="H380" s="29"/>
      <c r="I380" s="31"/>
      <c r="J380" s="32"/>
      <c r="K380" s="33">
        <f t="shared" si="5"/>
        <v>0</v>
      </c>
      <c r="L380" s="32">
        <f t="shared" si="5"/>
        <v>0</v>
      </c>
      <c r="M380" s="30"/>
      <c r="N380" s="34"/>
    </row>
    <row r="381" spans="1:14" s="2" customFormat="1" ht="17.100000000000001" customHeight="1" x14ac:dyDescent="0.2">
      <c r="A381" s="2" t="s">
        <v>349</v>
      </c>
      <c r="B381" s="25">
        <v>9620000589</v>
      </c>
      <c r="C381" s="26"/>
      <c r="D381" s="26"/>
      <c r="E381" s="27"/>
      <c r="F381" s="30"/>
      <c r="G381" s="28"/>
      <c r="H381" s="29"/>
      <c r="I381" s="31"/>
      <c r="J381" s="32"/>
      <c r="K381" s="33">
        <f t="shared" si="5"/>
        <v>0</v>
      </c>
      <c r="L381" s="32">
        <f t="shared" si="5"/>
        <v>0</v>
      </c>
      <c r="M381" s="30"/>
      <c r="N381" s="34"/>
    </row>
    <row r="382" spans="1:14" s="2" customFormat="1" ht="17.100000000000001" customHeight="1" x14ac:dyDescent="0.2">
      <c r="A382" s="2" t="s">
        <v>350</v>
      </c>
      <c r="B382" s="25">
        <v>9620000590</v>
      </c>
      <c r="C382" s="26"/>
      <c r="D382" s="26"/>
      <c r="E382" s="27"/>
      <c r="F382" s="30"/>
      <c r="G382" s="28"/>
      <c r="H382" s="29"/>
      <c r="I382" s="31"/>
      <c r="J382" s="32"/>
      <c r="K382" s="33">
        <f t="shared" si="5"/>
        <v>0</v>
      </c>
      <c r="L382" s="32">
        <f t="shared" si="5"/>
        <v>0</v>
      </c>
      <c r="M382" s="30"/>
      <c r="N382" s="34"/>
    </row>
    <row r="383" spans="1:14" s="2" customFormat="1" ht="17.100000000000001" customHeight="1" x14ac:dyDescent="0.2">
      <c r="A383" s="2" t="s">
        <v>351</v>
      </c>
      <c r="B383" s="25">
        <v>9620047083</v>
      </c>
      <c r="C383" s="26"/>
      <c r="D383" s="26"/>
      <c r="E383" s="27"/>
      <c r="F383" s="30"/>
      <c r="G383" s="28"/>
      <c r="H383" s="29"/>
      <c r="I383" s="31"/>
      <c r="J383" s="32"/>
      <c r="K383" s="33">
        <f t="shared" si="5"/>
        <v>0</v>
      </c>
      <c r="L383" s="32">
        <f t="shared" si="5"/>
        <v>0</v>
      </c>
      <c r="M383" s="30"/>
      <c r="N383" s="34"/>
    </row>
    <row r="384" spans="1:14" s="2" customFormat="1" ht="17.100000000000001" customHeight="1" x14ac:dyDescent="0.2">
      <c r="A384" s="2" t="s">
        <v>352</v>
      </c>
      <c r="B384" s="25">
        <v>9620000599</v>
      </c>
      <c r="C384" s="26"/>
      <c r="D384" s="26"/>
      <c r="E384" s="27"/>
      <c r="F384" s="30"/>
      <c r="G384" s="28"/>
      <c r="H384" s="29"/>
      <c r="I384" s="31"/>
      <c r="J384" s="32"/>
      <c r="K384" s="33">
        <f t="shared" si="5"/>
        <v>0</v>
      </c>
      <c r="L384" s="32">
        <f t="shared" si="5"/>
        <v>0</v>
      </c>
      <c r="M384" s="30"/>
      <c r="N384" s="34"/>
    </row>
    <row r="385" spans="1:14" s="2" customFormat="1" ht="17.100000000000001" customHeight="1" x14ac:dyDescent="0.2">
      <c r="A385" s="2" t="s">
        <v>353</v>
      </c>
      <c r="B385" s="25">
        <v>9620000600</v>
      </c>
      <c r="C385" s="26"/>
      <c r="D385" s="26"/>
      <c r="E385" s="27"/>
      <c r="F385" s="30"/>
      <c r="G385" s="28"/>
      <c r="H385" s="29"/>
      <c r="I385" s="31"/>
      <c r="J385" s="32"/>
      <c r="K385" s="33">
        <f t="shared" si="5"/>
        <v>0</v>
      </c>
      <c r="L385" s="32">
        <f t="shared" si="5"/>
        <v>0</v>
      </c>
      <c r="M385" s="30"/>
      <c r="N385" s="34"/>
    </row>
    <row r="386" spans="1:14" s="2" customFormat="1" ht="17.100000000000001" customHeight="1" x14ac:dyDescent="0.2">
      <c r="A386" s="2" t="s">
        <v>354</v>
      </c>
      <c r="B386" s="25">
        <v>9620000882</v>
      </c>
      <c r="C386" s="26"/>
      <c r="D386" s="26"/>
      <c r="E386" s="27"/>
      <c r="F386" s="30"/>
      <c r="G386" s="28"/>
      <c r="H386" s="29"/>
      <c r="I386" s="31"/>
      <c r="J386" s="32"/>
      <c r="K386" s="33">
        <f t="shared" ref="K386:L449" si="6">G386-I386</f>
        <v>0</v>
      </c>
      <c r="L386" s="32">
        <f t="shared" si="6"/>
        <v>0</v>
      </c>
      <c r="M386" s="30"/>
      <c r="N386" s="34"/>
    </row>
    <row r="387" spans="1:14" s="2" customFormat="1" ht="17.100000000000001" customHeight="1" x14ac:dyDescent="0.2">
      <c r="A387" s="2" t="s">
        <v>355</v>
      </c>
      <c r="B387" s="25">
        <v>9620000601</v>
      </c>
      <c r="C387" s="26"/>
      <c r="D387" s="26"/>
      <c r="E387" s="27"/>
      <c r="F387" s="30"/>
      <c r="G387" s="28"/>
      <c r="H387" s="29"/>
      <c r="I387" s="31"/>
      <c r="J387" s="32"/>
      <c r="K387" s="33">
        <f t="shared" si="6"/>
        <v>0</v>
      </c>
      <c r="L387" s="32">
        <f t="shared" si="6"/>
        <v>0</v>
      </c>
      <c r="M387" s="30"/>
      <c r="N387" s="34"/>
    </row>
    <row r="388" spans="1:14" s="2" customFormat="1" ht="17.100000000000001" customHeight="1" x14ac:dyDescent="0.2">
      <c r="A388" s="2" t="s">
        <v>356</v>
      </c>
      <c r="B388" s="25">
        <v>9620000604</v>
      </c>
      <c r="C388" s="26"/>
      <c r="D388" s="26"/>
      <c r="E388" s="27"/>
      <c r="F388" s="30"/>
      <c r="G388" s="28"/>
      <c r="H388" s="29"/>
      <c r="I388" s="31"/>
      <c r="J388" s="32"/>
      <c r="K388" s="33">
        <f t="shared" si="6"/>
        <v>0</v>
      </c>
      <c r="L388" s="32">
        <f t="shared" si="6"/>
        <v>0</v>
      </c>
      <c r="M388" s="30"/>
      <c r="N388" s="34"/>
    </row>
    <row r="389" spans="1:14" s="2" customFormat="1" ht="17.100000000000001" customHeight="1" x14ac:dyDescent="0.2">
      <c r="A389" s="2" t="s">
        <v>357</v>
      </c>
      <c r="B389" s="25">
        <v>9620000607</v>
      </c>
      <c r="C389" s="26"/>
      <c r="D389" s="26"/>
      <c r="E389" s="27"/>
      <c r="F389" s="30"/>
      <c r="G389" s="28"/>
      <c r="H389" s="29"/>
      <c r="I389" s="31"/>
      <c r="J389" s="32"/>
      <c r="K389" s="33">
        <f t="shared" si="6"/>
        <v>0</v>
      </c>
      <c r="L389" s="32">
        <f t="shared" si="6"/>
        <v>0</v>
      </c>
      <c r="M389" s="30"/>
      <c r="N389" s="34"/>
    </row>
    <row r="390" spans="1:14" s="2" customFormat="1" ht="17.100000000000001" customHeight="1" x14ac:dyDescent="0.2">
      <c r="A390" s="2" t="s">
        <v>358</v>
      </c>
      <c r="B390" s="25">
        <v>9620000609</v>
      </c>
      <c r="C390" s="26"/>
      <c r="D390" s="26"/>
      <c r="E390" s="27"/>
      <c r="F390" s="30"/>
      <c r="G390" s="28"/>
      <c r="H390" s="29"/>
      <c r="I390" s="31"/>
      <c r="J390" s="32"/>
      <c r="K390" s="33">
        <f t="shared" si="6"/>
        <v>0</v>
      </c>
      <c r="L390" s="32">
        <f t="shared" si="6"/>
        <v>0</v>
      </c>
      <c r="M390" s="30"/>
      <c r="N390" s="34"/>
    </row>
    <row r="391" spans="1:14" s="2" customFormat="1" ht="17.100000000000001" customHeight="1" x14ac:dyDescent="0.2">
      <c r="A391" s="2" t="s">
        <v>359</v>
      </c>
      <c r="B391" s="25">
        <v>9620000611</v>
      </c>
      <c r="C391" s="26"/>
      <c r="D391" s="26"/>
      <c r="E391" s="27"/>
      <c r="F391" s="30"/>
      <c r="G391" s="28"/>
      <c r="H391" s="29"/>
      <c r="I391" s="31"/>
      <c r="J391" s="32"/>
      <c r="K391" s="33">
        <f t="shared" si="6"/>
        <v>0</v>
      </c>
      <c r="L391" s="32">
        <f t="shared" si="6"/>
        <v>0</v>
      </c>
      <c r="M391" s="30"/>
      <c r="N391" s="34"/>
    </row>
    <row r="392" spans="1:14" s="2" customFormat="1" ht="17.100000000000001" customHeight="1" x14ac:dyDescent="0.2">
      <c r="A392" s="2" t="s">
        <v>360</v>
      </c>
      <c r="B392" s="25">
        <v>9620000613</v>
      </c>
      <c r="C392" s="26"/>
      <c r="D392" s="26"/>
      <c r="E392" s="27"/>
      <c r="F392" s="30"/>
      <c r="G392" s="28"/>
      <c r="H392" s="29"/>
      <c r="I392" s="31"/>
      <c r="J392" s="32"/>
      <c r="K392" s="33">
        <f t="shared" si="6"/>
        <v>0</v>
      </c>
      <c r="L392" s="32">
        <f t="shared" si="6"/>
        <v>0</v>
      </c>
      <c r="M392" s="30"/>
      <c r="N392" s="34"/>
    </row>
    <row r="393" spans="1:14" s="2" customFormat="1" ht="17.100000000000001" customHeight="1" x14ac:dyDescent="0.2">
      <c r="A393" s="2" t="s">
        <v>361</v>
      </c>
      <c r="B393" s="25">
        <v>9620000614</v>
      </c>
      <c r="C393" s="26"/>
      <c r="D393" s="26"/>
      <c r="E393" s="27"/>
      <c r="F393" s="30"/>
      <c r="G393" s="28"/>
      <c r="H393" s="29"/>
      <c r="I393" s="31"/>
      <c r="J393" s="32"/>
      <c r="K393" s="33">
        <f t="shared" si="6"/>
        <v>0</v>
      </c>
      <c r="L393" s="32">
        <f t="shared" si="6"/>
        <v>0</v>
      </c>
      <c r="M393" s="30"/>
      <c r="N393" s="34"/>
    </row>
    <row r="394" spans="1:14" s="2" customFormat="1" ht="17.100000000000001" customHeight="1" x14ac:dyDescent="0.2">
      <c r="A394" s="2" t="s">
        <v>362</v>
      </c>
      <c r="B394" s="25">
        <v>9620000884</v>
      </c>
      <c r="C394" s="26"/>
      <c r="D394" s="26"/>
      <c r="E394" s="27"/>
      <c r="F394" s="30"/>
      <c r="G394" s="28"/>
      <c r="H394" s="29"/>
      <c r="I394" s="31"/>
      <c r="J394" s="32"/>
      <c r="K394" s="33">
        <f t="shared" si="6"/>
        <v>0</v>
      </c>
      <c r="L394" s="32">
        <f t="shared" si="6"/>
        <v>0</v>
      </c>
      <c r="M394" s="30"/>
      <c r="N394" s="34"/>
    </row>
    <row r="395" spans="1:14" s="2" customFormat="1" ht="17.100000000000001" customHeight="1" x14ac:dyDescent="0.2">
      <c r="A395" s="2" t="s">
        <v>363</v>
      </c>
      <c r="B395" s="25">
        <v>9620000885</v>
      </c>
      <c r="C395" s="26"/>
      <c r="D395" s="26"/>
      <c r="E395" s="27"/>
      <c r="F395" s="30"/>
      <c r="G395" s="28"/>
      <c r="H395" s="29"/>
      <c r="I395" s="31"/>
      <c r="J395" s="32"/>
      <c r="K395" s="33">
        <f t="shared" si="6"/>
        <v>0</v>
      </c>
      <c r="L395" s="32">
        <f t="shared" si="6"/>
        <v>0</v>
      </c>
      <c r="M395" s="30"/>
      <c r="N395" s="34"/>
    </row>
    <row r="396" spans="1:14" s="2" customFormat="1" ht="17.100000000000001" customHeight="1" x14ac:dyDescent="0.2">
      <c r="A396" s="2" t="s">
        <v>364</v>
      </c>
      <c r="B396" s="25">
        <v>9620000616</v>
      </c>
      <c r="C396" s="26"/>
      <c r="D396" s="26"/>
      <c r="E396" s="27"/>
      <c r="F396" s="30"/>
      <c r="G396" s="28"/>
      <c r="H396" s="29"/>
      <c r="I396" s="31"/>
      <c r="J396" s="32"/>
      <c r="K396" s="33">
        <f t="shared" si="6"/>
        <v>0</v>
      </c>
      <c r="L396" s="32">
        <f t="shared" si="6"/>
        <v>0</v>
      </c>
      <c r="M396" s="30"/>
      <c r="N396" s="34"/>
    </row>
    <row r="397" spans="1:14" s="2" customFormat="1" ht="17.100000000000001" customHeight="1" x14ac:dyDescent="0.2">
      <c r="A397" s="2" t="s">
        <v>365</v>
      </c>
      <c r="B397" s="25">
        <v>9620000617</v>
      </c>
      <c r="C397" s="26"/>
      <c r="D397" s="26"/>
      <c r="E397" s="27"/>
      <c r="F397" s="30"/>
      <c r="G397" s="28"/>
      <c r="H397" s="29"/>
      <c r="I397" s="31"/>
      <c r="J397" s="32"/>
      <c r="K397" s="33">
        <f t="shared" si="6"/>
        <v>0</v>
      </c>
      <c r="L397" s="32">
        <f t="shared" si="6"/>
        <v>0</v>
      </c>
      <c r="M397" s="30"/>
      <c r="N397" s="34"/>
    </row>
    <row r="398" spans="1:14" s="2" customFormat="1" ht="17.100000000000001" customHeight="1" x14ac:dyDescent="0.2">
      <c r="A398" s="2" t="s">
        <v>366</v>
      </c>
      <c r="B398" s="25">
        <v>9620000886</v>
      </c>
      <c r="C398" s="26"/>
      <c r="D398" s="26"/>
      <c r="E398" s="27"/>
      <c r="F398" s="30"/>
      <c r="G398" s="28"/>
      <c r="H398" s="29"/>
      <c r="I398" s="31"/>
      <c r="J398" s="32"/>
      <c r="K398" s="33">
        <f t="shared" si="6"/>
        <v>0</v>
      </c>
      <c r="L398" s="32">
        <f t="shared" si="6"/>
        <v>0</v>
      </c>
      <c r="M398" s="30"/>
      <c r="N398" s="34"/>
    </row>
    <row r="399" spans="1:14" s="2" customFormat="1" ht="17.100000000000001" customHeight="1" x14ac:dyDescent="0.2">
      <c r="A399" s="2" t="s">
        <v>367</v>
      </c>
      <c r="B399" s="25">
        <v>9620000621</v>
      </c>
      <c r="C399" s="26"/>
      <c r="D399" s="26"/>
      <c r="E399" s="27"/>
      <c r="F399" s="30"/>
      <c r="G399" s="28"/>
      <c r="H399" s="29"/>
      <c r="I399" s="31"/>
      <c r="J399" s="32"/>
      <c r="K399" s="33">
        <f t="shared" si="6"/>
        <v>0</v>
      </c>
      <c r="L399" s="32">
        <f t="shared" si="6"/>
        <v>0</v>
      </c>
      <c r="M399" s="30"/>
      <c r="N399" s="34"/>
    </row>
    <row r="400" spans="1:14" s="2" customFormat="1" ht="17.100000000000001" customHeight="1" x14ac:dyDescent="0.2">
      <c r="A400" s="2" t="s">
        <v>368</v>
      </c>
      <c r="B400" s="25">
        <v>9620000622</v>
      </c>
      <c r="C400" s="26"/>
      <c r="D400" s="26"/>
      <c r="E400" s="27"/>
      <c r="F400" s="30"/>
      <c r="G400" s="28"/>
      <c r="H400" s="29"/>
      <c r="I400" s="31"/>
      <c r="J400" s="32"/>
      <c r="K400" s="33">
        <f t="shared" si="6"/>
        <v>0</v>
      </c>
      <c r="L400" s="32">
        <f t="shared" si="6"/>
        <v>0</v>
      </c>
      <c r="M400" s="30"/>
      <c r="N400" s="34"/>
    </row>
    <row r="401" spans="1:14" s="2" customFormat="1" ht="17.100000000000001" customHeight="1" x14ac:dyDescent="0.2">
      <c r="A401" s="2" t="s">
        <v>369</v>
      </c>
      <c r="B401" s="25">
        <v>9620000625</v>
      </c>
      <c r="C401" s="26"/>
      <c r="D401" s="26"/>
      <c r="E401" s="27"/>
      <c r="F401" s="30"/>
      <c r="G401" s="28"/>
      <c r="H401" s="29"/>
      <c r="I401" s="31"/>
      <c r="J401" s="32"/>
      <c r="K401" s="33">
        <f t="shared" si="6"/>
        <v>0</v>
      </c>
      <c r="L401" s="32">
        <f t="shared" si="6"/>
        <v>0</v>
      </c>
      <c r="M401" s="30"/>
      <c r="N401" s="34"/>
    </row>
    <row r="402" spans="1:14" s="2" customFormat="1" ht="17.100000000000001" customHeight="1" x14ac:dyDescent="0.2">
      <c r="A402" s="2" t="s">
        <v>370</v>
      </c>
      <c r="B402" s="25">
        <v>9620000638</v>
      </c>
      <c r="C402" s="26"/>
      <c r="D402" s="26"/>
      <c r="E402" s="27"/>
      <c r="F402" s="30"/>
      <c r="G402" s="28"/>
      <c r="H402" s="29"/>
      <c r="I402" s="31"/>
      <c r="J402" s="32"/>
      <c r="K402" s="33">
        <f t="shared" si="6"/>
        <v>0</v>
      </c>
      <c r="L402" s="32">
        <f t="shared" si="6"/>
        <v>0</v>
      </c>
      <c r="M402" s="30"/>
      <c r="N402" s="34"/>
    </row>
    <row r="403" spans="1:14" s="2" customFormat="1" ht="17.100000000000001" customHeight="1" x14ac:dyDescent="0.2">
      <c r="A403" s="2" t="s">
        <v>371</v>
      </c>
      <c r="B403" s="25">
        <v>9620000639</v>
      </c>
      <c r="C403" s="26"/>
      <c r="D403" s="26"/>
      <c r="E403" s="27"/>
      <c r="F403" s="30"/>
      <c r="G403" s="28"/>
      <c r="H403" s="29"/>
      <c r="I403" s="31"/>
      <c r="J403" s="32"/>
      <c r="K403" s="33">
        <f t="shared" si="6"/>
        <v>0</v>
      </c>
      <c r="L403" s="32">
        <f t="shared" si="6"/>
        <v>0</v>
      </c>
      <c r="M403" s="30"/>
      <c r="N403" s="34"/>
    </row>
    <row r="404" spans="1:14" s="2" customFormat="1" ht="17.100000000000001" customHeight="1" x14ac:dyDescent="0.2">
      <c r="A404" s="2" t="s">
        <v>372</v>
      </c>
      <c r="B404" s="25">
        <v>9620000640</v>
      </c>
      <c r="C404" s="26"/>
      <c r="D404" s="26"/>
      <c r="E404" s="27"/>
      <c r="F404" s="30"/>
      <c r="G404" s="28"/>
      <c r="H404" s="29"/>
      <c r="I404" s="31"/>
      <c r="J404" s="32"/>
      <c r="K404" s="33">
        <f t="shared" si="6"/>
        <v>0</v>
      </c>
      <c r="L404" s="32">
        <f t="shared" si="6"/>
        <v>0</v>
      </c>
      <c r="M404" s="30"/>
      <c r="N404" s="34"/>
    </row>
    <row r="405" spans="1:14" s="2" customFormat="1" ht="17.100000000000001" customHeight="1" x14ac:dyDescent="0.2">
      <c r="A405" s="2" t="s">
        <v>373</v>
      </c>
      <c r="B405" s="25">
        <v>9620000641</v>
      </c>
      <c r="C405" s="26"/>
      <c r="D405" s="26"/>
      <c r="E405" s="27"/>
      <c r="F405" s="30"/>
      <c r="G405" s="28"/>
      <c r="H405" s="29"/>
      <c r="I405" s="31"/>
      <c r="J405" s="32"/>
      <c r="K405" s="33">
        <f t="shared" si="6"/>
        <v>0</v>
      </c>
      <c r="L405" s="32">
        <f t="shared" si="6"/>
        <v>0</v>
      </c>
      <c r="M405" s="30"/>
      <c r="N405" s="34"/>
    </row>
    <row r="406" spans="1:14" s="2" customFormat="1" ht="17.100000000000001" customHeight="1" x14ac:dyDescent="0.2">
      <c r="A406" s="2" t="s">
        <v>374</v>
      </c>
      <c r="B406" s="25">
        <v>9620000642</v>
      </c>
      <c r="C406" s="26"/>
      <c r="D406" s="26"/>
      <c r="E406" s="27"/>
      <c r="F406" s="30"/>
      <c r="G406" s="28"/>
      <c r="H406" s="29"/>
      <c r="I406" s="31"/>
      <c r="J406" s="32"/>
      <c r="K406" s="33">
        <f t="shared" si="6"/>
        <v>0</v>
      </c>
      <c r="L406" s="32">
        <f t="shared" si="6"/>
        <v>0</v>
      </c>
      <c r="M406" s="30"/>
      <c r="N406" s="34"/>
    </row>
    <row r="407" spans="1:14" s="2" customFormat="1" ht="17.100000000000001" customHeight="1" x14ac:dyDescent="0.2">
      <c r="A407" s="2" t="s">
        <v>375</v>
      </c>
      <c r="B407" s="25">
        <v>9620000644</v>
      </c>
      <c r="C407" s="26"/>
      <c r="D407" s="26"/>
      <c r="E407" s="27"/>
      <c r="F407" s="30"/>
      <c r="G407" s="28"/>
      <c r="H407" s="29"/>
      <c r="I407" s="31"/>
      <c r="J407" s="32"/>
      <c r="K407" s="33">
        <f t="shared" si="6"/>
        <v>0</v>
      </c>
      <c r="L407" s="32">
        <f t="shared" si="6"/>
        <v>0</v>
      </c>
      <c r="M407" s="30"/>
      <c r="N407" s="34"/>
    </row>
    <row r="408" spans="1:14" s="2" customFormat="1" ht="17.100000000000001" customHeight="1" x14ac:dyDescent="0.2">
      <c r="A408" s="2" t="s">
        <v>376</v>
      </c>
      <c r="B408" s="25">
        <v>9620000646</v>
      </c>
      <c r="C408" s="26"/>
      <c r="D408" s="26"/>
      <c r="E408" s="27"/>
      <c r="F408" s="30"/>
      <c r="G408" s="28"/>
      <c r="H408" s="29"/>
      <c r="I408" s="31"/>
      <c r="J408" s="32"/>
      <c r="K408" s="33">
        <f t="shared" si="6"/>
        <v>0</v>
      </c>
      <c r="L408" s="32">
        <f t="shared" si="6"/>
        <v>0</v>
      </c>
      <c r="M408" s="30"/>
      <c r="N408" s="34"/>
    </row>
    <row r="409" spans="1:14" s="2" customFormat="1" ht="17.100000000000001" customHeight="1" x14ac:dyDescent="0.2">
      <c r="A409" s="2" t="s">
        <v>377</v>
      </c>
      <c r="B409" s="25">
        <v>9620000888</v>
      </c>
      <c r="C409" s="26"/>
      <c r="D409" s="26"/>
      <c r="E409" s="27"/>
      <c r="F409" s="30"/>
      <c r="G409" s="28"/>
      <c r="H409" s="29"/>
      <c r="I409" s="31"/>
      <c r="J409" s="32"/>
      <c r="K409" s="33">
        <f t="shared" si="6"/>
        <v>0</v>
      </c>
      <c r="L409" s="32">
        <f t="shared" si="6"/>
        <v>0</v>
      </c>
      <c r="M409" s="30"/>
      <c r="N409" s="34"/>
    </row>
    <row r="410" spans="1:14" s="2" customFormat="1" ht="17.100000000000001" customHeight="1" x14ac:dyDescent="0.2">
      <c r="A410" s="2" t="s">
        <v>378</v>
      </c>
      <c r="B410" s="25">
        <v>9620000648</v>
      </c>
      <c r="C410" s="26"/>
      <c r="D410" s="26"/>
      <c r="E410" s="27"/>
      <c r="F410" s="30"/>
      <c r="G410" s="28"/>
      <c r="H410" s="29"/>
      <c r="I410" s="31"/>
      <c r="J410" s="32"/>
      <c r="K410" s="33">
        <f t="shared" si="6"/>
        <v>0</v>
      </c>
      <c r="L410" s="32">
        <f t="shared" si="6"/>
        <v>0</v>
      </c>
      <c r="M410" s="30"/>
      <c r="N410" s="34"/>
    </row>
    <row r="411" spans="1:14" s="2" customFormat="1" ht="17.100000000000001" customHeight="1" x14ac:dyDescent="0.2">
      <c r="A411" s="2" t="s">
        <v>379</v>
      </c>
      <c r="B411" s="25">
        <v>9620000649</v>
      </c>
      <c r="C411" s="26"/>
      <c r="D411" s="26"/>
      <c r="E411" s="27"/>
      <c r="F411" s="30"/>
      <c r="G411" s="28"/>
      <c r="H411" s="29"/>
      <c r="I411" s="31"/>
      <c r="J411" s="32"/>
      <c r="K411" s="33">
        <f t="shared" si="6"/>
        <v>0</v>
      </c>
      <c r="L411" s="32">
        <f t="shared" si="6"/>
        <v>0</v>
      </c>
      <c r="M411" s="30"/>
      <c r="N411" s="34"/>
    </row>
    <row r="412" spans="1:14" s="2" customFormat="1" ht="17.100000000000001" customHeight="1" x14ac:dyDescent="0.2">
      <c r="A412" s="2" t="s">
        <v>380</v>
      </c>
      <c r="B412" s="25">
        <v>9620000650</v>
      </c>
      <c r="C412" s="26"/>
      <c r="D412" s="26"/>
      <c r="E412" s="27"/>
      <c r="F412" s="30"/>
      <c r="G412" s="28"/>
      <c r="H412" s="29"/>
      <c r="I412" s="31"/>
      <c r="J412" s="32"/>
      <c r="K412" s="33">
        <f t="shared" si="6"/>
        <v>0</v>
      </c>
      <c r="L412" s="32">
        <f t="shared" si="6"/>
        <v>0</v>
      </c>
      <c r="M412" s="30"/>
      <c r="N412" s="34"/>
    </row>
    <row r="413" spans="1:14" s="2" customFormat="1" ht="17.100000000000001" customHeight="1" x14ac:dyDescent="0.2">
      <c r="A413" s="2" t="s">
        <v>381</v>
      </c>
      <c r="B413" s="25">
        <v>9620000653</v>
      </c>
      <c r="C413" s="26"/>
      <c r="D413" s="26"/>
      <c r="E413" s="27"/>
      <c r="F413" s="30"/>
      <c r="G413" s="28"/>
      <c r="H413" s="29"/>
      <c r="I413" s="31"/>
      <c r="J413" s="32"/>
      <c r="K413" s="33">
        <f t="shared" si="6"/>
        <v>0</v>
      </c>
      <c r="L413" s="32">
        <f t="shared" si="6"/>
        <v>0</v>
      </c>
      <c r="M413" s="30"/>
      <c r="N413" s="34"/>
    </row>
    <row r="414" spans="1:14" s="2" customFormat="1" ht="17.100000000000001" customHeight="1" x14ac:dyDescent="0.2">
      <c r="A414" s="2" t="s">
        <v>382</v>
      </c>
      <c r="B414" s="25">
        <v>9620000656</v>
      </c>
      <c r="C414" s="26"/>
      <c r="D414" s="26"/>
      <c r="E414" s="27"/>
      <c r="F414" s="30"/>
      <c r="G414" s="28"/>
      <c r="H414" s="29"/>
      <c r="I414" s="31"/>
      <c r="J414" s="32"/>
      <c r="K414" s="33">
        <f t="shared" si="6"/>
        <v>0</v>
      </c>
      <c r="L414" s="32">
        <f t="shared" si="6"/>
        <v>0</v>
      </c>
      <c r="M414" s="30"/>
      <c r="N414" s="34"/>
    </row>
    <row r="415" spans="1:14" s="2" customFormat="1" ht="17.100000000000001" customHeight="1" x14ac:dyDescent="0.2">
      <c r="A415" s="2" t="s">
        <v>383</v>
      </c>
      <c r="B415" s="25">
        <v>9620000890</v>
      </c>
      <c r="C415" s="26"/>
      <c r="D415" s="26"/>
      <c r="E415" s="27"/>
      <c r="F415" s="30"/>
      <c r="G415" s="28"/>
      <c r="H415" s="29"/>
      <c r="I415" s="31"/>
      <c r="J415" s="32"/>
      <c r="K415" s="33">
        <f t="shared" si="6"/>
        <v>0</v>
      </c>
      <c r="L415" s="32">
        <f t="shared" si="6"/>
        <v>0</v>
      </c>
      <c r="M415" s="30"/>
      <c r="N415" s="34"/>
    </row>
    <row r="416" spans="1:14" s="2" customFormat="1" ht="17.100000000000001" customHeight="1" x14ac:dyDescent="0.2">
      <c r="A416" s="2" t="s">
        <v>384</v>
      </c>
      <c r="B416" s="25">
        <v>9620000657</v>
      </c>
      <c r="C416" s="26"/>
      <c r="D416" s="26"/>
      <c r="E416" s="27"/>
      <c r="F416" s="30"/>
      <c r="G416" s="28"/>
      <c r="H416" s="29"/>
      <c r="I416" s="31"/>
      <c r="J416" s="32"/>
      <c r="K416" s="33">
        <f t="shared" si="6"/>
        <v>0</v>
      </c>
      <c r="L416" s="32">
        <f t="shared" si="6"/>
        <v>0</v>
      </c>
      <c r="M416" s="30"/>
      <c r="N416" s="34"/>
    </row>
    <row r="417" spans="1:14" s="2" customFormat="1" ht="17.100000000000001" customHeight="1" x14ac:dyDescent="0.2">
      <c r="A417" s="2" t="s">
        <v>385</v>
      </c>
      <c r="B417" s="25">
        <v>9620000658</v>
      </c>
      <c r="C417" s="26"/>
      <c r="D417" s="26"/>
      <c r="E417" s="27"/>
      <c r="F417" s="30"/>
      <c r="G417" s="28"/>
      <c r="H417" s="29"/>
      <c r="I417" s="31"/>
      <c r="J417" s="32"/>
      <c r="K417" s="33">
        <f t="shared" si="6"/>
        <v>0</v>
      </c>
      <c r="L417" s="32">
        <f t="shared" si="6"/>
        <v>0</v>
      </c>
      <c r="M417" s="30"/>
      <c r="N417" s="34"/>
    </row>
    <row r="418" spans="1:14" s="2" customFormat="1" ht="17.100000000000001" customHeight="1" x14ac:dyDescent="0.2">
      <c r="A418" s="2" t="s">
        <v>385</v>
      </c>
      <c r="B418" s="25">
        <v>9620000891</v>
      </c>
      <c r="C418" s="26"/>
      <c r="D418" s="26"/>
      <c r="E418" s="27"/>
      <c r="F418" s="30"/>
      <c r="G418" s="28"/>
      <c r="H418" s="29"/>
      <c r="I418" s="31"/>
      <c r="J418" s="32"/>
      <c r="K418" s="33">
        <f t="shared" si="6"/>
        <v>0</v>
      </c>
      <c r="L418" s="32">
        <f t="shared" si="6"/>
        <v>0</v>
      </c>
      <c r="M418" s="30"/>
      <c r="N418" s="34"/>
    </row>
    <row r="419" spans="1:14" s="2" customFormat="1" ht="17.100000000000001" customHeight="1" x14ac:dyDescent="0.2">
      <c r="A419" s="2" t="s">
        <v>385</v>
      </c>
      <c r="B419" s="25">
        <v>9620000892</v>
      </c>
      <c r="C419" s="26"/>
      <c r="D419" s="26"/>
      <c r="E419" s="27"/>
      <c r="F419" s="30"/>
      <c r="G419" s="28"/>
      <c r="H419" s="29"/>
      <c r="I419" s="31"/>
      <c r="J419" s="32"/>
      <c r="K419" s="33">
        <f t="shared" si="6"/>
        <v>0</v>
      </c>
      <c r="L419" s="32">
        <f t="shared" si="6"/>
        <v>0</v>
      </c>
      <c r="M419" s="30"/>
      <c r="N419" s="34"/>
    </row>
    <row r="420" spans="1:14" s="2" customFormat="1" ht="17.100000000000001" customHeight="1" x14ac:dyDescent="0.2">
      <c r="A420" s="2" t="s">
        <v>386</v>
      </c>
      <c r="B420" s="25">
        <v>9620000659</v>
      </c>
      <c r="C420" s="26"/>
      <c r="D420" s="26"/>
      <c r="E420" s="27"/>
      <c r="F420" s="30"/>
      <c r="G420" s="28"/>
      <c r="H420" s="29"/>
      <c r="I420" s="31"/>
      <c r="J420" s="32"/>
      <c r="K420" s="33">
        <f t="shared" si="6"/>
        <v>0</v>
      </c>
      <c r="L420" s="32">
        <f t="shared" si="6"/>
        <v>0</v>
      </c>
      <c r="M420" s="30"/>
      <c r="N420" s="34"/>
    </row>
    <row r="421" spans="1:14" s="2" customFormat="1" ht="17.100000000000001" customHeight="1" x14ac:dyDescent="0.2">
      <c r="A421" s="2" t="s">
        <v>387</v>
      </c>
      <c r="B421" s="25">
        <v>9620000660</v>
      </c>
      <c r="C421" s="26"/>
      <c r="D421" s="26"/>
      <c r="E421" s="27"/>
      <c r="F421" s="30"/>
      <c r="G421" s="28"/>
      <c r="H421" s="29"/>
      <c r="I421" s="31"/>
      <c r="J421" s="32"/>
      <c r="K421" s="33">
        <f t="shared" si="6"/>
        <v>0</v>
      </c>
      <c r="L421" s="32">
        <f t="shared" si="6"/>
        <v>0</v>
      </c>
      <c r="M421" s="30"/>
      <c r="N421" s="34"/>
    </row>
    <row r="422" spans="1:14" s="2" customFormat="1" ht="17.100000000000001" customHeight="1" x14ac:dyDescent="0.2">
      <c r="A422" s="2" t="s">
        <v>388</v>
      </c>
      <c r="B422" s="25">
        <v>9620000661</v>
      </c>
      <c r="C422" s="26"/>
      <c r="D422" s="26"/>
      <c r="E422" s="27"/>
      <c r="F422" s="30"/>
      <c r="G422" s="28"/>
      <c r="H422" s="29"/>
      <c r="I422" s="31"/>
      <c r="J422" s="32"/>
      <c r="K422" s="33">
        <f t="shared" si="6"/>
        <v>0</v>
      </c>
      <c r="L422" s="32">
        <f t="shared" si="6"/>
        <v>0</v>
      </c>
      <c r="M422" s="30"/>
      <c r="N422" s="34"/>
    </row>
    <row r="423" spans="1:14" s="2" customFormat="1" ht="17.100000000000001" customHeight="1" x14ac:dyDescent="0.2">
      <c r="A423" s="2" t="s">
        <v>389</v>
      </c>
      <c r="B423" s="25">
        <v>9620000663</v>
      </c>
      <c r="C423" s="26"/>
      <c r="D423" s="26"/>
      <c r="E423" s="27"/>
      <c r="F423" s="30"/>
      <c r="G423" s="28"/>
      <c r="H423" s="29"/>
      <c r="I423" s="31"/>
      <c r="J423" s="32"/>
      <c r="K423" s="33">
        <f t="shared" si="6"/>
        <v>0</v>
      </c>
      <c r="L423" s="32">
        <f t="shared" si="6"/>
        <v>0</v>
      </c>
      <c r="M423" s="30"/>
      <c r="N423" s="34"/>
    </row>
    <row r="424" spans="1:14" s="2" customFormat="1" ht="17.100000000000001" customHeight="1" x14ac:dyDescent="0.2">
      <c r="A424" s="2" t="s">
        <v>390</v>
      </c>
      <c r="B424" s="25">
        <v>9620000666</v>
      </c>
      <c r="C424" s="26"/>
      <c r="D424" s="26"/>
      <c r="E424" s="27"/>
      <c r="F424" s="30"/>
      <c r="G424" s="28"/>
      <c r="H424" s="29"/>
      <c r="I424" s="31"/>
      <c r="J424" s="32"/>
      <c r="K424" s="33">
        <f t="shared" si="6"/>
        <v>0</v>
      </c>
      <c r="L424" s="32">
        <f t="shared" si="6"/>
        <v>0</v>
      </c>
      <c r="M424" s="30"/>
      <c r="N424" s="34"/>
    </row>
    <row r="425" spans="1:14" s="2" customFormat="1" ht="17.100000000000001" customHeight="1" x14ac:dyDescent="0.2">
      <c r="A425" s="2" t="s">
        <v>391</v>
      </c>
      <c r="B425" s="25">
        <v>9620000114</v>
      </c>
      <c r="C425" s="26"/>
      <c r="D425" s="26"/>
      <c r="E425" s="27"/>
      <c r="F425" s="30"/>
      <c r="G425" s="28"/>
      <c r="H425" s="29"/>
      <c r="I425" s="31"/>
      <c r="J425" s="32"/>
      <c r="K425" s="33">
        <f t="shared" si="6"/>
        <v>0</v>
      </c>
      <c r="L425" s="32">
        <f t="shared" si="6"/>
        <v>0</v>
      </c>
      <c r="M425" s="30"/>
      <c r="N425" s="34"/>
    </row>
    <row r="426" spans="1:14" s="2" customFormat="1" ht="17.100000000000001" customHeight="1" x14ac:dyDescent="0.2">
      <c r="A426" s="2" t="s">
        <v>392</v>
      </c>
      <c r="B426" s="25">
        <v>9620000667</v>
      </c>
      <c r="C426" s="26"/>
      <c r="D426" s="26"/>
      <c r="E426" s="27"/>
      <c r="F426" s="30"/>
      <c r="G426" s="28"/>
      <c r="H426" s="29"/>
      <c r="I426" s="31"/>
      <c r="J426" s="32"/>
      <c r="K426" s="33">
        <f t="shared" si="6"/>
        <v>0</v>
      </c>
      <c r="L426" s="32">
        <f t="shared" si="6"/>
        <v>0</v>
      </c>
      <c r="M426" s="30"/>
      <c r="N426" s="34"/>
    </row>
    <row r="427" spans="1:14" s="2" customFormat="1" ht="17.100000000000001" customHeight="1" x14ac:dyDescent="0.2">
      <c r="A427" s="2" t="s">
        <v>392</v>
      </c>
      <c r="B427" s="25">
        <v>9620000893</v>
      </c>
      <c r="C427" s="26"/>
      <c r="D427" s="26"/>
      <c r="E427" s="27"/>
      <c r="F427" s="30"/>
      <c r="G427" s="28"/>
      <c r="H427" s="29"/>
      <c r="I427" s="31"/>
      <c r="J427" s="32"/>
      <c r="K427" s="33">
        <f t="shared" si="6"/>
        <v>0</v>
      </c>
      <c r="L427" s="32">
        <f t="shared" si="6"/>
        <v>0</v>
      </c>
      <c r="M427" s="30"/>
      <c r="N427" s="34"/>
    </row>
    <row r="428" spans="1:14" s="2" customFormat="1" ht="17.100000000000001" customHeight="1" x14ac:dyDescent="0.2">
      <c r="A428" s="2" t="s">
        <v>392</v>
      </c>
      <c r="B428" s="25">
        <v>9620000894</v>
      </c>
      <c r="C428" s="26"/>
      <c r="D428" s="26"/>
      <c r="E428" s="27"/>
      <c r="F428" s="30"/>
      <c r="G428" s="28"/>
      <c r="H428" s="29"/>
      <c r="I428" s="31"/>
      <c r="J428" s="32"/>
      <c r="K428" s="33">
        <f t="shared" si="6"/>
        <v>0</v>
      </c>
      <c r="L428" s="32">
        <f t="shared" si="6"/>
        <v>0</v>
      </c>
      <c r="M428" s="30"/>
      <c r="N428" s="34"/>
    </row>
    <row r="429" spans="1:14" s="2" customFormat="1" ht="17.100000000000001" customHeight="1" x14ac:dyDescent="0.2">
      <c r="A429" s="2" t="s">
        <v>393</v>
      </c>
      <c r="B429" s="25">
        <v>9620000668</v>
      </c>
      <c r="C429" s="26"/>
      <c r="D429" s="26"/>
      <c r="E429" s="27"/>
      <c r="F429" s="30"/>
      <c r="G429" s="28"/>
      <c r="H429" s="29"/>
      <c r="I429" s="31"/>
      <c r="J429" s="32"/>
      <c r="K429" s="33">
        <f t="shared" si="6"/>
        <v>0</v>
      </c>
      <c r="L429" s="32">
        <f t="shared" si="6"/>
        <v>0</v>
      </c>
      <c r="M429" s="30"/>
      <c r="N429" s="34"/>
    </row>
    <row r="430" spans="1:14" s="2" customFormat="1" ht="17.100000000000001" customHeight="1" x14ac:dyDescent="0.2">
      <c r="A430" s="2" t="s">
        <v>394</v>
      </c>
      <c r="B430" s="25">
        <v>9620000669</v>
      </c>
      <c r="C430" s="26"/>
      <c r="D430" s="26"/>
      <c r="E430" s="27"/>
      <c r="F430" s="30"/>
      <c r="G430" s="28"/>
      <c r="H430" s="29"/>
      <c r="I430" s="31"/>
      <c r="J430" s="32"/>
      <c r="K430" s="33">
        <f t="shared" si="6"/>
        <v>0</v>
      </c>
      <c r="L430" s="32">
        <f t="shared" si="6"/>
        <v>0</v>
      </c>
      <c r="M430" s="30"/>
      <c r="N430" s="34"/>
    </row>
    <row r="431" spans="1:14" s="2" customFormat="1" ht="17.100000000000001" customHeight="1" x14ac:dyDescent="0.2">
      <c r="A431" s="2" t="s">
        <v>395</v>
      </c>
      <c r="B431" s="25">
        <v>9620000670</v>
      </c>
      <c r="C431" s="26"/>
      <c r="D431" s="26"/>
      <c r="E431" s="27"/>
      <c r="F431" s="30"/>
      <c r="G431" s="28"/>
      <c r="H431" s="29"/>
      <c r="I431" s="31"/>
      <c r="J431" s="32"/>
      <c r="K431" s="33">
        <f t="shared" si="6"/>
        <v>0</v>
      </c>
      <c r="L431" s="32">
        <f t="shared" si="6"/>
        <v>0</v>
      </c>
      <c r="M431" s="30"/>
      <c r="N431" s="34"/>
    </row>
    <row r="432" spans="1:14" s="2" customFormat="1" ht="17.100000000000001" customHeight="1" x14ac:dyDescent="0.2">
      <c r="A432" s="2" t="s">
        <v>396</v>
      </c>
      <c r="B432" s="25">
        <v>9620000896</v>
      </c>
      <c r="C432" s="26"/>
      <c r="D432" s="26"/>
      <c r="E432" s="27"/>
      <c r="F432" s="30"/>
      <c r="G432" s="28"/>
      <c r="H432" s="29"/>
      <c r="I432" s="31"/>
      <c r="J432" s="32"/>
      <c r="K432" s="33">
        <f t="shared" si="6"/>
        <v>0</v>
      </c>
      <c r="L432" s="32">
        <f t="shared" si="6"/>
        <v>0</v>
      </c>
      <c r="M432" s="30"/>
      <c r="N432" s="34"/>
    </row>
    <row r="433" spans="1:14" s="2" customFormat="1" ht="17.100000000000001" customHeight="1" x14ac:dyDescent="0.2">
      <c r="A433" s="2" t="s">
        <v>396</v>
      </c>
      <c r="B433" s="25">
        <v>9620000897</v>
      </c>
      <c r="C433" s="26"/>
      <c r="D433" s="26"/>
      <c r="E433" s="27"/>
      <c r="F433" s="30"/>
      <c r="G433" s="28"/>
      <c r="H433" s="29"/>
      <c r="I433" s="31"/>
      <c r="J433" s="32"/>
      <c r="K433" s="33">
        <f t="shared" si="6"/>
        <v>0</v>
      </c>
      <c r="L433" s="32">
        <f t="shared" si="6"/>
        <v>0</v>
      </c>
      <c r="M433" s="30"/>
      <c r="N433" s="34"/>
    </row>
    <row r="434" spans="1:14" s="2" customFormat="1" ht="17.100000000000001" customHeight="1" x14ac:dyDescent="0.2">
      <c r="A434" s="2" t="s">
        <v>397</v>
      </c>
      <c r="B434" s="25">
        <v>9620000675</v>
      </c>
      <c r="C434" s="26"/>
      <c r="D434" s="26"/>
      <c r="E434" s="27"/>
      <c r="F434" s="30"/>
      <c r="G434" s="28"/>
      <c r="H434" s="29"/>
      <c r="I434" s="31"/>
      <c r="J434" s="32"/>
      <c r="K434" s="33">
        <f t="shared" si="6"/>
        <v>0</v>
      </c>
      <c r="L434" s="32">
        <f t="shared" si="6"/>
        <v>0</v>
      </c>
      <c r="M434" s="30"/>
      <c r="N434" s="34"/>
    </row>
    <row r="435" spans="1:14" s="2" customFormat="1" ht="17.100000000000001" customHeight="1" x14ac:dyDescent="0.2">
      <c r="A435" s="2" t="s">
        <v>398</v>
      </c>
      <c r="B435" s="25">
        <v>9620000678</v>
      </c>
      <c r="C435" s="26"/>
      <c r="D435" s="26"/>
      <c r="E435" s="27"/>
      <c r="F435" s="30"/>
      <c r="G435" s="28"/>
      <c r="H435" s="29"/>
      <c r="I435" s="31"/>
      <c r="J435" s="32"/>
      <c r="K435" s="33">
        <f t="shared" si="6"/>
        <v>0</v>
      </c>
      <c r="L435" s="32">
        <f t="shared" si="6"/>
        <v>0</v>
      </c>
      <c r="M435" s="30"/>
      <c r="N435" s="34"/>
    </row>
    <row r="436" spans="1:14" s="2" customFormat="1" ht="17.100000000000001" customHeight="1" x14ac:dyDescent="0.2">
      <c r="A436" s="2" t="s">
        <v>399</v>
      </c>
      <c r="B436" s="25">
        <v>9620000679</v>
      </c>
      <c r="C436" s="26"/>
      <c r="D436" s="26"/>
      <c r="E436" s="27"/>
      <c r="F436" s="30"/>
      <c r="G436" s="28"/>
      <c r="H436" s="29"/>
      <c r="I436" s="31"/>
      <c r="J436" s="32"/>
      <c r="K436" s="33">
        <f t="shared" si="6"/>
        <v>0</v>
      </c>
      <c r="L436" s="32">
        <f t="shared" si="6"/>
        <v>0</v>
      </c>
      <c r="M436" s="30"/>
      <c r="N436" s="34"/>
    </row>
    <row r="437" spans="1:14" s="2" customFormat="1" ht="17.100000000000001" customHeight="1" x14ac:dyDescent="0.2">
      <c r="A437" s="2" t="s">
        <v>400</v>
      </c>
      <c r="B437" s="25">
        <v>9620000680</v>
      </c>
      <c r="C437" s="26"/>
      <c r="D437" s="26"/>
      <c r="E437" s="27"/>
      <c r="F437" s="30"/>
      <c r="G437" s="28"/>
      <c r="H437" s="29"/>
      <c r="I437" s="31"/>
      <c r="J437" s="32"/>
      <c r="K437" s="33">
        <f t="shared" si="6"/>
        <v>0</v>
      </c>
      <c r="L437" s="32">
        <f t="shared" si="6"/>
        <v>0</v>
      </c>
      <c r="M437" s="30"/>
      <c r="N437" s="34"/>
    </row>
    <row r="438" spans="1:14" s="2" customFormat="1" ht="17.100000000000001" customHeight="1" x14ac:dyDescent="0.2">
      <c r="A438" s="2" t="s">
        <v>401</v>
      </c>
      <c r="B438" s="25">
        <v>9620000682</v>
      </c>
      <c r="C438" s="26"/>
      <c r="D438" s="26"/>
      <c r="E438" s="27"/>
      <c r="F438" s="30"/>
      <c r="G438" s="28"/>
      <c r="H438" s="29"/>
      <c r="I438" s="31"/>
      <c r="J438" s="32"/>
      <c r="K438" s="33">
        <f t="shared" si="6"/>
        <v>0</v>
      </c>
      <c r="L438" s="32">
        <f t="shared" si="6"/>
        <v>0</v>
      </c>
      <c r="M438" s="30"/>
      <c r="N438" s="34"/>
    </row>
    <row r="439" spans="1:14" s="2" customFormat="1" ht="17.100000000000001" customHeight="1" x14ac:dyDescent="0.2">
      <c r="A439" s="2" t="s">
        <v>402</v>
      </c>
      <c r="B439" s="25">
        <v>9620000683</v>
      </c>
      <c r="C439" s="26"/>
      <c r="D439" s="26"/>
      <c r="E439" s="27"/>
      <c r="F439" s="30"/>
      <c r="G439" s="28"/>
      <c r="H439" s="29"/>
      <c r="I439" s="31"/>
      <c r="J439" s="32"/>
      <c r="K439" s="33">
        <f t="shared" si="6"/>
        <v>0</v>
      </c>
      <c r="L439" s="32">
        <f t="shared" si="6"/>
        <v>0</v>
      </c>
      <c r="M439" s="30"/>
      <c r="N439" s="34"/>
    </row>
    <row r="440" spans="1:14" s="2" customFormat="1" ht="17.100000000000001" customHeight="1" x14ac:dyDescent="0.2">
      <c r="A440" s="2" t="s">
        <v>403</v>
      </c>
      <c r="B440" s="25">
        <v>9620000684</v>
      </c>
      <c r="C440" s="26"/>
      <c r="D440" s="26"/>
      <c r="E440" s="27"/>
      <c r="F440" s="30"/>
      <c r="G440" s="28"/>
      <c r="H440" s="29"/>
      <c r="I440" s="31"/>
      <c r="J440" s="32"/>
      <c r="K440" s="33">
        <f t="shared" si="6"/>
        <v>0</v>
      </c>
      <c r="L440" s="32">
        <f t="shared" si="6"/>
        <v>0</v>
      </c>
      <c r="M440" s="30"/>
      <c r="N440" s="34"/>
    </row>
    <row r="441" spans="1:14" s="2" customFormat="1" ht="17.100000000000001" customHeight="1" x14ac:dyDescent="0.2">
      <c r="A441" s="2" t="s">
        <v>404</v>
      </c>
      <c r="B441" s="25">
        <v>9620000685</v>
      </c>
      <c r="C441" s="26"/>
      <c r="D441" s="26"/>
      <c r="E441" s="27"/>
      <c r="F441" s="30"/>
      <c r="G441" s="28"/>
      <c r="H441" s="29"/>
      <c r="I441" s="31"/>
      <c r="J441" s="32"/>
      <c r="K441" s="33">
        <f t="shared" si="6"/>
        <v>0</v>
      </c>
      <c r="L441" s="32">
        <f t="shared" si="6"/>
        <v>0</v>
      </c>
      <c r="M441" s="30"/>
      <c r="N441" s="34"/>
    </row>
    <row r="442" spans="1:14" s="2" customFormat="1" ht="17.100000000000001" customHeight="1" x14ac:dyDescent="0.2">
      <c r="A442" s="2" t="s">
        <v>405</v>
      </c>
      <c r="B442" s="25">
        <v>9620000686</v>
      </c>
      <c r="C442" s="26"/>
      <c r="D442" s="26"/>
      <c r="E442" s="27"/>
      <c r="F442" s="30"/>
      <c r="G442" s="28"/>
      <c r="H442" s="29"/>
      <c r="I442" s="31"/>
      <c r="J442" s="32"/>
      <c r="K442" s="33">
        <f t="shared" si="6"/>
        <v>0</v>
      </c>
      <c r="L442" s="32">
        <f t="shared" si="6"/>
        <v>0</v>
      </c>
      <c r="M442" s="30"/>
      <c r="N442" s="34"/>
    </row>
    <row r="443" spans="1:14" s="2" customFormat="1" ht="17.100000000000001" customHeight="1" x14ac:dyDescent="0.2">
      <c r="A443" s="2" t="s">
        <v>406</v>
      </c>
      <c r="B443" s="25">
        <v>9620047086</v>
      </c>
      <c r="C443" s="26"/>
      <c r="D443" s="26"/>
      <c r="E443" s="27"/>
      <c r="F443" s="30"/>
      <c r="G443" s="28"/>
      <c r="H443" s="29"/>
      <c r="I443" s="31"/>
      <c r="J443" s="32"/>
      <c r="K443" s="33">
        <f t="shared" si="6"/>
        <v>0</v>
      </c>
      <c r="L443" s="32">
        <f t="shared" si="6"/>
        <v>0</v>
      </c>
      <c r="M443" s="30"/>
      <c r="N443" s="34"/>
    </row>
    <row r="444" spans="1:14" s="2" customFormat="1" ht="17.100000000000001" customHeight="1" x14ac:dyDescent="0.2">
      <c r="A444" s="2" t="s">
        <v>407</v>
      </c>
      <c r="B444" s="25">
        <v>9620046963</v>
      </c>
      <c r="C444" s="26"/>
      <c r="D444" s="26"/>
      <c r="E444" s="27"/>
      <c r="F444" s="30"/>
      <c r="G444" s="28"/>
      <c r="H444" s="29"/>
      <c r="I444" s="31"/>
      <c r="J444" s="32"/>
      <c r="K444" s="33">
        <f t="shared" si="6"/>
        <v>0</v>
      </c>
      <c r="L444" s="32">
        <f t="shared" si="6"/>
        <v>0</v>
      </c>
      <c r="M444" s="30"/>
      <c r="N444" s="34"/>
    </row>
    <row r="445" spans="1:14" s="2" customFormat="1" ht="17.100000000000001" customHeight="1" x14ac:dyDescent="0.2">
      <c r="A445" s="2" t="s">
        <v>408</v>
      </c>
      <c r="B445" s="25">
        <v>9620000699</v>
      </c>
      <c r="C445" s="26"/>
      <c r="D445" s="26"/>
      <c r="E445" s="27"/>
      <c r="F445" s="30"/>
      <c r="G445" s="28"/>
      <c r="H445" s="29"/>
      <c r="I445" s="31"/>
      <c r="J445" s="32"/>
      <c r="K445" s="33">
        <f t="shared" si="6"/>
        <v>0</v>
      </c>
      <c r="L445" s="32">
        <f t="shared" si="6"/>
        <v>0</v>
      </c>
      <c r="M445" s="30"/>
      <c r="N445" s="34"/>
    </row>
    <row r="446" spans="1:14" s="2" customFormat="1" ht="17.100000000000001" customHeight="1" x14ac:dyDescent="0.2">
      <c r="A446" s="2" t="s">
        <v>409</v>
      </c>
      <c r="B446" s="25">
        <v>9620000702</v>
      </c>
      <c r="C446" s="26"/>
      <c r="D446" s="26"/>
      <c r="E446" s="27"/>
      <c r="F446" s="30"/>
      <c r="G446" s="28"/>
      <c r="H446" s="29"/>
      <c r="I446" s="31"/>
      <c r="J446" s="32"/>
      <c r="K446" s="33">
        <f t="shared" si="6"/>
        <v>0</v>
      </c>
      <c r="L446" s="32">
        <f t="shared" si="6"/>
        <v>0</v>
      </c>
      <c r="M446" s="30"/>
      <c r="N446" s="34"/>
    </row>
    <row r="447" spans="1:14" s="2" customFormat="1" ht="17.100000000000001" customHeight="1" x14ac:dyDescent="0.2">
      <c r="A447" s="2" t="s">
        <v>410</v>
      </c>
      <c r="B447" s="25">
        <v>9620047832</v>
      </c>
      <c r="C447" s="26"/>
      <c r="D447" s="26"/>
      <c r="E447" s="27"/>
      <c r="F447" s="30"/>
      <c r="G447" s="28"/>
      <c r="H447" s="29"/>
      <c r="I447" s="31"/>
      <c r="J447" s="32"/>
      <c r="K447" s="33">
        <f t="shared" si="6"/>
        <v>0</v>
      </c>
      <c r="L447" s="32">
        <f t="shared" si="6"/>
        <v>0</v>
      </c>
      <c r="M447" s="30"/>
      <c r="N447" s="34"/>
    </row>
    <row r="448" spans="1:14" s="2" customFormat="1" ht="17.100000000000001" customHeight="1" x14ac:dyDescent="0.2">
      <c r="A448" s="2" t="s">
        <v>411</v>
      </c>
      <c r="B448" s="25">
        <v>9620000705</v>
      </c>
      <c r="C448" s="26"/>
      <c r="D448" s="26"/>
      <c r="E448" s="27"/>
      <c r="F448" s="30"/>
      <c r="G448" s="28"/>
      <c r="H448" s="29"/>
      <c r="I448" s="31"/>
      <c r="J448" s="32"/>
      <c r="K448" s="33">
        <f t="shared" si="6"/>
        <v>0</v>
      </c>
      <c r="L448" s="32">
        <f t="shared" si="6"/>
        <v>0</v>
      </c>
      <c r="M448" s="30"/>
      <c r="N448" s="34"/>
    </row>
    <row r="449" spans="1:14" s="2" customFormat="1" ht="17.100000000000001" customHeight="1" x14ac:dyDescent="0.2">
      <c r="A449" s="2" t="s">
        <v>412</v>
      </c>
      <c r="B449" s="25">
        <v>9620000710</v>
      </c>
      <c r="C449" s="26"/>
      <c r="D449" s="26"/>
      <c r="E449" s="27"/>
      <c r="F449" s="30"/>
      <c r="G449" s="28"/>
      <c r="H449" s="29"/>
      <c r="I449" s="31"/>
      <c r="J449" s="32"/>
      <c r="K449" s="33">
        <f t="shared" si="6"/>
        <v>0</v>
      </c>
      <c r="L449" s="32">
        <f t="shared" si="6"/>
        <v>0</v>
      </c>
      <c r="M449" s="30"/>
      <c r="N449" s="34"/>
    </row>
    <row r="450" spans="1:14" s="2" customFormat="1" ht="17.100000000000001" customHeight="1" x14ac:dyDescent="0.2">
      <c r="A450" s="2" t="s">
        <v>413</v>
      </c>
      <c r="B450" s="25">
        <v>9620000711</v>
      </c>
      <c r="C450" s="26"/>
      <c r="D450" s="26"/>
      <c r="E450" s="27"/>
      <c r="F450" s="30"/>
      <c r="G450" s="28"/>
      <c r="H450" s="29"/>
      <c r="I450" s="31"/>
      <c r="J450" s="32"/>
      <c r="K450" s="33">
        <f t="shared" ref="K450:L503" si="7">G450-I450</f>
        <v>0</v>
      </c>
      <c r="L450" s="32">
        <f t="shared" si="7"/>
        <v>0</v>
      </c>
      <c r="M450" s="30"/>
      <c r="N450" s="34"/>
    </row>
    <row r="451" spans="1:14" s="2" customFormat="1" ht="17.100000000000001" customHeight="1" x14ac:dyDescent="0.2">
      <c r="A451" s="2" t="s">
        <v>414</v>
      </c>
      <c r="B451" s="25">
        <v>9620047081</v>
      </c>
      <c r="C451" s="26"/>
      <c r="D451" s="26"/>
      <c r="E451" s="27"/>
      <c r="F451" s="30"/>
      <c r="G451" s="28"/>
      <c r="H451" s="29"/>
      <c r="I451" s="31"/>
      <c r="J451" s="32"/>
      <c r="K451" s="33">
        <f t="shared" si="7"/>
        <v>0</v>
      </c>
      <c r="L451" s="32">
        <f t="shared" si="7"/>
        <v>0</v>
      </c>
      <c r="M451" s="30"/>
      <c r="N451" s="34"/>
    </row>
    <row r="452" spans="1:14" s="2" customFormat="1" ht="17.100000000000001" customHeight="1" x14ac:dyDescent="0.2">
      <c r="A452" s="2" t="s">
        <v>415</v>
      </c>
      <c r="B452" s="25">
        <v>9620000714</v>
      </c>
      <c r="C452" s="26"/>
      <c r="D452" s="26"/>
      <c r="E452" s="27"/>
      <c r="F452" s="30"/>
      <c r="G452" s="28"/>
      <c r="H452" s="29"/>
      <c r="I452" s="31"/>
      <c r="J452" s="32"/>
      <c r="K452" s="33">
        <f t="shared" si="7"/>
        <v>0</v>
      </c>
      <c r="L452" s="32">
        <f t="shared" si="7"/>
        <v>0</v>
      </c>
      <c r="M452" s="30"/>
      <c r="N452" s="34"/>
    </row>
    <row r="453" spans="1:14" s="2" customFormat="1" ht="17.100000000000001" customHeight="1" x14ac:dyDescent="0.2">
      <c r="A453" s="2" t="s">
        <v>416</v>
      </c>
      <c r="B453" s="25">
        <v>9620000715</v>
      </c>
      <c r="C453" s="26"/>
      <c r="D453" s="26"/>
      <c r="E453" s="27"/>
      <c r="F453" s="30"/>
      <c r="G453" s="28"/>
      <c r="H453" s="29"/>
      <c r="I453" s="31"/>
      <c r="J453" s="32"/>
      <c r="K453" s="33">
        <f t="shared" si="7"/>
        <v>0</v>
      </c>
      <c r="L453" s="32">
        <f t="shared" si="7"/>
        <v>0</v>
      </c>
      <c r="M453" s="30"/>
      <c r="N453" s="34"/>
    </row>
    <row r="454" spans="1:14" s="2" customFormat="1" ht="17.100000000000001" customHeight="1" x14ac:dyDescent="0.2">
      <c r="A454" s="2" t="s">
        <v>417</v>
      </c>
      <c r="B454" s="25">
        <v>9620000716</v>
      </c>
      <c r="C454" s="26"/>
      <c r="D454" s="26"/>
      <c r="E454" s="27"/>
      <c r="F454" s="30"/>
      <c r="G454" s="28"/>
      <c r="H454" s="29"/>
      <c r="I454" s="31"/>
      <c r="J454" s="32"/>
      <c r="K454" s="33">
        <f t="shared" si="7"/>
        <v>0</v>
      </c>
      <c r="L454" s="32">
        <f t="shared" si="7"/>
        <v>0</v>
      </c>
      <c r="M454" s="30"/>
      <c r="N454" s="34"/>
    </row>
    <row r="455" spans="1:14" s="2" customFormat="1" ht="17.100000000000001" customHeight="1" x14ac:dyDescent="0.2">
      <c r="A455" s="2" t="s">
        <v>418</v>
      </c>
      <c r="B455" s="25">
        <v>9620000723</v>
      </c>
      <c r="C455" s="26"/>
      <c r="D455" s="26"/>
      <c r="E455" s="27"/>
      <c r="F455" s="30"/>
      <c r="G455" s="28"/>
      <c r="H455" s="29"/>
      <c r="I455" s="31"/>
      <c r="J455" s="32"/>
      <c r="K455" s="33">
        <f t="shared" si="7"/>
        <v>0</v>
      </c>
      <c r="L455" s="32">
        <f t="shared" si="7"/>
        <v>0</v>
      </c>
      <c r="M455" s="30"/>
      <c r="N455" s="34"/>
    </row>
    <row r="456" spans="1:14" s="2" customFormat="1" ht="17.100000000000001" customHeight="1" x14ac:dyDescent="0.2">
      <c r="A456" s="2" t="s">
        <v>419</v>
      </c>
      <c r="B456" s="25">
        <v>9620000726</v>
      </c>
      <c r="C456" s="26"/>
      <c r="D456" s="26"/>
      <c r="E456" s="27"/>
      <c r="F456" s="30"/>
      <c r="G456" s="33"/>
      <c r="H456" s="29"/>
      <c r="I456" s="31"/>
      <c r="J456" s="32"/>
      <c r="K456" s="33">
        <f t="shared" si="7"/>
        <v>0</v>
      </c>
      <c r="L456" s="32">
        <f t="shared" si="7"/>
        <v>0</v>
      </c>
      <c r="M456" s="30"/>
      <c r="N456" s="34"/>
    </row>
    <row r="457" spans="1:14" ht="17.100000000000001" customHeight="1" x14ac:dyDescent="0.2">
      <c r="B457" s="25"/>
      <c r="C457" s="26"/>
      <c r="D457" s="26"/>
      <c r="E457" s="36"/>
      <c r="F457" s="37"/>
      <c r="G457" s="33"/>
      <c r="H457" s="29"/>
      <c r="I457" s="31"/>
      <c r="J457" s="29"/>
      <c r="K457" s="33">
        <f t="shared" si="7"/>
        <v>0</v>
      </c>
      <c r="L457" s="32">
        <f t="shared" si="7"/>
        <v>0</v>
      </c>
      <c r="M457" s="37"/>
      <c r="N457" s="34"/>
    </row>
    <row r="458" spans="1:14" ht="17.100000000000001" customHeight="1" x14ac:dyDescent="0.2">
      <c r="B458" s="25"/>
      <c r="C458" s="26"/>
      <c r="D458" s="26"/>
      <c r="E458" s="36"/>
      <c r="F458" s="37"/>
      <c r="G458" s="33"/>
      <c r="H458" s="29"/>
      <c r="I458" s="31"/>
      <c r="J458" s="29"/>
      <c r="K458" s="33">
        <f t="shared" si="7"/>
        <v>0</v>
      </c>
      <c r="L458" s="32">
        <f t="shared" si="7"/>
        <v>0</v>
      </c>
      <c r="M458" s="37"/>
      <c r="N458" s="34"/>
    </row>
    <row r="459" spans="1:14" ht="17.100000000000001" customHeight="1" x14ac:dyDescent="0.2">
      <c r="B459" s="25"/>
      <c r="C459" s="26"/>
      <c r="D459" s="26"/>
      <c r="E459" s="36"/>
      <c r="F459" s="37"/>
      <c r="G459" s="33"/>
      <c r="H459" s="29"/>
      <c r="I459" s="31"/>
      <c r="J459" s="29"/>
      <c r="K459" s="33">
        <f t="shared" si="7"/>
        <v>0</v>
      </c>
      <c r="L459" s="32">
        <f t="shared" si="7"/>
        <v>0</v>
      </c>
      <c r="M459" s="37"/>
      <c r="N459" s="34"/>
    </row>
    <row r="460" spans="1:14" ht="17.100000000000001" customHeight="1" x14ac:dyDescent="0.2">
      <c r="B460" s="25"/>
      <c r="C460" s="26"/>
      <c r="D460" s="26"/>
      <c r="E460" s="36"/>
      <c r="F460" s="37"/>
      <c r="G460" s="33"/>
      <c r="H460" s="29"/>
      <c r="I460" s="31"/>
      <c r="J460" s="29"/>
      <c r="K460" s="33">
        <f t="shared" si="7"/>
        <v>0</v>
      </c>
      <c r="L460" s="32">
        <f t="shared" si="7"/>
        <v>0</v>
      </c>
      <c r="M460" s="37"/>
      <c r="N460" s="34"/>
    </row>
    <row r="461" spans="1:14" ht="17.100000000000001" customHeight="1" x14ac:dyDescent="0.2">
      <c r="B461" s="25"/>
      <c r="C461" s="26"/>
      <c r="D461" s="26"/>
      <c r="E461" s="36"/>
      <c r="F461" s="37"/>
      <c r="G461" s="33"/>
      <c r="H461" s="29"/>
      <c r="I461" s="31"/>
      <c r="J461" s="29"/>
      <c r="K461" s="33">
        <f t="shared" si="7"/>
        <v>0</v>
      </c>
      <c r="L461" s="32">
        <f t="shared" si="7"/>
        <v>0</v>
      </c>
      <c r="M461" s="37"/>
      <c r="N461" s="34"/>
    </row>
    <row r="462" spans="1:14" ht="17.100000000000001" customHeight="1" x14ac:dyDescent="0.2">
      <c r="B462" s="25"/>
      <c r="C462" s="26"/>
      <c r="D462" s="26"/>
      <c r="E462" s="36"/>
      <c r="F462" s="37"/>
      <c r="G462" s="33"/>
      <c r="H462" s="29"/>
      <c r="I462" s="31"/>
      <c r="J462" s="29"/>
      <c r="K462" s="33">
        <f t="shared" si="7"/>
        <v>0</v>
      </c>
      <c r="L462" s="32">
        <f t="shared" si="7"/>
        <v>0</v>
      </c>
      <c r="M462" s="37"/>
      <c r="N462" s="34"/>
    </row>
    <row r="463" spans="1:14" ht="17.100000000000001" customHeight="1" x14ac:dyDescent="0.2">
      <c r="B463" s="25"/>
      <c r="C463" s="26"/>
      <c r="D463" s="26"/>
      <c r="E463" s="36"/>
      <c r="F463" s="37"/>
      <c r="G463" s="33"/>
      <c r="H463" s="29"/>
      <c r="I463" s="31"/>
      <c r="J463" s="29"/>
      <c r="K463" s="33">
        <f t="shared" si="7"/>
        <v>0</v>
      </c>
      <c r="L463" s="32">
        <f t="shared" si="7"/>
        <v>0</v>
      </c>
      <c r="M463" s="37"/>
      <c r="N463" s="34"/>
    </row>
    <row r="464" spans="1:14" ht="17.100000000000001" customHeight="1" x14ac:dyDescent="0.2">
      <c r="B464" s="25"/>
      <c r="C464" s="26"/>
      <c r="D464" s="26"/>
      <c r="E464" s="36"/>
      <c r="F464" s="37"/>
      <c r="G464" s="33"/>
      <c r="H464" s="29"/>
      <c r="I464" s="31"/>
      <c r="J464" s="29"/>
      <c r="K464" s="33">
        <f t="shared" si="7"/>
        <v>0</v>
      </c>
      <c r="L464" s="32">
        <f t="shared" si="7"/>
        <v>0</v>
      </c>
      <c r="M464" s="37"/>
      <c r="N464" s="34"/>
    </row>
    <row r="465" spans="2:14" ht="17.100000000000001" customHeight="1" x14ac:dyDescent="0.2">
      <c r="B465" s="25"/>
      <c r="C465" s="26"/>
      <c r="D465" s="26"/>
      <c r="E465" s="36"/>
      <c r="F465" s="37"/>
      <c r="G465" s="33"/>
      <c r="H465" s="29"/>
      <c r="I465" s="31"/>
      <c r="J465" s="29"/>
      <c r="K465" s="33">
        <f t="shared" si="7"/>
        <v>0</v>
      </c>
      <c r="L465" s="32">
        <f t="shared" si="7"/>
        <v>0</v>
      </c>
      <c r="M465" s="37"/>
      <c r="N465" s="34"/>
    </row>
    <row r="466" spans="2:14" ht="17.100000000000001" customHeight="1" x14ac:dyDescent="0.2">
      <c r="B466" s="25"/>
      <c r="C466" s="26"/>
      <c r="D466" s="26"/>
      <c r="E466" s="36"/>
      <c r="F466" s="37"/>
      <c r="G466" s="33"/>
      <c r="H466" s="29"/>
      <c r="I466" s="31"/>
      <c r="J466" s="29"/>
      <c r="K466" s="33">
        <f t="shared" si="7"/>
        <v>0</v>
      </c>
      <c r="L466" s="32">
        <f t="shared" si="7"/>
        <v>0</v>
      </c>
      <c r="M466" s="37"/>
      <c r="N466" s="34"/>
    </row>
    <row r="467" spans="2:14" ht="17.100000000000001" customHeight="1" x14ac:dyDescent="0.2">
      <c r="B467" s="25"/>
      <c r="C467" s="26"/>
      <c r="D467" s="26"/>
      <c r="E467" s="36"/>
      <c r="F467" s="37"/>
      <c r="G467" s="33"/>
      <c r="H467" s="29"/>
      <c r="I467" s="31"/>
      <c r="J467" s="29"/>
      <c r="K467" s="33">
        <f t="shared" si="7"/>
        <v>0</v>
      </c>
      <c r="L467" s="32">
        <f t="shared" si="7"/>
        <v>0</v>
      </c>
      <c r="M467" s="37"/>
      <c r="N467" s="34"/>
    </row>
    <row r="468" spans="2:14" ht="17.100000000000001" customHeight="1" x14ac:dyDescent="0.2">
      <c r="B468" s="25"/>
      <c r="C468" s="26"/>
      <c r="D468" s="26"/>
      <c r="E468" s="36"/>
      <c r="F468" s="37"/>
      <c r="G468" s="33"/>
      <c r="H468" s="29"/>
      <c r="I468" s="31"/>
      <c r="J468" s="29"/>
      <c r="K468" s="33">
        <f t="shared" si="7"/>
        <v>0</v>
      </c>
      <c r="L468" s="32">
        <f t="shared" si="7"/>
        <v>0</v>
      </c>
      <c r="M468" s="37"/>
      <c r="N468" s="34"/>
    </row>
    <row r="469" spans="2:14" ht="17.100000000000001" customHeight="1" x14ac:dyDescent="0.2">
      <c r="B469" s="25"/>
      <c r="C469" s="26"/>
      <c r="D469" s="26"/>
      <c r="E469" s="36"/>
      <c r="F469" s="37"/>
      <c r="G469" s="33"/>
      <c r="H469" s="29"/>
      <c r="I469" s="31"/>
      <c r="J469" s="29"/>
      <c r="K469" s="33">
        <f t="shared" si="7"/>
        <v>0</v>
      </c>
      <c r="L469" s="32">
        <f t="shared" si="7"/>
        <v>0</v>
      </c>
      <c r="M469" s="37"/>
      <c r="N469" s="34"/>
    </row>
    <row r="470" spans="2:14" ht="17.100000000000001" customHeight="1" x14ac:dyDescent="0.2">
      <c r="B470" s="25"/>
      <c r="C470" s="26"/>
      <c r="D470" s="26"/>
      <c r="E470" s="36"/>
      <c r="F470" s="37"/>
      <c r="G470" s="33"/>
      <c r="H470" s="29"/>
      <c r="I470" s="31"/>
      <c r="J470" s="29"/>
      <c r="K470" s="33">
        <f t="shared" si="7"/>
        <v>0</v>
      </c>
      <c r="L470" s="32">
        <f t="shared" si="7"/>
        <v>0</v>
      </c>
      <c r="M470" s="37"/>
      <c r="N470" s="34"/>
    </row>
    <row r="471" spans="2:14" ht="17.100000000000001" customHeight="1" x14ac:dyDescent="0.2">
      <c r="B471" s="25"/>
      <c r="C471" s="26"/>
      <c r="D471" s="26"/>
      <c r="E471" s="36"/>
      <c r="F471" s="37"/>
      <c r="G471" s="33"/>
      <c r="H471" s="29"/>
      <c r="I471" s="31"/>
      <c r="J471" s="29"/>
      <c r="K471" s="33">
        <f t="shared" si="7"/>
        <v>0</v>
      </c>
      <c r="L471" s="32">
        <f t="shared" si="7"/>
        <v>0</v>
      </c>
      <c r="M471" s="37"/>
      <c r="N471" s="34"/>
    </row>
    <row r="472" spans="2:14" ht="17.100000000000001" customHeight="1" x14ac:dyDescent="0.2">
      <c r="B472" s="25"/>
      <c r="C472" s="26"/>
      <c r="D472" s="26"/>
      <c r="E472" s="36"/>
      <c r="F472" s="37"/>
      <c r="G472" s="33"/>
      <c r="H472" s="29"/>
      <c r="I472" s="31"/>
      <c r="J472" s="29"/>
      <c r="K472" s="33">
        <f t="shared" si="7"/>
        <v>0</v>
      </c>
      <c r="L472" s="32">
        <f t="shared" si="7"/>
        <v>0</v>
      </c>
      <c r="M472" s="37"/>
      <c r="N472" s="34"/>
    </row>
    <row r="473" spans="2:14" ht="17.100000000000001" customHeight="1" x14ac:dyDescent="0.2">
      <c r="B473" s="25"/>
      <c r="C473" s="26"/>
      <c r="D473" s="26"/>
      <c r="E473" s="36"/>
      <c r="F473" s="37"/>
      <c r="G473" s="33"/>
      <c r="H473" s="29"/>
      <c r="I473" s="31"/>
      <c r="J473" s="29"/>
      <c r="K473" s="33">
        <f t="shared" si="7"/>
        <v>0</v>
      </c>
      <c r="L473" s="32">
        <f t="shared" si="7"/>
        <v>0</v>
      </c>
      <c r="M473" s="37"/>
      <c r="N473" s="34"/>
    </row>
    <row r="474" spans="2:14" ht="17.100000000000001" customHeight="1" x14ac:dyDescent="0.2">
      <c r="B474" s="25"/>
      <c r="C474" s="26"/>
      <c r="D474" s="26"/>
      <c r="E474" s="36"/>
      <c r="F474" s="37"/>
      <c r="G474" s="33"/>
      <c r="H474" s="29"/>
      <c r="I474" s="31"/>
      <c r="J474" s="29"/>
      <c r="K474" s="33">
        <f t="shared" si="7"/>
        <v>0</v>
      </c>
      <c r="L474" s="32">
        <f t="shared" si="7"/>
        <v>0</v>
      </c>
      <c r="M474" s="37"/>
      <c r="N474" s="34"/>
    </row>
    <row r="475" spans="2:14" ht="17.100000000000001" customHeight="1" x14ac:dyDescent="0.2">
      <c r="B475" s="25"/>
      <c r="C475" s="26"/>
      <c r="D475" s="26"/>
      <c r="E475" s="36"/>
      <c r="F475" s="37"/>
      <c r="G475" s="33"/>
      <c r="H475" s="29"/>
      <c r="I475" s="31"/>
      <c r="J475" s="29"/>
      <c r="K475" s="33">
        <f t="shared" si="7"/>
        <v>0</v>
      </c>
      <c r="L475" s="32">
        <f t="shared" si="7"/>
        <v>0</v>
      </c>
      <c r="M475" s="37"/>
      <c r="N475" s="34"/>
    </row>
    <row r="476" spans="2:14" ht="17.100000000000001" customHeight="1" x14ac:dyDescent="0.2">
      <c r="B476" s="25"/>
      <c r="C476" s="26"/>
      <c r="D476" s="26"/>
      <c r="E476" s="36"/>
      <c r="F476" s="37"/>
      <c r="G476" s="33"/>
      <c r="H476" s="29"/>
      <c r="I476" s="31"/>
      <c r="J476" s="29"/>
      <c r="K476" s="33">
        <f t="shared" si="7"/>
        <v>0</v>
      </c>
      <c r="L476" s="32">
        <f t="shared" si="7"/>
        <v>0</v>
      </c>
      <c r="M476" s="37"/>
      <c r="N476" s="34"/>
    </row>
    <row r="477" spans="2:14" ht="17.100000000000001" customHeight="1" x14ac:dyDescent="0.2">
      <c r="B477" s="25"/>
      <c r="C477" s="26"/>
      <c r="D477" s="26"/>
      <c r="E477" s="36"/>
      <c r="F477" s="37"/>
      <c r="G477" s="33"/>
      <c r="H477" s="29"/>
      <c r="I477" s="31"/>
      <c r="J477" s="29"/>
      <c r="K477" s="33">
        <f t="shared" si="7"/>
        <v>0</v>
      </c>
      <c r="L477" s="32">
        <f t="shared" si="7"/>
        <v>0</v>
      </c>
      <c r="M477" s="37"/>
      <c r="N477" s="34"/>
    </row>
    <row r="478" spans="2:14" ht="17.100000000000001" customHeight="1" x14ac:dyDescent="0.2">
      <c r="B478" s="25"/>
      <c r="C478" s="26"/>
      <c r="D478" s="26"/>
      <c r="E478" s="36"/>
      <c r="F478" s="37"/>
      <c r="G478" s="33"/>
      <c r="H478" s="29"/>
      <c r="I478" s="31"/>
      <c r="J478" s="29"/>
      <c r="K478" s="33">
        <f t="shared" si="7"/>
        <v>0</v>
      </c>
      <c r="L478" s="32">
        <f t="shared" si="7"/>
        <v>0</v>
      </c>
      <c r="M478" s="37"/>
      <c r="N478" s="34"/>
    </row>
    <row r="479" spans="2:14" ht="17.100000000000001" customHeight="1" x14ac:dyDescent="0.2">
      <c r="B479" s="25"/>
      <c r="C479" s="26"/>
      <c r="D479" s="26"/>
      <c r="E479" s="36"/>
      <c r="F479" s="37"/>
      <c r="G479" s="33"/>
      <c r="H479" s="29"/>
      <c r="I479" s="31"/>
      <c r="J479" s="29"/>
      <c r="K479" s="33">
        <f t="shared" si="7"/>
        <v>0</v>
      </c>
      <c r="L479" s="32">
        <f t="shared" si="7"/>
        <v>0</v>
      </c>
      <c r="M479" s="37"/>
      <c r="N479" s="34"/>
    </row>
    <row r="480" spans="2:14" ht="17.100000000000001" customHeight="1" x14ac:dyDescent="0.2">
      <c r="B480" s="25"/>
      <c r="C480" s="26"/>
      <c r="D480" s="26"/>
      <c r="E480" s="36"/>
      <c r="F480" s="37"/>
      <c r="G480" s="33"/>
      <c r="H480" s="29"/>
      <c r="I480" s="31"/>
      <c r="J480" s="29"/>
      <c r="K480" s="33">
        <f t="shared" si="7"/>
        <v>0</v>
      </c>
      <c r="L480" s="32">
        <f t="shared" si="7"/>
        <v>0</v>
      </c>
      <c r="M480" s="37"/>
      <c r="N480" s="34"/>
    </row>
    <row r="481" spans="2:14" ht="17.100000000000001" customHeight="1" x14ac:dyDescent="0.2">
      <c r="B481" s="25"/>
      <c r="C481" s="26"/>
      <c r="D481" s="26"/>
      <c r="E481" s="36"/>
      <c r="F481" s="37"/>
      <c r="G481" s="33"/>
      <c r="H481" s="29"/>
      <c r="I481" s="31"/>
      <c r="J481" s="29"/>
      <c r="K481" s="33">
        <f t="shared" si="7"/>
        <v>0</v>
      </c>
      <c r="L481" s="32">
        <f t="shared" si="7"/>
        <v>0</v>
      </c>
      <c r="M481" s="37"/>
      <c r="N481" s="34"/>
    </row>
    <row r="482" spans="2:14" ht="17.100000000000001" customHeight="1" x14ac:dyDescent="0.2">
      <c r="B482" s="25"/>
      <c r="C482" s="26"/>
      <c r="D482" s="26"/>
      <c r="E482" s="36"/>
      <c r="F482" s="37"/>
      <c r="G482" s="33"/>
      <c r="H482" s="29"/>
      <c r="I482" s="31"/>
      <c r="J482" s="29"/>
      <c r="K482" s="33">
        <f t="shared" si="7"/>
        <v>0</v>
      </c>
      <c r="L482" s="32">
        <f t="shared" si="7"/>
        <v>0</v>
      </c>
      <c r="M482" s="37"/>
      <c r="N482" s="34"/>
    </row>
    <row r="483" spans="2:14" ht="17.100000000000001" customHeight="1" x14ac:dyDescent="0.2">
      <c r="B483" s="25"/>
      <c r="C483" s="26"/>
      <c r="D483" s="26"/>
      <c r="E483" s="36"/>
      <c r="F483" s="37"/>
      <c r="G483" s="33"/>
      <c r="H483" s="29"/>
      <c r="I483" s="31"/>
      <c r="J483" s="29"/>
      <c r="K483" s="33">
        <f t="shared" si="7"/>
        <v>0</v>
      </c>
      <c r="L483" s="32">
        <f t="shared" si="7"/>
        <v>0</v>
      </c>
      <c r="M483" s="37"/>
      <c r="N483" s="34"/>
    </row>
    <row r="484" spans="2:14" ht="17.100000000000001" customHeight="1" x14ac:dyDescent="0.2">
      <c r="B484" s="25"/>
      <c r="C484" s="26"/>
      <c r="D484" s="26"/>
      <c r="E484" s="36"/>
      <c r="F484" s="37"/>
      <c r="G484" s="33"/>
      <c r="H484" s="29"/>
      <c r="I484" s="31"/>
      <c r="J484" s="29"/>
      <c r="K484" s="33">
        <f t="shared" si="7"/>
        <v>0</v>
      </c>
      <c r="L484" s="32">
        <f t="shared" si="7"/>
        <v>0</v>
      </c>
      <c r="M484" s="37"/>
      <c r="N484" s="34"/>
    </row>
    <row r="485" spans="2:14" ht="17.100000000000001" customHeight="1" x14ac:dyDescent="0.2">
      <c r="B485" s="25"/>
      <c r="C485" s="26"/>
      <c r="D485" s="26"/>
      <c r="E485" s="36"/>
      <c r="F485" s="37"/>
      <c r="G485" s="33"/>
      <c r="H485" s="29"/>
      <c r="I485" s="31"/>
      <c r="J485" s="29"/>
      <c r="K485" s="33">
        <f t="shared" si="7"/>
        <v>0</v>
      </c>
      <c r="L485" s="32">
        <f t="shared" si="7"/>
        <v>0</v>
      </c>
      <c r="M485" s="37"/>
      <c r="N485" s="34"/>
    </row>
    <row r="486" spans="2:14" ht="17.100000000000001" customHeight="1" x14ac:dyDescent="0.2">
      <c r="B486" s="25"/>
      <c r="C486" s="26"/>
      <c r="D486" s="26"/>
      <c r="E486" s="36"/>
      <c r="F486" s="37"/>
      <c r="G486" s="33"/>
      <c r="H486" s="29"/>
      <c r="I486" s="31"/>
      <c r="J486" s="29"/>
      <c r="K486" s="33">
        <f t="shared" si="7"/>
        <v>0</v>
      </c>
      <c r="L486" s="32">
        <f t="shared" si="7"/>
        <v>0</v>
      </c>
      <c r="M486" s="37"/>
      <c r="N486" s="34"/>
    </row>
    <row r="487" spans="2:14" ht="17.100000000000001" customHeight="1" x14ac:dyDescent="0.2">
      <c r="B487" s="25"/>
      <c r="C487" s="26"/>
      <c r="D487" s="26"/>
      <c r="E487" s="36"/>
      <c r="F487" s="37"/>
      <c r="G487" s="33"/>
      <c r="H487" s="29"/>
      <c r="I487" s="31"/>
      <c r="J487" s="29"/>
      <c r="K487" s="33">
        <f t="shared" si="7"/>
        <v>0</v>
      </c>
      <c r="L487" s="32">
        <f t="shared" si="7"/>
        <v>0</v>
      </c>
      <c r="M487" s="37"/>
      <c r="N487" s="34"/>
    </row>
    <row r="488" spans="2:14" ht="17.100000000000001" customHeight="1" x14ac:dyDescent="0.2">
      <c r="B488" s="25"/>
      <c r="C488" s="26"/>
      <c r="D488" s="26"/>
      <c r="E488" s="36"/>
      <c r="F488" s="37"/>
      <c r="G488" s="33"/>
      <c r="H488" s="29"/>
      <c r="I488" s="31"/>
      <c r="J488" s="29"/>
      <c r="K488" s="33">
        <f t="shared" si="7"/>
        <v>0</v>
      </c>
      <c r="L488" s="32">
        <f t="shared" si="7"/>
        <v>0</v>
      </c>
      <c r="M488" s="37"/>
      <c r="N488" s="34"/>
    </row>
    <row r="489" spans="2:14" ht="17.100000000000001" customHeight="1" x14ac:dyDescent="0.2">
      <c r="B489" s="25"/>
      <c r="C489" s="26"/>
      <c r="D489" s="26"/>
      <c r="E489" s="36"/>
      <c r="F489" s="37"/>
      <c r="G489" s="33"/>
      <c r="H489" s="29"/>
      <c r="I489" s="31"/>
      <c r="J489" s="29"/>
      <c r="K489" s="33">
        <f t="shared" si="7"/>
        <v>0</v>
      </c>
      <c r="L489" s="32">
        <f t="shared" si="7"/>
        <v>0</v>
      </c>
      <c r="M489" s="37"/>
      <c r="N489" s="34"/>
    </row>
    <row r="490" spans="2:14" ht="17.100000000000001" customHeight="1" x14ac:dyDescent="0.2">
      <c r="B490" s="25"/>
      <c r="C490" s="26"/>
      <c r="D490" s="26"/>
      <c r="E490" s="36"/>
      <c r="F490" s="37"/>
      <c r="G490" s="33"/>
      <c r="H490" s="29"/>
      <c r="I490" s="31"/>
      <c r="J490" s="29"/>
      <c r="K490" s="33">
        <f t="shared" si="7"/>
        <v>0</v>
      </c>
      <c r="L490" s="32">
        <f t="shared" si="7"/>
        <v>0</v>
      </c>
      <c r="M490" s="37"/>
      <c r="N490" s="34"/>
    </row>
    <row r="491" spans="2:14" ht="17.100000000000001" customHeight="1" x14ac:dyDescent="0.2">
      <c r="B491" s="25"/>
      <c r="C491" s="26"/>
      <c r="D491" s="26"/>
      <c r="E491" s="36"/>
      <c r="F491" s="37"/>
      <c r="G491" s="33"/>
      <c r="H491" s="29"/>
      <c r="I491" s="31"/>
      <c r="J491" s="29"/>
      <c r="K491" s="33">
        <f t="shared" si="7"/>
        <v>0</v>
      </c>
      <c r="L491" s="32">
        <f t="shared" si="7"/>
        <v>0</v>
      </c>
      <c r="M491" s="37"/>
      <c r="N491" s="34"/>
    </row>
    <row r="492" spans="2:14" ht="17.100000000000001" customHeight="1" x14ac:dyDescent="0.2">
      <c r="B492" s="25"/>
      <c r="C492" s="26"/>
      <c r="D492" s="26"/>
      <c r="E492" s="36"/>
      <c r="F492" s="37"/>
      <c r="G492" s="33"/>
      <c r="H492" s="29"/>
      <c r="I492" s="31"/>
      <c r="J492" s="29"/>
      <c r="K492" s="33">
        <f t="shared" si="7"/>
        <v>0</v>
      </c>
      <c r="L492" s="32">
        <f t="shared" si="7"/>
        <v>0</v>
      </c>
      <c r="M492" s="37"/>
      <c r="N492" s="34"/>
    </row>
    <row r="493" spans="2:14" ht="17.100000000000001" customHeight="1" x14ac:dyDescent="0.2">
      <c r="B493" s="25"/>
      <c r="C493" s="26"/>
      <c r="D493" s="26"/>
      <c r="E493" s="36"/>
      <c r="F493" s="37"/>
      <c r="G493" s="33"/>
      <c r="H493" s="29"/>
      <c r="I493" s="31"/>
      <c r="J493" s="29"/>
      <c r="K493" s="33">
        <f t="shared" si="7"/>
        <v>0</v>
      </c>
      <c r="L493" s="32">
        <f t="shared" si="7"/>
        <v>0</v>
      </c>
      <c r="M493" s="37"/>
      <c r="N493" s="34"/>
    </row>
    <row r="494" spans="2:14" ht="17.100000000000001" customHeight="1" x14ac:dyDescent="0.2">
      <c r="B494" s="25"/>
      <c r="C494" s="26"/>
      <c r="D494" s="26"/>
      <c r="E494" s="36"/>
      <c r="F494" s="37"/>
      <c r="G494" s="33"/>
      <c r="H494" s="29"/>
      <c r="I494" s="31"/>
      <c r="J494" s="29"/>
      <c r="K494" s="33">
        <f t="shared" si="7"/>
        <v>0</v>
      </c>
      <c r="L494" s="32">
        <f t="shared" si="7"/>
        <v>0</v>
      </c>
      <c r="M494" s="37"/>
      <c r="N494" s="34"/>
    </row>
    <row r="495" spans="2:14" ht="17.100000000000001" customHeight="1" x14ac:dyDescent="0.2">
      <c r="B495" s="25"/>
      <c r="C495" s="26"/>
      <c r="D495" s="26"/>
      <c r="E495" s="36"/>
      <c r="F495" s="37"/>
      <c r="G495" s="33"/>
      <c r="H495" s="29"/>
      <c r="I495" s="31"/>
      <c r="J495" s="29"/>
      <c r="K495" s="33">
        <f t="shared" si="7"/>
        <v>0</v>
      </c>
      <c r="L495" s="32">
        <f t="shared" si="7"/>
        <v>0</v>
      </c>
      <c r="M495" s="37"/>
      <c r="N495" s="34"/>
    </row>
    <row r="496" spans="2:14" ht="17.100000000000001" customHeight="1" x14ac:dyDescent="0.2">
      <c r="B496" s="25"/>
      <c r="C496" s="26"/>
      <c r="D496" s="26"/>
      <c r="E496" s="36"/>
      <c r="F496" s="37"/>
      <c r="G496" s="33"/>
      <c r="H496" s="29"/>
      <c r="I496" s="31"/>
      <c r="J496" s="29"/>
      <c r="K496" s="33">
        <f t="shared" si="7"/>
        <v>0</v>
      </c>
      <c r="L496" s="32">
        <f t="shared" si="7"/>
        <v>0</v>
      </c>
      <c r="M496" s="37"/>
      <c r="N496" s="34"/>
    </row>
    <row r="497" spans="2:14" ht="17.100000000000001" customHeight="1" x14ac:dyDescent="0.2">
      <c r="B497" s="25"/>
      <c r="C497" s="26"/>
      <c r="D497" s="26"/>
      <c r="E497" s="36"/>
      <c r="F497" s="37"/>
      <c r="G497" s="33"/>
      <c r="H497" s="29"/>
      <c r="I497" s="31"/>
      <c r="J497" s="29"/>
      <c r="K497" s="33">
        <f t="shared" si="7"/>
        <v>0</v>
      </c>
      <c r="L497" s="32">
        <f t="shared" si="7"/>
        <v>0</v>
      </c>
      <c r="M497" s="37"/>
      <c r="N497" s="34"/>
    </row>
    <row r="498" spans="2:14" ht="17.100000000000001" customHeight="1" x14ac:dyDescent="0.2">
      <c r="B498" s="25"/>
      <c r="C498" s="26"/>
      <c r="D498" s="26"/>
      <c r="E498" s="36"/>
      <c r="F498" s="37"/>
      <c r="G498" s="33"/>
      <c r="H498" s="29"/>
      <c r="I498" s="31"/>
      <c r="J498" s="29"/>
      <c r="K498" s="33">
        <f t="shared" si="7"/>
        <v>0</v>
      </c>
      <c r="L498" s="32">
        <f t="shared" si="7"/>
        <v>0</v>
      </c>
      <c r="M498" s="37"/>
      <c r="N498" s="34"/>
    </row>
    <row r="499" spans="2:14" ht="17.100000000000001" customHeight="1" x14ac:dyDescent="0.2">
      <c r="B499" s="25"/>
      <c r="C499" s="26"/>
      <c r="D499" s="26"/>
      <c r="E499" s="36"/>
      <c r="F499" s="37"/>
      <c r="G499" s="33"/>
      <c r="H499" s="29"/>
      <c r="I499" s="31"/>
      <c r="J499" s="29"/>
      <c r="K499" s="33">
        <f t="shared" si="7"/>
        <v>0</v>
      </c>
      <c r="L499" s="32">
        <f t="shared" si="7"/>
        <v>0</v>
      </c>
      <c r="M499" s="37"/>
      <c r="N499" s="34"/>
    </row>
    <row r="500" spans="2:14" ht="17.100000000000001" customHeight="1" x14ac:dyDescent="0.2">
      <c r="B500" s="25"/>
      <c r="C500" s="26"/>
      <c r="D500" s="26"/>
      <c r="E500" s="36"/>
      <c r="F500" s="37"/>
      <c r="G500" s="33"/>
      <c r="H500" s="29"/>
      <c r="I500" s="31"/>
      <c r="J500" s="29"/>
      <c r="K500" s="33">
        <f t="shared" si="7"/>
        <v>0</v>
      </c>
      <c r="L500" s="32">
        <f t="shared" si="7"/>
        <v>0</v>
      </c>
      <c r="M500" s="37"/>
      <c r="N500" s="34"/>
    </row>
    <row r="501" spans="2:14" ht="17.100000000000001" customHeight="1" x14ac:dyDescent="0.2">
      <c r="B501" s="25"/>
      <c r="C501" s="26"/>
      <c r="D501" s="26"/>
      <c r="E501" s="36"/>
      <c r="F501" s="37"/>
      <c r="G501" s="33"/>
      <c r="H501" s="29"/>
      <c r="I501" s="31"/>
      <c r="J501" s="29"/>
      <c r="K501" s="33">
        <f t="shared" si="7"/>
        <v>0</v>
      </c>
      <c r="L501" s="32">
        <f t="shared" si="7"/>
        <v>0</v>
      </c>
      <c r="M501" s="37"/>
      <c r="N501" s="34"/>
    </row>
    <row r="502" spans="2:14" ht="17.100000000000001" customHeight="1" x14ac:dyDescent="0.2">
      <c r="B502" s="25"/>
      <c r="C502" s="26"/>
      <c r="D502" s="26"/>
      <c r="E502" s="36"/>
      <c r="F502" s="37"/>
      <c r="G502" s="33"/>
      <c r="H502" s="29"/>
      <c r="I502" s="31"/>
      <c r="J502" s="29"/>
      <c r="K502" s="33">
        <f t="shared" si="7"/>
        <v>0</v>
      </c>
      <c r="L502" s="32">
        <f t="shared" si="7"/>
        <v>0</v>
      </c>
      <c r="M502" s="37"/>
      <c r="N502" s="34"/>
    </row>
    <row r="503" spans="2:14" ht="17.100000000000001" customHeight="1" x14ac:dyDescent="0.2">
      <c r="B503" s="25"/>
      <c r="C503" s="26"/>
      <c r="D503" s="26"/>
      <c r="E503" s="36"/>
      <c r="F503" s="37"/>
      <c r="G503" s="33"/>
      <c r="H503" s="29"/>
      <c r="I503" s="31"/>
      <c r="J503" s="29"/>
      <c r="K503" s="33">
        <f t="shared" si="7"/>
        <v>0</v>
      </c>
      <c r="L503" s="32">
        <f t="shared" si="7"/>
        <v>0</v>
      </c>
      <c r="M503" s="37"/>
      <c r="N503" s="34"/>
    </row>
    <row r="504" spans="2:14" s="3" customFormat="1" ht="17.100000000000001" customHeight="1" thickBot="1" x14ac:dyDescent="0.25">
      <c r="F504" s="6"/>
      <c r="G504" s="4">
        <f t="shared" ref="G504:L504" si="8">SUM(G2:G503)</f>
        <v>0</v>
      </c>
      <c r="H504" s="5">
        <f t="shared" si="8"/>
        <v>0</v>
      </c>
      <c r="I504" s="4">
        <f t="shared" si="8"/>
        <v>0</v>
      </c>
      <c r="J504" s="5">
        <f t="shared" si="8"/>
        <v>0</v>
      </c>
      <c r="K504" s="4">
        <f t="shared" si="8"/>
        <v>0</v>
      </c>
      <c r="L504" s="5">
        <f t="shared" si="8"/>
        <v>0</v>
      </c>
      <c r="M504" s="6"/>
    </row>
    <row r="505" spans="2:14" ht="17.100000000000001" customHeight="1" thickTop="1" x14ac:dyDescent="0.2"/>
  </sheetData>
  <autoFilter ref="A1:N456" xr:uid="{606DA0AE-0D3F-408A-A2E4-C9B48F912525}">
    <sortState xmlns:xlrd2="http://schemas.microsoft.com/office/spreadsheetml/2017/richdata2" ref="A2:N456">
      <sortCondition ref="A1:A456"/>
    </sortState>
  </autoFilter>
  <conditionalFormatting sqref="B1:B503">
    <cfRule type="duplicateValues" dxfId="0" priority="1"/>
  </conditionalFormatting>
  <pageMargins left="0.7" right="0.7" top="0.75" bottom="0.75" header="0.3" footer="0.3"/>
  <pageSetup orientation="portrait" r:id="rId1"/>
  <customProperties>
    <customPr name="_pios_id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Vendor Summary Log</vt:lpstr>
      <vt:lpstr>Directory Snapshot</vt:lpstr>
      <vt:lpstr>PULL_UPDATES</vt:lpstr>
      <vt:lpstr>New Service Providers on List</vt:lpstr>
      <vt:lpstr>FTE</vt:lpstr>
      <vt:lpstr>Master Data</vt:lpstr>
      <vt:lpstr>ORG&gt;</vt:lpstr>
    </vt:vector>
  </TitlesOfParts>
  <Company>GROUPE SEB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 Eric</dc:creator>
  <cp:lastModifiedBy>Jennifer Nguyen</cp:lastModifiedBy>
  <dcterms:created xsi:type="dcterms:W3CDTF">2020-06-03T18:13:04Z</dcterms:created>
  <dcterms:modified xsi:type="dcterms:W3CDTF">2021-07-13T15:12:07Z</dcterms:modified>
</cp:coreProperties>
</file>