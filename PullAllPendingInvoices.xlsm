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Nguyen\Desktop\MIGRATE TO GITHUB\"/>
    </mc:Choice>
  </mc:AlternateContent>
  <xr:revisionPtr revIDLastSave="0" documentId="13_ncr:1_{A52F87A2-ADB2-44C4-B3C5-B987227B6B0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ll Pending Invoices" sheetId="1" r:id="rId1"/>
    <sheet name="PIVOT" sheetId="5" r:id="rId2"/>
    <sheet name="BPs" sheetId="3" r:id="rId3"/>
    <sheet name="directory_snapshot" sheetId="2" r:id="rId4"/>
    <sheet name="List of active SV" sheetId="6" r:id="rId5"/>
  </sheets>
  <definedNames>
    <definedName name="_xlnm._FilterDatabase" localSheetId="0" hidden="1">'All Pending Invoices'!$A$1:$I$5003</definedName>
    <definedName name="_xlnm._FilterDatabase" localSheetId="2" hidden="1">BPs!$A$1:$D$191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93" i="3" l="1"/>
  <c r="C192" i="3"/>
  <c r="C193" i="3"/>
  <c r="D191" i="3" l="1"/>
  <c r="C191" i="3"/>
  <c r="D190" i="3"/>
  <c r="C190" i="3"/>
  <c r="D74" i="3" l="1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2" i="3"/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2" i="3"/>
  <c r="C10" i="2" l="1"/>
</calcChain>
</file>

<file path=xl/sharedStrings.xml><?xml version="1.0" encoding="utf-8"?>
<sst xmlns="http://schemas.openxmlformats.org/spreadsheetml/2006/main" count="1381" uniqueCount="1157">
  <si>
    <t>File Name</t>
  </si>
  <si>
    <t>Associated Restaurant Services_9620000738, 9620000059_RECON.xlsx</t>
  </si>
  <si>
    <t xml:space="preserve"> </t>
  </si>
  <si>
    <t>Recon sheet</t>
  </si>
  <si>
    <t xml:space="preserve">Invoice # </t>
  </si>
  <si>
    <t>Date</t>
  </si>
  <si>
    <t>Amt</t>
  </si>
  <si>
    <t>3 Wire LLC</t>
  </si>
  <si>
    <t>Absolute Equipment Service Solutions</t>
  </si>
  <si>
    <t>Action Refrigeration</t>
  </si>
  <si>
    <t>Advanced Coffee &amp; Water</t>
  </si>
  <si>
    <t>Advanced Coffee Tech Service</t>
  </si>
  <si>
    <t>All Espresso Service</t>
  </si>
  <si>
    <t xml:space="preserve">Associated Restaurant Services </t>
  </si>
  <si>
    <t>Atlantic Espresso Tech</t>
  </si>
  <si>
    <t>Bernard Mechanical_9620000083_RECON.xlsx</t>
  </si>
  <si>
    <t>A Tech Espresso</t>
  </si>
  <si>
    <t>Bailey and Sons</t>
  </si>
  <si>
    <t>Barbers Restaurant Equipment Repairs</t>
  </si>
  <si>
    <t>Bay State Espresso LLC</t>
  </si>
  <si>
    <t>BEAR Services</t>
  </si>
  <si>
    <t>Bernard Mechanical</t>
  </si>
  <si>
    <t>Beverage Equipment Services, inc. (Memphis, TN)</t>
  </si>
  <si>
    <t>Beverage Solutions</t>
  </si>
  <si>
    <t>Beverage Systems Inc</t>
  </si>
  <si>
    <t>Bildon Appliance</t>
  </si>
  <si>
    <t>Bush &amp; Ennis</t>
  </si>
  <si>
    <t>C &amp; S Coffee Equipment</t>
  </si>
  <si>
    <t>Caftec</t>
  </si>
  <si>
    <t>Cappuccino Connection</t>
  </si>
  <si>
    <t>CDS Repairs</t>
  </si>
  <si>
    <t>Coffee Break Service dba BevTechs Fresno (745-762-2329-096)</t>
  </si>
  <si>
    <t>Coffee Doctors Inc.</t>
  </si>
  <si>
    <t>Coffee Express Inc. (WI)</t>
  </si>
  <si>
    <t>Coffee Express Sales &amp; Services</t>
  </si>
  <si>
    <t>Colorado Coffee Techs</t>
  </si>
  <si>
    <t>Commercial Beverage Equipment Inc.</t>
  </si>
  <si>
    <t>Commercial Coffee Repairs</t>
  </si>
  <si>
    <t>Commercial Cooking Equipment</t>
  </si>
  <si>
    <t>Commercial Equipment Services</t>
  </si>
  <si>
    <t>Condaxis</t>
  </si>
  <si>
    <t>Decatur Espresso</t>
  </si>
  <si>
    <t>Do It All Maintenance Repair</t>
  </si>
  <si>
    <t>DRSS Ottawa</t>
  </si>
  <si>
    <t>Duffys AIS</t>
  </si>
  <si>
    <t>Espresso Express</t>
  </si>
  <si>
    <t>Espresso Machine Experts</t>
  </si>
  <si>
    <t>Espresso Medic</t>
  </si>
  <si>
    <t>Espresso Mio</t>
  </si>
  <si>
    <t>Espresso Partners</t>
  </si>
  <si>
    <t>Espresso Services Inc.</t>
  </si>
  <si>
    <t>Espresso Solutions</t>
  </si>
  <si>
    <t>Espresso Southeast</t>
  </si>
  <si>
    <t>Espresso Wrench</t>
  </si>
  <si>
    <t>EspressoTech Service Company</t>
  </si>
  <si>
    <t>EspressoTech Solutions</t>
  </si>
  <si>
    <t xml:space="preserve">Fastcility </t>
  </si>
  <si>
    <t>FESCO</t>
  </si>
  <si>
    <t>Fix It Now 1 LLC</t>
  </si>
  <si>
    <t>FoodService Concepts</t>
  </si>
  <si>
    <t>Full Espresso Repair</t>
  </si>
  <si>
    <t>G&amp;R Equipment Service LLC</t>
  </si>
  <si>
    <t>Gardner Service</t>
  </si>
  <si>
    <t>Gary's East Coast Service</t>
  </si>
  <si>
    <t>Gold Roast Coffee</t>
  </si>
  <si>
    <t>Golden Valley Beverage</t>
  </si>
  <si>
    <t>Gulf Ice Systems Inc</t>
  </si>
  <si>
    <t>Heritage Foodservice Canada</t>
  </si>
  <si>
    <t>Hot Side Service Company</t>
  </si>
  <si>
    <t>Interior Beverages</t>
  </si>
  <si>
    <t>International Beverage Works</t>
  </si>
  <si>
    <t>AAA Espresso Tech</t>
  </si>
  <si>
    <t>J &amp; J Coffee Services</t>
  </si>
  <si>
    <t>Jaguar Coffee (Sugarland)</t>
  </si>
  <si>
    <t>Joe Warren &amp; Sons</t>
  </si>
  <si>
    <t>Johnson Mechanical</t>
  </si>
  <si>
    <t xml:space="preserve">K &amp; B Beverage </t>
  </si>
  <si>
    <t>K &amp; G Equipment Service</t>
  </si>
  <si>
    <t>KD Service Group</t>
  </si>
  <si>
    <t>Keep It Brewing</t>
  </si>
  <si>
    <t>Ken's Beverage (414,837,838)</t>
  </si>
  <si>
    <t>Liquid Ice</t>
  </si>
  <si>
    <t>Liquiserve</t>
  </si>
  <si>
    <t>Lucky's Repairs</t>
  </si>
  <si>
    <t>M &amp; S Refrigeration</t>
  </si>
  <si>
    <t>MacDonald Restaurant Repair Service (449,855,856,857,858)</t>
  </si>
  <si>
    <t>Marshall Electric</t>
  </si>
  <si>
    <t>Mask-et</t>
  </si>
  <si>
    <t>McCarthy Food Equipment</t>
  </si>
  <si>
    <t>MEI Maintenance</t>
  </si>
  <si>
    <t>Midwest Equipment</t>
  </si>
  <si>
    <t>Opus Espresso Service &amp; Sales</t>
  </si>
  <si>
    <t>Perfect Brew</t>
  </si>
  <si>
    <t>Phoenix Refrigeration</t>
  </si>
  <si>
    <t>Prestige Technical Service</t>
  </si>
  <si>
    <t>Quality Coffee Services</t>
  </si>
  <si>
    <t>Red Fox Service and Repair</t>
  </si>
  <si>
    <t xml:space="preserve">Red Rock </t>
  </si>
  <si>
    <t>Reliable Service Company</t>
  </si>
  <si>
    <t>Repair Force Corp</t>
  </si>
  <si>
    <t>RMS Mechanical Services, Inc.</t>
  </si>
  <si>
    <t>Russell Hendrix</t>
  </si>
  <si>
    <t xml:space="preserve">Rustini's </t>
  </si>
  <si>
    <t>Service Associates</t>
  </si>
  <si>
    <t>Statewide Services</t>
  </si>
  <si>
    <t>Sterling Gourmet</t>
  </si>
  <si>
    <t>Sunbelt Imports</t>
  </si>
  <si>
    <t>Sure Fix Service Group</t>
  </si>
  <si>
    <t>T&amp;D Coffee Machine Service</t>
  </si>
  <si>
    <t>Tech 24</t>
  </si>
  <si>
    <t>The Bean Doctor</t>
  </si>
  <si>
    <t>TR Coffee Service</t>
  </si>
  <si>
    <t>Visions Espresso Service</t>
  </si>
  <si>
    <t>VP Coffee</t>
  </si>
  <si>
    <t>Weldon Service</t>
  </si>
  <si>
    <t>Whitehead Food Equipment</t>
  </si>
  <si>
    <t>Woodward Coffee</t>
  </si>
  <si>
    <t>Service Vendor Name</t>
  </si>
  <si>
    <t>BP</t>
  </si>
  <si>
    <t>bp</t>
  </si>
  <si>
    <t>FileName</t>
  </si>
  <si>
    <t>3Wire Group</t>
  </si>
  <si>
    <t>Abs &amp; Taylor</t>
  </si>
  <si>
    <t>Advanced Coffee &amp; Water LLC.</t>
  </si>
  <si>
    <t>Albert James</t>
  </si>
  <si>
    <t>All Coffee Concepts</t>
  </si>
  <si>
    <t>Allen's Tri-State Mechanical Inc.</t>
  </si>
  <si>
    <t>Associated Restaurant Service</t>
  </si>
  <si>
    <t>ATech Espresso &amp;</t>
  </si>
  <si>
    <t>Atlantic Espresso Tech.</t>
  </si>
  <si>
    <t>B&amp;L Equipment.</t>
  </si>
  <si>
    <t>B.A.R.E. Repair</t>
  </si>
  <si>
    <t>Bailey and Son.</t>
  </si>
  <si>
    <t>Bay State Espresso LLC.</t>
  </si>
  <si>
    <t>Bernard Mechanical Inc.</t>
  </si>
  <si>
    <t>Best Beverage Equipment</t>
  </si>
  <si>
    <t>Best LLC</t>
  </si>
  <si>
    <t>Bev Tech of Hawaii Inc.</t>
  </si>
  <si>
    <t>Beverage Equip Svc Inc. (Chariton)</t>
  </si>
  <si>
    <t>Beverage Equipment Service, Inc. TN</t>
  </si>
  <si>
    <t>BevTech- Fresno (Coffee Break)</t>
  </si>
  <si>
    <t>BevTek – Albany</t>
  </si>
  <si>
    <t>Blocks Commercial</t>
  </si>
  <si>
    <t>Bluemont Group, LLC</t>
  </si>
  <si>
    <t>Burney's Commercial Service Inc.</t>
  </si>
  <si>
    <t>Bush &amp; Ennis Enterprises</t>
  </si>
  <si>
    <t>Camp Service &amp; Parts.</t>
  </si>
  <si>
    <t>Carolina Beverage Solutions, LLC</t>
  </si>
  <si>
    <t>CCR - Commercial Coffee Repair</t>
  </si>
  <si>
    <t>CDS Repairs LLC.</t>
  </si>
  <si>
    <t>CMM Service LLC</t>
  </si>
  <si>
    <t>Coda Coffee Company</t>
  </si>
  <si>
    <t>Coffee &amp; Tea Works LLC</t>
  </si>
  <si>
    <t>Coffee Express Inc.</t>
  </si>
  <si>
    <t>Coffee Street Sales &amp; Service</t>
  </si>
  <si>
    <t>Coffey Refrigeration.</t>
  </si>
  <si>
    <t>Commercial Beverage Equipment, Inc</t>
  </si>
  <si>
    <t>Condaxis Service.</t>
  </si>
  <si>
    <t>Cora Italian Specialties</t>
  </si>
  <si>
    <t>DeLuca Brothers Foods International</t>
  </si>
  <si>
    <t>Dispenser Services</t>
  </si>
  <si>
    <t>Do it All Maintenance &amp; Repair</t>
  </si>
  <si>
    <t>Dolce Neve</t>
  </si>
  <si>
    <t>E. Pollett's Limited</t>
  </si>
  <si>
    <t>E.H. Services</t>
  </si>
  <si>
    <t>EMR Services</t>
  </si>
  <si>
    <t>Espresso Beverage Solutions, LLC</t>
  </si>
  <si>
    <t>Espresso Coffee Direct LLC.</t>
  </si>
  <si>
    <t>Espresso ME</t>
  </si>
  <si>
    <t>Espresso Mio LLC.</t>
  </si>
  <si>
    <t>Espresso Partners, Inc.</t>
  </si>
  <si>
    <t>Espresso Tech Solutions</t>
  </si>
  <si>
    <t>FAS Parts and Service.</t>
  </si>
  <si>
    <t>Fastcillity</t>
  </si>
  <si>
    <t>Ferolite Electric Inc</t>
  </si>
  <si>
    <t>Fix-it Commercial Services</t>
  </si>
  <si>
    <t>Foodservice Concepts, Inc.</t>
  </si>
  <si>
    <t>Full City Coffee Roasters.</t>
  </si>
  <si>
    <t>Garys East Coast Service</t>
  </si>
  <si>
    <t>General Parts LLC</t>
  </si>
  <si>
    <t>Golden Valley Beverage Repair.</t>
  </si>
  <si>
    <t>Goodwin Tucker</t>
  </si>
  <si>
    <t xml:space="preserve">Gulf Ice System </t>
  </si>
  <si>
    <t>Hawaii Coffee Company</t>
  </si>
  <si>
    <t>Haws Commercial Equipment Repair LL</t>
  </si>
  <si>
    <t>Heritage FS Group of Canada</t>
  </si>
  <si>
    <t>Hot Side Service Company, Inc</t>
  </si>
  <si>
    <t>Hot Stuff Repair Service</t>
  </si>
  <si>
    <t>International Beverage Works.</t>
  </si>
  <si>
    <t>J &amp; J Coffee Services, LLC</t>
  </si>
  <si>
    <t>Jaguar Coffee (FLORIDA)</t>
  </si>
  <si>
    <t>Jaguar Coffee (Sugarland, TEXAS)</t>
  </si>
  <si>
    <t>Jim Duke</t>
  </si>
  <si>
    <t>Jitter Fix Coffee Services.</t>
  </si>
  <si>
    <t>Johnson Mechanical Service Inc.</t>
  </si>
  <si>
    <t>Jones Enterprises</t>
  </si>
  <si>
    <t>K&amp;B Beverage</t>
  </si>
  <si>
    <t>K&amp;G Equipment Service.</t>
  </si>
  <si>
    <t>Keep it Brewing</t>
  </si>
  <si>
    <t>Kens Beverage</t>
  </si>
  <si>
    <t>LiquiServe</t>
  </si>
  <si>
    <t>Lucky's Machine Repairs</t>
  </si>
  <si>
    <t>M &amp; S Refrigeration.</t>
  </si>
  <si>
    <t>MacDonald Restaurant Repair Service</t>
  </si>
  <si>
    <t>Masket Services LLC</t>
  </si>
  <si>
    <t>McCarthy Machinery Corporation</t>
  </si>
  <si>
    <t>MEI Maintenance.</t>
  </si>
  <si>
    <t>Nola Coffee Repairs</t>
  </si>
  <si>
    <t>North Coast Service Solutions, LLC</t>
  </si>
  <si>
    <t>North Star Repair Alberta Ltd</t>
  </si>
  <si>
    <t>Opus Espresso Service &amp; Sales.</t>
  </si>
  <si>
    <t>Phoenix Refrigeration.</t>
  </si>
  <si>
    <t>Pine Tree Food Equipment.</t>
  </si>
  <si>
    <t>Platinum Beverage Service</t>
  </si>
  <si>
    <t>Prestige Technical Services.</t>
  </si>
  <si>
    <t>Pride Commerical Appliance Service</t>
  </si>
  <si>
    <t>Quality Coffee Service (QCS)</t>
  </si>
  <si>
    <t>RAMCO Mix It Up Inc.</t>
  </si>
  <si>
    <t>Red Rock Coffee Outfitters</t>
  </si>
  <si>
    <t>Redfox</t>
  </si>
  <si>
    <t>REO Controls</t>
  </si>
  <si>
    <t>RESCO (Tulsa)</t>
  </si>
  <si>
    <t>Rescue 1 Espresso</t>
  </si>
  <si>
    <t>Rice Equipment</t>
  </si>
  <si>
    <t>Riviera Maintenance, LLC</t>
  </si>
  <si>
    <t>RMS Mechanical Services, Inc</t>
  </si>
  <si>
    <t>Rustini's Repair</t>
  </si>
  <si>
    <t>Sagebrush Repair LLC.</t>
  </si>
  <si>
    <t>Santos Repairs LLC</t>
  </si>
  <si>
    <t>Service Associates.</t>
  </si>
  <si>
    <t>Solutions Espresso Services.</t>
  </si>
  <si>
    <t>Statewide Service Co</t>
  </si>
  <si>
    <t>Sterling Gourmet Products</t>
  </si>
  <si>
    <t>Stones Throw Coffee &amp; Espresso Repair</t>
  </si>
  <si>
    <t>Sullivan Mechanical Ltd.</t>
  </si>
  <si>
    <t>SupraMatic Inc.</t>
  </si>
  <si>
    <t>Tech Master</t>
  </si>
  <si>
    <t>Tech One</t>
  </si>
  <si>
    <t>The Bean Doctor, LLC</t>
  </si>
  <si>
    <t>The Whichman Company</t>
  </si>
  <si>
    <t>Tidewater Coffee Inc</t>
  </si>
  <si>
    <t>Tri State Restaurant Supply.</t>
  </si>
  <si>
    <t>Upside Investments Only Inc.</t>
  </si>
  <si>
    <t>VP Coffee, Inc</t>
  </si>
  <si>
    <t>Weldon Service &amp; Repair, LLC</t>
  </si>
  <si>
    <t>Whitehead Food Equipment.</t>
  </si>
  <si>
    <t>Whitfield Foodservice Equipment</t>
  </si>
  <si>
    <t>Woodward  Coffee Co.</t>
  </si>
  <si>
    <t>Solutions Espresso Services</t>
  </si>
  <si>
    <t>Beverage Services, Inc.</t>
  </si>
  <si>
    <t>Joe Warren &amp; Sons Co Inc.</t>
  </si>
  <si>
    <t>Liquid Ice Inc</t>
  </si>
  <si>
    <t>Row Labels</t>
  </si>
  <si>
    <t>Grand Total</t>
  </si>
  <si>
    <t>Count of Service Vendor Name</t>
  </si>
  <si>
    <t>Sum of Amt</t>
  </si>
  <si>
    <t>Coffey Refrigeration</t>
  </si>
  <si>
    <t>North Coast Service Solutions</t>
  </si>
  <si>
    <t>(blank)</t>
  </si>
  <si>
    <t>Average of BP</t>
  </si>
  <si>
    <t>Jaguar Coffee</t>
  </si>
  <si>
    <t>DIRECTIONS</t>
  </si>
  <si>
    <t>1) Enter this into powershell:</t>
  </si>
  <si>
    <t>2) Dump contents of directory_snapshot.txt in column A</t>
  </si>
  <si>
    <t>Paid or "Processed" invoices to a different tab, THEN pull remaining pending invoices</t>
  </si>
  <si>
    <t>Number of Reports</t>
  </si>
  <si>
    <t>Directory</t>
  </si>
  <si>
    <r>
      <t xml:space="preserve">4) call macro: </t>
    </r>
    <r>
      <rPr>
        <b/>
        <sz val="11"/>
        <color theme="1"/>
        <rFont val="Calibri"/>
        <family val="2"/>
        <scheme val="minor"/>
      </rPr>
      <t>PullAllInvoices</t>
    </r>
  </si>
  <si>
    <r>
      <t xml:space="preserve">5) Alternatively, call </t>
    </r>
    <r>
      <rPr>
        <b/>
        <sz val="11"/>
        <color theme="1"/>
        <rFont val="Calibri"/>
        <family val="2"/>
        <scheme val="minor"/>
      </rPr>
      <t xml:space="preserve">PurgeProcessedThenPull </t>
    </r>
    <r>
      <rPr>
        <sz val="11"/>
        <color theme="1"/>
        <rFont val="Calibri"/>
        <family val="2"/>
        <scheme val="minor"/>
      </rPr>
      <t xml:space="preserve">to move </t>
    </r>
  </si>
  <si>
    <t>P:\!SerAcctInv\!Recon\2020 Recons</t>
  </si>
  <si>
    <t>A Tech Espresso_9620000062_RECON.xlsx</t>
  </si>
  <si>
    <t>Absolute Equipment Service Solutions_9620000014_RECON.xlsx</t>
  </si>
  <si>
    <t>Action Refrigeration_9620000732_RECON.xlsx</t>
  </si>
  <si>
    <t>Advanced Coffee &amp; Water_9620000026_RECON.xlsx</t>
  </si>
  <si>
    <t>Advanced Coffee Tech Service_9620000027, 9620000734_RECON.xlsx</t>
  </si>
  <si>
    <t>All Espresso Service_9620000035_Recon.xlsx</t>
  </si>
  <si>
    <t>Atlantic Espresso Tech_9620000063_RECON.xlsx</t>
  </si>
  <si>
    <t>B.E.S.I. Beverage Equipment Service, Inc. (Chariton, IA)_9620000089_Recon.xlsx</t>
  </si>
  <si>
    <t>Bailey and Sons_9620000075_RECON.xlsx</t>
  </si>
  <si>
    <t>Bay State Espresso LLC_9620000078_RECON.xlsx</t>
  </si>
  <si>
    <t>BEAR Services_9620000080_RECON.xlsx</t>
  </si>
  <si>
    <t>Best Beverage Equipment Service_9620000084_RECON.xlsx</t>
  </si>
  <si>
    <t>Beverage Services Inc_9620000092_RECON.xlsx</t>
  </si>
  <si>
    <t>Beverage Solutions_9620000093_RECON.xlsx</t>
  </si>
  <si>
    <t>Beverage Systems Inc_9620050081_RECON.xlsx</t>
  </si>
  <si>
    <t>Bildon Appliance_9620000100_RECON.xlsx</t>
  </si>
  <si>
    <t>Bush &amp; Ennis_9620000125_RECON.xlsx</t>
  </si>
  <si>
    <t>C &amp; S Coffee Equipment_9620000127_RECON.xlsx</t>
  </si>
  <si>
    <t>Caftec_9620000131_RECON.xlsx</t>
  </si>
  <si>
    <t>Cappuccino Connection_9620000136, 9620000667, 9620000893, 9620000894_RECON.xlsx</t>
  </si>
  <si>
    <t>CMM Services LLC_9620000160_RECON.xlsx</t>
  </si>
  <si>
    <t>Coffee Break Service dba BevTechs Fresno_9620000096, 9620000745_RECON.xlsx</t>
  </si>
  <si>
    <t>Coffee Express Inc. (WI)_9620000168_RECON.xlsx</t>
  </si>
  <si>
    <t>Coffee Street Sales &amp; Service_9620000172_RECON.xlsx</t>
  </si>
  <si>
    <t>Coffey Refrigeration_9620000174_RECON.xlsx</t>
  </si>
  <si>
    <t>Colorado Coffee Techs_9620000176_RECON.xlsx</t>
  </si>
  <si>
    <t>Commercial Beverage Equipment, Inc_9620000182_RECON.xlsx</t>
  </si>
  <si>
    <t>Commercial Coffee Repairs_9620000183_RECON.xlsx</t>
  </si>
  <si>
    <t>Commercial Equipment Services_9620000184_RECON.xlsx</t>
  </si>
  <si>
    <t>Condaxis_9620000186_RECON.xlsx</t>
  </si>
  <si>
    <t>Cora Italian Specialties_9620000192_RECON.xlsx</t>
  </si>
  <si>
    <t>Decatur Espresso_9620000208_RECON.xlsx</t>
  </si>
  <si>
    <t>Do It All Maintenance Repair_9620035814, 9620056993_RECON.xlsx</t>
  </si>
  <si>
    <t>Duffys AIS_9620000228, 9620000783, 9620000784, 9620000785, 9620004467_RECON.xlsx</t>
  </si>
  <si>
    <t>Espresso Express_9620000258_RECON.xlsx</t>
  </si>
  <si>
    <t>Espresso Machine Experts_9620000260_RECON.xlsx</t>
  </si>
  <si>
    <t>Espresso Medic_9620000263_Recon.xlsx</t>
  </si>
  <si>
    <t>Espresso Mio_9620000264_RECON.xlsx</t>
  </si>
  <si>
    <t>Espresso Services Inc._9620000268, 9620000267, 9620054084_RECON.xlsx</t>
  </si>
  <si>
    <t>Espresso Southeast_9620000271_RECON.xlsx</t>
  </si>
  <si>
    <t>EspressoTech Service Company_9620000277_RECON.XLSX</t>
  </si>
  <si>
    <t>EspressoTech Solutions_9620000276, 9620000282_RECON.xlsx</t>
  </si>
  <si>
    <t>Fastcility_9620046935_RECON.xlsx</t>
  </si>
  <si>
    <t>Fix It Now 1 LLC_9620000307_RECON.xlsx</t>
  </si>
  <si>
    <t>Fix-It Commercial Services_9620000308_RECON.xlsx</t>
  </si>
  <si>
    <t>Full Espresso Repair_9620000324_RECON.xlsx</t>
  </si>
  <si>
    <t>Gardner Service_9620048519_RECON.xlsx</t>
  </si>
  <si>
    <t>Garys East Coast Service_9620000329_RECON.xlsx</t>
  </si>
  <si>
    <t>Golden Valley Beverage_9620000339_RECON.xlsx</t>
  </si>
  <si>
    <t>Gulf Ice_9620000349_RECON.xlsx</t>
  </si>
  <si>
    <t>Heritage Foodservice Canada_9620000355_RECON.xlsx</t>
  </si>
  <si>
    <t>Hot Side Service Company_9620048515_RECON.xlsx</t>
  </si>
  <si>
    <t>International Beverage Works_9620000377_RECON.xlsx</t>
  </si>
  <si>
    <t>Isaac Coffee Co LLC dba AAA Espresso Tech_9620000009_Recon.xlsx</t>
  </si>
  <si>
    <t>J &amp; J Coffee Services_9620000382_Recon.xlsx</t>
  </si>
  <si>
    <t>Jaguar Coffee (FLORIDA)_9620000384_Recon.xlsx</t>
  </si>
  <si>
    <t>Jaguar Coffee (Sugarland)_9620000385_RECON.xlsx</t>
  </si>
  <si>
    <t>Jim Duke Services_9620000394_RECON.xlsx</t>
  </si>
  <si>
    <t>Joe Warren &amp; Sons_9620056812, 9620054532_RECON.xlsx</t>
  </si>
  <si>
    <t>Johnson Mechanical_9620000397_RECON.xlsx</t>
  </si>
  <si>
    <t>K &amp; B Beverage_9620000403_RECON.xlsx</t>
  </si>
  <si>
    <t>K &amp; G Equipment Service_9620000405_RECON.xlsx</t>
  </si>
  <si>
    <t>KD Service Group_9620000835, 9620000409, 9620000836_RECON.xlsx</t>
  </si>
  <si>
    <t>Keep It Brewing_9620000410_RECON.xlsx</t>
  </si>
  <si>
    <t>Kens Beverage_9620000837, 9620000838, 9620000414_RECON.xlsx</t>
  </si>
  <si>
    <t>Liquid Ice_9620054012_RECON.xlsx</t>
  </si>
  <si>
    <t>Liquiserve_9620000435, 53718, 53717, 847, 849, 843, 848, 850, 852, 53719, 851, 844, 846, 853, 854_RECON.xlsx</t>
  </si>
  <si>
    <t>Luckys Repairs_9620000443_RECON.xlsx</t>
  </si>
  <si>
    <t>Mask-et_9620000459_RECON.xlsx</t>
  </si>
  <si>
    <t>McCarthy Food Equipment_9620000460_RECON.xlsx</t>
  </si>
  <si>
    <t>MEI Maintenance_9620000464, 9620000860, 9620000861, 9620000862, 9620000863, 9620000864, 9620000865, 9620000866_RECON.xlsx</t>
  </si>
  <si>
    <t>Midwest Equipment_9620000467_RECON.xlsx</t>
  </si>
  <si>
    <t>North Coast Service Solutions_9620047085_RECON.xlsx</t>
  </si>
  <si>
    <t>Opus Espresso Service &amp; Sales_9620000509_RECON.xlsx</t>
  </si>
  <si>
    <t>Perfect Brew_9620000869_Recon.xlsx</t>
  </si>
  <si>
    <t>Phoenix Refrigeration_9620000522_RECON.xlsx</t>
  </si>
  <si>
    <t>PrestigeTechnicalService_9620000535_Recon.xlsx</t>
  </si>
  <si>
    <t>Quality Coffee Services_9620000545_RECON.xlsx</t>
  </si>
  <si>
    <t>Red Fox_9620050814_RECON.xlsx</t>
  </si>
  <si>
    <t>Red Rock_9620000556_RECON.xlsx</t>
  </si>
  <si>
    <t>Reliable Service Company_9620000563_Recon.xlsx</t>
  </si>
  <si>
    <t>Repair Force Corp_9620000567_RECON.xlsx</t>
  </si>
  <si>
    <t>Rice Equipment Services_9620000574_RECON.xlsx</t>
  </si>
  <si>
    <t>Riviera Maintenance_9620000576_RECON.xlsx</t>
  </si>
  <si>
    <t>Service Associates_9620000601, 9620000882_RECON.xlsx</t>
  </si>
  <si>
    <t>Solutions Espresso Services_9620000614_RECON.xlsx</t>
  </si>
  <si>
    <t>Statewide Services_9620000638_RECON.xlsx</t>
  </si>
  <si>
    <t>Sterling Gourmet_9620000642_RECON.xlsx</t>
  </si>
  <si>
    <t>Stones Throw Coffee &amp; Espresso Repair_9620000644_RECON.xlsx</t>
  </si>
  <si>
    <t>Sunbelt Imports_9620000648_RECON.xlsx</t>
  </si>
  <si>
    <t>The Bean Doctor_9620000666_RECON.xlsx</t>
  </si>
  <si>
    <t>Tidewater_9620044382_RECON.xlsx</t>
  </si>
  <si>
    <t>TR Coffee Service_9620000682_RECON.xlsx</t>
  </si>
  <si>
    <t>Visions Espresso_9620000702, 9620005803_RECON.xlsx</t>
  </si>
  <si>
    <t>VP Coffee_9620000705_RECON.xlsx</t>
  </si>
  <si>
    <t>Weldon Service _9620047081_RECON.xlsx</t>
  </si>
  <si>
    <t>Woodward Coffee_9620000723_RECON.xlsx</t>
  </si>
  <si>
    <t>3) set directory in cell C12</t>
  </si>
  <si>
    <t>⚠ If you are using PurgeProcessedThenPull make sure no one else is editing the files while the macro runs.</t>
  </si>
  <si>
    <t>Abs &amp; Taylor_9620000012, 9620000731_RECON.xlsx</t>
  </si>
  <si>
    <t>BEST LLC (Best Equipment Service Technicians)_9620000087_Recon.xlsx</t>
  </si>
  <si>
    <t>Bev Tek (Albany)_9620000097_RECON.xlsx</t>
  </si>
  <si>
    <t>Espresso Partners_9620000265, 9620000795, 9620054094, 9620054095_RECON.xlsx</t>
  </si>
  <si>
    <t>Espresso Tech (Luray, VA)_9620000274_RECON.xlsx</t>
  </si>
  <si>
    <t>Espresso Wrench_9620000279_RECON.xlsx</t>
  </si>
  <si>
    <t>Jones Enterprises_WMF_9620000399_Recon.xlsx</t>
  </si>
  <si>
    <t>McLeod Bros Mechanical_9620000462_RECON.xlsx</t>
  </si>
  <si>
    <t>BEST LLC</t>
  </si>
  <si>
    <t>Bev Tek (Albany)</t>
  </si>
  <si>
    <t>Coffee &amp; Tea Works</t>
  </si>
  <si>
    <t>McLeod Bros Mechanical</t>
  </si>
  <si>
    <t>Invoice Type</t>
  </si>
  <si>
    <t>Notes</t>
  </si>
  <si>
    <t>Case #</t>
  </si>
  <si>
    <t>Albert-James Company_9620000033_RECON.xlsx</t>
  </si>
  <si>
    <t>Allens Tri State Mechanical_9620000037_RECON.xlsx</t>
  </si>
  <si>
    <t>Carolina Beverage Solutions_9620000139_Recon.xlsx</t>
  </si>
  <si>
    <t>Coffee &amp; Tea Works_9620046790_RECON.xlsx</t>
  </si>
  <si>
    <t>DRSS Ottawa_9620000227_RECON.xlsx</t>
  </si>
  <si>
    <t>Duke Services_9620046925_Recon.xlsx</t>
  </si>
  <si>
    <t>E.H. Services_9620000233_RECON.xlsx</t>
  </si>
  <si>
    <t>Marshall Electric_9620000456_RECON.xlsx</t>
  </si>
  <si>
    <t>Mikes Electric Inc_9620000468_RECON.xlsx</t>
  </si>
  <si>
    <t>RESCO (Tulsa)_9620000569_RECON.xlsx</t>
  </si>
  <si>
    <t>RMS Mechanical Services, Inc_9620000577_RECON.xlsx</t>
  </si>
  <si>
    <t>Six Degrees Coffee_9620000611_RECON.xlsx</t>
  </si>
  <si>
    <t>Town Center Inc._9620057283_RECON.xlsx</t>
  </si>
  <si>
    <t>Business Partner Name</t>
  </si>
  <si>
    <t>Business Partner</t>
  </si>
  <si>
    <t>Buckhorn Heating &amp; Air Conditioning</t>
  </si>
  <si>
    <t>Espresso Tech LLC (Luray)</t>
  </si>
  <si>
    <t>McLeod Bros. Mechanical Inc.</t>
  </si>
  <si>
    <t>Six Degrees Coffee</t>
  </si>
  <si>
    <t>T&amp;D Machine Service</t>
  </si>
  <si>
    <t>Duke Services</t>
  </si>
  <si>
    <t>Mike's Electric Inc.</t>
  </si>
  <si>
    <t>Town Center Inc.</t>
  </si>
  <si>
    <t>Albert-James Company</t>
  </si>
  <si>
    <t>Allen's Tri State Mechanical</t>
  </si>
  <si>
    <t>Carolina Beverage Solutions</t>
  </si>
  <si>
    <t>Macro run 01/22/2021</t>
  </si>
  <si>
    <t>All Coffee Concepts LLC dba Coffee Werks_9620000034_Recon.xlsx</t>
  </si>
  <si>
    <t>B&amp;L Equipment Service, LLC_9620000071_RECON.xlsx</t>
  </si>
  <si>
    <t>Beverage Equipment Services, Inc. (Memphis, TN)_9620000090_RECON.xlsx</t>
  </si>
  <si>
    <t>Beverage Techs_9620000094_RECON.xlsx</t>
  </si>
  <si>
    <t>CDS Repairs_9620000145_Recon.xlsx</t>
  </si>
  <si>
    <t>Coda Coffee Company dba 9 Bar Tech Co_9620044379, 9620045801_RECON.xlsx</t>
  </si>
  <si>
    <t>Corvis Distributing_9620000194_RECON.xlsx</t>
  </si>
  <si>
    <t>Dispenser Services_9620000218_RECON.xlsx</t>
  </si>
  <si>
    <t>Dolce Neve Inc._9620000224_RECON.xlsx</t>
  </si>
  <si>
    <t>Espresso Coffee Direct_9620000256_Recon.xlsx</t>
  </si>
  <si>
    <t>Espresso ME Services_9620000262_Recon.xlsx</t>
  </si>
  <si>
    <t>Espresso Solutions_9620000270, 9620000796, 9620000797_RECON.xlsx</t>
  </si>
  <si>
    <t>FAS Parts &amp; Service_9620000294_RECON.xlsx</t>
  </si>
  <si>
    <t>Ferolite Electric Inc._9620000300_RECON.xlsx</t>
  </si>
  <si>
    <t>Goodwin Tucker Group_9620000340, 9620000817_RECON.xlsx</t>
  </si>
  <si>
    <t>Hawaii Coffee Company dba Paradise Beverages_9620000352, 9620000818_RECON.xlsx</t>
  </si>
  <si>
    <t>Jitter Fix Coffee Services_9620000395_Recon.xlsx</t>
  </si>
  <si>
    <t>Nola Coffee Repairs_9620000498_RECON.xlsx</t>
  </si>
  <si>
    <t>RAMCO Freezer Services &amp; Sales_9620000552_RECON.xlsx</t>
  </si>
  <si>
    <t>Rustinis_9620000586_RECON.xlsx</t>
  </si>
  <si>
    <t>S&amp;S Services Inc_9620000589_RECON.xlsx</t>
  </si>
  <si>
    <t>Sagebrush Repair_9620000590_RECON.xlsx</t>
  </si>
  <si>
    <t>T&amp;D Coffee Machine Service_9620000653_Recon.xlsx</t>
  </si>
  <si>
    <t>Tri-State Restaurant Supply_9620000683_RECON.xlsx</t>
  </si>
  <si>
    <t>Whitfield Foodservice Equipment_9620000715_RECON.xlsx</t>
  </si>
  <si>
    <t>Best Beverage Equipment Service</t>
  </si>
  <si>
    <t>Beverage Techs</t>
  </si>
  <si>
    <t>Coda Coffee Company dba 9 Bar Tech</t>
  </si>
  <si>
    <t>Corvis Distributing</t>
  </si>
  <si>
    <t>Dolce Neve, Inc.</t>
  </si>
  <si>
    <t>Espresso Coffee Direct</t>
  </si>
  <si>
    <t>Goodwin Tucker Group</t>
  </si>
  <si>
    <t>Riviera Maintenance</t>
  </si>
  <si>
    <t>S&amp;S Services Inc.</t>
  </si>
  <si>
    <t>Sagebrush Repair</t>
  </si>
  <si>
    <t>TD Industries</t>
  </si>
  <si>
    <t>Tri-State Restaurant Supply</t>
  </si>
  <si>
    <t>Lunsford Electric</t>
  </si>
  <si>
    <t>S&amp;S Services Inc</t>
  </si>
  <si>
    <t>Western Refrigeration &amp; Beverage Equipment Ltd</t>
  </si>
  <si>
    <t>B.A.R.E. Repair_9620000072_RECON.xlsx</t>
  </si>
  <si>
    <t>Barbers Restaurant Equipment_9620000077_RECON.xlsx</t>
  </si>
  <si>
    <t>Bev Tech of Hawaii_9620000088_RECON.xlsx</t>
  </si>
  <si>
    <t>Blocks Commercial Kitchen_9620000106_RECON.xlsx</t>
  </si>
  <si>
    <t>Bluemont Group dba Dunkin Donuts_9620047084_RECON.xlsx</t>
  </si>
  <si>
    <t>Burneys Commercial Service Inc_9620000124_RECON.xlsx</t>
  </si>
  <si>
    <t>Camp Service &amp; Parts, Inc_9620000133_RECON.xlsx</t>
  </si>
  <si>
    <t>Coffee Doctors Inc._9620000167_RECON.xlsx</t>
  </si>
  <si>
    <t>Commercial Cooking Equipment_9620051785_RECON.xlsx</t>
  </si>
  <si>
    <t>De Lucas_9620000209_RECON.xlsx</t>
  </si>
  <si>
    <t>EMR Services Ltd_9620000246_RECON.xlsx</t>
  </si>
  <si>
    <t>Espresso Beverage Solutions_9620000254_Recon.xlsx</t>
  </si>
  <si>
    <t>Full City Coffee Roasters_9620000323_Recon.xlsx</t>
  </si>
  <si>
    <t>G&amp;R Equipment Services_9620000326_RECON.xlsx</t>
  </si>
  <si>
    <t>General Parts _9620000331, 9620000807_RECON.xlsx</t>
  </si>
  <si>
    <t>Gold Roast Coffee_9620000337_RECON.xlsx</t>
  </si>
  <si>
    <t>Haws Commerical Equip Repair_9620000819_Recon.xlsx</t>
  </si>
  <si>
    <t>Lunsford Electric_9620051177_RECON.xlsx</t>
  </si>
  <si>
    <t>M &amp; S Refrigeration_9620000447_RECON.xlsx</t>
  </si>
  <si>
    <t>North Star Repair Alberta Ltd_9620000503_RECON.xlsx</t>
  </si>
  <si>
    <t>Platinum Beverage Services LLC_9620000527_RECON.xlsx</t>
  </si>
  <si>
    <t>Pride Commerical Appliance Service_9620000536_RECON.xlsx</t>
  </si>
  <si>
    <t>ProCom Enterprises Inc. dba Hot Stuff_9620000365_RECON.xlsx</t>
  </si>
  <si>
    <t>Rescue 1 Espresso_9620000570_RECON.xlsx</t>
  </si>
  <si>
    <t>Russell Hendrix_9620000584, 9620000585_RECON.xlsx</t>
  </si>
  <si>
    <t>Santos Repairs_9620047083_Recon.xlsx</t>
  </si>
  <si>
    <t>Sullivan Mechanical_9620000646_Recon.xlsx</t>
  </si>
  <si>
    <t>Supramatic_9620000649_Recon.xlsx</t>
  </si>
  <si>
    <t>Sure Fix Service Group_9620000650_RECON.xlsx</t>
  </si>
  <si>
    <t>Tech 24_9620000658_Recon.xlsx</t>
  </si>
  <si>
    <t>Tech One_9620000660_RECON.xlsx</t>
  </si>
  <si>
    <t>TechMasters_9620000661_RECON.xlsx</t>
  </si>
  <si>
    <t>Upside Investments Only Inc_9620046963_Recon.xlsx</t>
  </si>
  <si>
    <t>Western Refrigeration &amp; Beverage Equipment Ltd._9620085956_RECON.xlsx</t>
  </si>
  <si>
    <t>North Star Repair Alberta Ltd.</t>
  </si>
  <si>
    <t>Platinum Beverage Services, LLC</t>
  </si>
  <si>
    <t>Tech One Service</t>
  </si>
  <si>
    <t>Elliott Refrigeration (Quinte) Ltd</t>
  </si>
  <si>
    <t>Specialty Beverage Solutions Inc</t>
  </si>
  <si>
    <t>FESCO_9620000303, 9620000304, 9620000305_RECON.xlsx</t>
  </si>
  <si>
    <t>Specialty Beverage Solutions Inc._9620000622_RECON.xlsx</t>
  </si>
  <si>
    <t>Whitehead Food Equipment_9620000714_RECON.xlsx</t>
  </si>
  <si>
    <t>Wichman Company_9620000897, 9620000896, 9620000716_RECON.xlsx</t>
  </si>
  <si>
    <t>Specialty Beverage Solutions Inc.</t>
  </si>
  <si>
    <t>TechMasters</t>
  </si>
  <si>
    <t>Wichman Company</t>
  </si>
  <si>
    <t>Diebold Nixdorf_9620056474, 9620054022_RECON.xlsx</t>
  </si>
  <si>
    <t>Diebold Nixdorf</t>
  </si>
  <si>
    <t>Tidewater Coffee Inc.</t>
  </si>
  <si>
    <t>3 Wire Northern Parts &amp; Service</t>
  </si>
  <si>
    <t>9 Bar Tech AZ</t>
  </si>
  <si>
    <t>A+ Solutions</t>
  </si>
  <si>
    <t>Ability A/C and Refrigeration</t>
  </si>
  <si>
    <t>ABS &amp; Taylor Ent.</t>
  </si>
  <si>
    <t>Absolute Equipment</t>
  </si>
  <si>
    <t>Advance Restaurant Equipment Repair</t>
  </si>
  <si>
    <t>Advanced Beverage Service</t>
  </si>
  <si>
    <t>Advanced Commercial</t>
  </si>
  <si>
    <t>Alaska Espresso Dist dba Sunrise Ba</t>
  </si>
  <si>
    <t>Albert-James Company.</t>
  </si>
  <si>
    <t>All Coffee &amp; Espresso Service LLC</t>
  </si>
  <si>
    <t>All Espresso Service.</t>
  </si>
  <si>
    <t>America's Best</t>
  </si>
  <si>
    <t>ANDRÉ LABBÉE INC.</t>
  </si>
  <si>
    <t>Appliance Repair Service Co. Inc.</t>
  </si>
  <si>
    <t>Aristo LLC</t>
  </si>
  <si>
    <t>Arizona Coffee Techs</t>
  </si>
  <si>
    <t>Arrowhead Heating and Air Conditioning</t>
  </si>
  <si>
    <t>Atlantic Specialty Coffee Repair</t>
  </si>
  <si>
    <t>Automatic Brewers &amp;</t>
  </si>
  <si>
    <t>Baltimore Coffee &amp; Tea Company</t>
  </si>
  <si>
    <t>Barbers Restaurant Equip. Repairs</t>
  </si>
  <si>
    <t>Batista Companies, Inc.</t>
  </si>
  <si>
    <t>Best Coffee &amp; Equipment.</t>
  </si>
  <si>
    <t>Beverage Systems - Baltimore MD</t>
  </si>
  <si>
    <t>Beverage Systems - Freehold NJ</t>
  </si>
  <si>
    <t>Beverage Systems - Hartly DE</t>
  </si>
  <si>
    <t>Beverage Systems - Idamay WV</t>
  </si>
  <si>
    <t>Beverage Systems - Jackson NJ</t>
  </si>
  <si>
    <t>Beverage Systems - Matawan NJ</t>
  </si>
  <si>
    <t>Beverage Systems - Nanticoke PA</t>
  </si>
  <si>
    <t>Beverage Systems - S Orange NJ</t>
  </si>
  <si>
    <t>Beverage Systems - Troy NY</t>
  </si>
  <si>
    <t>Beverage Systems - Utica NY</t>
  </si>
  <si>
    <t>Beverage Techs.</t>
  </si>
  <si>
    <t>Beverage Town Service Team</t>
  </si>
  <si>
    <t>BevTechs Modesto</t>
  </si>
  <si>
    <t>BevTek/Albany</t>
  </si>
  <si>
    <t>Big Country Restaurant</t>
  </si>
  <si>
    <t>Blanchfield Comm. Kitchen Svcs, LTD</t>
  </si>
  <si>
    <t>Block's Commercial Kitchen</t>
  </si>
  <si>
    <t>Border Electric</t>
  </si>
  <si>
    <t>Branded Management Group</t>
  </si>
  <si>
    <t>Bravo Equipment Service.</t>
  </si>
  <si>
    <t>Brew Tech.</t>
  </si>
  <si>
    <t>Brokerhouse Distributors</t>
  </si>
  <si>
    <t>Brutec Ent. Inc.</t>
  </si>
  <si>
    <t>Cafe Moto</t>
  </si>
  <si>
    <t>Caffeine Service</t>
  </si>
  <si>
    <t>Camp Electric</t>
  </si>
  <si>
    <t>Camtech Services</t>
  </si>
  <si>
    <t>Cardinal Services Group Inc</t>
  </si>
  <si>
    <t>CBE Repair.</t>
  </si>
  <si>
    <t>Choquette CKS</t>
  </si>
  <si>
    <t>Circle K Store</t>
  </si>
  <si>
    <t>CMM Services,  LTD.</t>
  </si>
  <si>
    <t>Coastal Caffeine Co., Inc</t>
  </si>
  <si>
    <t>Coastal Coffee &amp; Equipment LLC.</t>
  </si>
  <si>
    <t>Coffee Break Service dba Bev Techs</t>
  </si>
  <si>
    <t>Coffee Doctor (Canada)</t>
  </si>
  <si>
    <t>//Coffee Doctors Inc.</t>
  </si>
  <si>
    <t>Coffee Techs/Texas Coffee Traders</t>
  </si>
  <si>
    <t>Collins Pipe &amp; Supply Co., Inc</t>
  </si>
  <si>
    <t>Colorado Coffee Techs.</t>
  </si>
  <si>
    <t>Commercial Beverage Service, LLC</t>
  </si>
  <si>
    <t>Commercial Equipment Service Inc</t>
  </si>
  <si>
    <t>Commtech Services</t>
  </si>
  <si>
    <t>Compass Coffee, LLC</t>
  </si>
  <si>
    <t>Cool Solutions.</t>
  </si>
  <si>
    <t>Corvis Espresso Service</t>
  </si>
  <si>
    <t>D&amp;R Vending, Inc.</t>
  </si>
  <si>
    <t>David Brown's Food Equipment.</t>
  </si>
  <si>
    <t>Demarco Coffee</t>
  </si>
  <si>
    <t>Diamond Brewing Service, LLC</t>
  </si>
  <si>
    <t>Diebold</t>
  </si>
  <si>
    <t>Diebold Nixdorf INC</t>
  </si>
  <si>
    <t>Dispenser Services - Manchester</t>
  </si>
  <si>
    <t>Dispenser Services - West Topsham</t>
  </si>
  <si>
    <t>Donovan Refrigeration Inc.</t>
  </si>
  <si>
    <t>Double D Expresso Service</t>
  </si>
  <si>
    <t>Duffy's AIS</t>
  </si>
  <si>
    <t>Duffy's Equipment Service Schenectady</t>
  </si>
  <si>
    <t>Duffy's Equipment Service, Albany</t>
  </si>
  <si>
    <t>Duffy's Equipment Service, Buffalo</t>
  </si>
  <si>
    <t>Duffy's Equipment Service, Liverpool NY</t>
  </si>
  <si>
    <t>Duffys Equipment Service, Syracuse</t>
  </si>
  <si>
    <t>Duffy's Food Equipment Service.</t>
  </si>
  <si>
    <t>Duffy's Rochester</t>
  </si>
  <si>
    <t>Duke Service</t>
  </si>
  <si>
    <t>Dutton Food Equipment Repair, Inc.</t>
  </si>
  <si>
    <t>Eagle Service LLC.</t>
  </si>
  <si>
    <t>Earnhardt Properties Inc</t>
  </si>
  <si>
    <t>Eastern Sierra Espresso Specialists</t>
  </si>
  <si>
    <t>Ecowater Systems of Moscow</t>
  </si>
  <si>
    <t>Elite of Wenatchee, LLC.</t>
  </si>
  <si>
    <t>EMR Beltsville</t>
  </si>
  <si>
    <t>EMR Delaware</t>
  </si>
  <si>
    <t>EMR Services Limited</t>
  </si>
  <si>
    <t>EMR Services LTD.</t>
  </si>
  <si>
    <t>Equipment Service Professionals</t>
  </si>
  <si>
    <t>Espresso Experts</t>
  </si>
  <si>
    <t>Espresso Express, Ltd</t>
  </si>
  <si>
    <t>Espresso Machine Experts, Inc.</t>
  </si>
  <si>
    <t>Espresso Marty.</t>
  </si>
  <si>
    <t>Espresso Medic Clarksville</t>
  </si>
  <si>
    <t>Espresso Medic Hopkinsville</t>
  </si>
  <si>
    <t>Espresso Medic Louisville</t>
  </si>
  <si>
    <t>Espresso Medic Nashville</t>
  </si>
  <si>
    <t>Espresso Partners Inc.</t>
  </si>
  <si>
    <t>Espresso Services - Illinois LLC.</t>
  </si>
  <si>
    <t>Espresso Services Inc. - Iowa</t>
  </si>
  <si>
    <t>Espresso Solutions - Burgettstown PA</t>
  </si>
  <si>
    <t>Espresso South East</t>
  </si>
  <si>
    <t>Euram Inc</t>
  </si>
  <si>
    <t>Facility</t>
  </si>
  <si>
    <t>Farmer Brothers #029</t>
  </si>
  <si>
    <t>Farmer Brothers #053</t>
  </si>
  <si>
    <t>Fastcility - Bakersfield CA</t>
  </si>
  <si>
    <t>Fastcility - Carson CA</t>
  </si>
  <si>
    <t>Fastcility - Clovis CA</t>
  </si>
  <si>
    <t>Fastcility - Fontana CA</t>
  </si>
  <si>
    <t>Fastcility - Fullerton CA</t>
  </si>
  <si>
    <t>Fastcility - La Puente CA</t>
  </si>
  <si>
    <t>Fastcility - Rancho Cucamonga CA</t>
  </si>
  <si>
    <t>Fastcility - Royce City TX</t>
  </si>
  <si>
    <t>Fastcility - San Jose CA</t>
  </si>
  <si>
    <t>Fastcility Corporation</t>
  </si>
  <si>
    <t>Fepsco Inc.</t>
  </si>
  <si>
    <t>Florida Air Specialist</t>
  </si>
  <si>
    <t>Food Equip. Service Co., Inc.</t>
  </si>
  <si>
    <t>Food Systems.</t>
  </si>
  <si>
    <t>Foodservice Equipment Repairs Inc.</t>
  </si>
  <si>
    <t>Foothill Beverage Service Inc.</t>
  </si>
  <si>
    <t>Galahad Appliance Services.</t>
  </si>
  <si>
    <t>Gardner Service Inc</t>
  </si>
  <si>
    <t>Gary's East Coast Service.</t>
  </si>
  <si>
    <t>GDT Repair</t>
  </si>
  <si>
    <t>General Parts LLC.</t>
  </si>
  <si>
    <t>Gino's Consulting Services</t>
  </si>
  <si>
    <t>Gold Roast Coffee Service Ltd.</t>
  </si>
  <si>
    <t>Goodwin Tucker Group - Omaha NE</t>
  </si>
  <si>
    <t>GP Commercial Food Equipment</t>
  </si>
  <si>
    <t>Great Lakes Coffee Roasting Co.</t>
  </si>
  <si>
    <t>Greg's Espresso Lab</t>
  </si>
  <si>
    <t>G-Tech Maintenance Service, LLC</t>
  </si>
  <si>
    <t>Guertech Inc</t>
  </si>
  <si>
    <t>Harold Snow Service Group</t>
  </si>
  <si>
    <t>Haws Commercial Equipment Repair LLC</t>
  </si>
  <si>
    <t>Hebert Electrik.</t>
  </si>
  <si>
    <t>Heritage Foodservice Canada - Regina</t>
  </si>
  <si>
    <t>Hero Coffee Works LLC</t>
  </si>
  <si>
    <t>Hoffmann Stan's Coffee, LLC</t>
  </si>
  <si>
    <t>Holt Tech Services</t>
  </si>
  <si>
    <t>Hope Builders Inc</t>
  </si>
  <si>
    <t>Hossinger Refrigeration, Inc</t>
  </si>
  <si>
    <t>H-Tek.</t>
  </si>
  <si>
    <t>Industrial Kitchen Services LTD</t>
  </si>
  <si>
    <t>Inland Coffee and Beverage</t>
  </si>
  <si>
    <t>International Beverage Works Inc</t>
  </si>
  <si>
    <t>Iva Electronics &amp; Appliances.</t>
  </si>
  <si>
    <t>Izzy's Espresso Service Inc.</t>
  </si>
  <si>
    <t>Jaguar Coffee - Atlanta GA</t>
  </si>
  <si>
    <t>Jaguar Coffee - Boca Raton</t>
  </si>
  <si>
    <t>Jaguar Coffee - Boca Raton FL</t>
  </si>
  <si>
    <t>Jaguar Coffee - College Park</t>
  </si>
  <si>
    <t>Jaguar Coffee - Crawfordville FL</t>
  </si>
  <si>
    <t>Jaguar Coffee - Dallas, TX</t>
  </si>
  <si>
    <t>Jaguar Coffee - Farmersville</t>
  </si>
  <si>
    <t>Jaguar Coffee - Garland</t>
  </si>
  <si>
    <t>Jaguar Coffee - Haverhill</t>
  </si>
  <si>
    <t>Jaguar Coffee - Jacksonville</t>
  </si>
  <si>
    <t>Jaguar Coffee - Lutz FL</t>
  </si>
  <si>
    <t>Jaguar Coffee - Melbourne</t>
  </si>
  <si>
    <t>Jaguar Coffee - Miami</t>
  </si>
  <si>
    <t>Jaguar Coffee - Naples</t>
  </si>
  <si>
    <t>Jaguar Coffee - Orlando</t>
  </si>
  <si>
    <t>Jaguar Coffee - Plantation</t>
  </si>
  <si>
    <t>Jaguar Coffee - Sarasota</t>
  </si>
  <si>
    <t>Jaguar Coffee - Seattle</t>
  </si>
  <si>
    <t>Jaguar Coffee - Silver Springs</t>
  </si>
  <si>
    <t>Jaguar Coffee - Tampa</t>
  </si>
  <si>
    <t>Jaguar Coffee - Tampa FL</t>
  </si>
  <si>
    <t>Jaguar Coffee - Titusville</t>
  </si>
  <si>
    <t>Jaguar Coffee - West Palm Beach</t>
  </si>
  <si>
    <t>Jaguar Coffee - Winter Garden FL</t>
  </si>
  <si>
    <t>Jaguar Coffee- Celeste TX</t>
  </si>
  <si>
    <t>Jaguar Coffee- Homosassa FL</t>
  </si>
  <si>
    <t>Jaguar Coffee- Houston TX</t>
  </si>
  <si>
    <t>Jaguar Coffee- Jensen Beach FL</t>
  </si>
  <si>
    <t>Jaguar Coffee- Jonesboro GA</t>
  </si>
  <si>
    <t>Jaguar Coffee- Miami FL</t>
  </si>
  <si>
    <t>Jaguar Coffee- New Port Richey FL</t>
  </si>
  <si>
    <t>Jaguar Coffee- Orange Park FL</t>
  </si>
  <si>
    <t>Java Doc</t>
  </si>
  <si>
    <t>Java Tech</t>
  </si>
  <si>
    <t>Jittery Sheep LLC</t>
  </si>
  <si>
    <t>Joe Warren and Sons</t>
  </si>
  <si>
    <t>Joe Warren and Sons - Springvale</t>
  </si>
  <si>
    <t>Jones Enterprises.</t>
  </si>
  <si>
    <t>KC Espresso Sales &amp; Service LLC</t>
  </si>
  <si>
    <t>KD Service Group, KD Service</t>
  </si>
  <si>
    <t>KD Supply</t>
  </si>
  <si>
    <t>Ken's Beverage</t>
  </si>
  <si>
    <t>Ken's Beverage - Bangor</t>
  </si>
  <si>
    <t>Ken's Beverage - Belmont</t>
  </si>
  <si>
    <t>Ken's Beverage - Center Ossipee</t>
  </si>
  <si>
    <t>Ken's Beverage - East Michigan Offi</t>
  </si>
  <si>
    <t>Ken's Beverage - Garland</t>
  </si>
  <si>
    <t>Ken's Beverage - Pembroke</t>
  </si>
  <si>
    <t>Ken's Beverage - Plainfield, IL</t>
  </si>
  <si>
    <t>Ken's Beverage - Sanford</t>
  </si>
  <si>
    <t>Ken's Beverage - South Paris</t>
  </si>
  <si>
    <t>Ken's Beverage Inc., Wadsworth</t>
  </si>
  <si>
    <t>Key Food Equipment Services</t>
  </si>
  <si>
    <t>Key Food Equipment Services LTD - BC</t>
  </si>
  <si>
    <t>Kim's Appliance.</t>
  </si>
  <si>
    <t>King Coffee &amp; Tea Services Corp</t>
  </si>
  <si>
    <t>Kitchen Equipment Service Inc.</t>
  </si>
  <si>
    <t>Kitchen Equipment Solutions</t>
  </si>
  <si>
    <t>Knobel Refrigeration.</t>
  </si>
  <si>
    <t>Konetsky Electric</t>
  </si>
  <si>
    <t>Les Importations Edika</t>
  </si>
  <si>
    <t>Les Services R. Baron.</t>
  </si>
  <si>
    <t>Liquid Ice inc.</t>
  </si>
  <si>
    <t>LiquiServe, Abilene TX</t>
  </si>
  <si>
    <t>LiquiServe, Albuquerque NM</t>
  </si>
  <si>
    <t>LiquiServe, Bismarck, ND</t>
  </si>
  <si>
    <t>LiquiServe, Colorado Springs CO</t>
  </si>
  <si>
    <t>LiquiServe, Denver CO</t>
  </si>
  <si>
    <t>LiquiServe, El Paso TX</t>
  </si>
  <si>
    <t>Liquiserve, Fargo ND</t>
  </si>
  <si>
    <t>LiquiServe, Helena MT</t>
  </si>
  <si>
    <t>LiquiServe, Kent WA</t>
  </si>
  <si>
    <t>LiquiServe, Lubbock TX</t>
  </si>
  <si>
    <t>LiquiServe, Missoula MT</t>
  </si>
  <si>
    <t>LiquiServe, Portland OR</t>
  </si>
  <si>
    <t>LiquiServe, Rapid City SD</t>
  </si>
  <si>
    <t>LiquiServe, Scottsbluff NE</t>
  </si>
  <si>
    <t>Luiz DeOliveria</t>
  </si>
  <si>
    <t>Lynx Limited Service</t>
  </si>
  <si>
    <t>M.I.K.E.S., Inc.</t>
  </si>
  <si>
    <t>Mac's Convenience Stores, LLC</t>
  </si>
  <si>
    <t>Mask-et Harrisburg</t>
  </si>
  <si>
    <t>MEI Maintenance - Allentown NJ</t>
  </si>
  <si>
    <t>MEI Maintenance - Old Bridge NJ</t>
  </si>
  <si>
    <t>MEI Maintenance - Woodbridge NJ</t>
  </si>
  <si>
    <t>MEI Maintenance, Brick NJ</t>
  </si>
  <si>
    <t>Midwest Equipment &amp;</t>
  </si>
  <si>
    <t>Mikes Electric Inc.</t>
  </si>
  <si>
    <t>MoJo Espresso Service.</t>
  </si>
  <si>
    <t>Moore's Coffee and Espresso Service</t>
  </si>
  <si>
    <t>Mountain Grove Coffee.</t>
  </si>
  <si>
    <t>MRE/NCS.</t>
  </si>
  <si>
    <t>NACNUD Tech Services, Ltd.</t>
  </si>
  <si>
    <t>National DCP, LLC dba Dunkin Donuts</t>
  </si>
  <si>
    <t>New Orleans Espresso</t>
  </si>
  <si>
    <t>North Florida Beverage Service.</t>
  </si>
  <si>
    <t>NY Scale &amp; Equipment</t>
  </si>
  <si>
    <t>Paragon DBA Remote Refrigeration</t>
  </si>
  <si>
    <t>Parts Town, LLC</t>
  </si>
  <si>
    <t>Payne &amp; Sons LLC</t>
  </si>
  <si>
    <t>Phoenix Service Solutions - Sarnia, ON</t>
  </si>
  <si>
    <t>Phoenix Services Solutions</t>
  </si>
  <si>
    <t>Pine Tree Food Equipment</t>
  </si>
  <si>
    <t>Pine Tree Food Equipment - Laconia</t>
  </si>
  <si>
    <t>Pine Tree Food Equipment - Saco</t>
  </si>
  <si>
    <t>Pit Crew Coffee Service</t>
  </si>
  <si>
    <t>Platinum Coffee Service, Inc.</t>
  </si>
  <si>
    <t>Powell Refrigeration, Inc</t>
  </si>
  <si>
    <t>Powerhouse Retail Services LLC</t>
  </si>
  <si>
    <t>Prestige Technical Services</t>
  </si>
  <si>
    <t>Pride Service, Inc</t>
  </si>
  <si>
    <t>Professional Beverage Services.</t>
  </si>
  <si>
    <t>Quality Services.</t>
  </si>
  <si>
    <t>R&amp;B Beverage Equipment Specialist</t>
  </si>
  <si>
    <t>RCJFPA MANAGEMENT INC.</t>
  </si>
  <si>
    <t>Refrigeration &amp; Food Equipment, Inc</t>
  </si>
  <si>
    <t>Reliable Coffee</t>
  </si>
  <si>
    <t>Remco Inc.</t>
  </si>
  <si>
    <t>REO Controls - Daniels WV</t>
  </si>
  <si>
    <t>Repair Force Corp.</t>
  </si>
  <si>
    <t>RESCO</t>
  </si>
  <si>
    <t>Resolve Gas Electric LTD</t>
  </si>
  <si>
    <t>Restaurant &amp; Store Equipment Co.</t>
  </si>
  <si>
    <t>Restaurant Equipment Service Co.</t>
  </si>
  <si>
    <t>Restaurant Technologies.</t>
  </si>
  <si>
    <t>RG Henderson</t>
  </si>
  <si>
    <t>RMS Mechanical Services.</t>
  </si>
  <si>
    <t>Ronnoco Holdings Inc</t>
  </si>
  <si>
    <t>Russell Food Equipment Limited NS</t>
  </si>
  <si>
    <t>Russell Food Equipment ON</t>
  </si>
  <si>
    <t>Rustini's Repair.</t>
  </si>
  <si>
    <t>Serv Quip Equipment Service</t>
  </si>
  <si>
    <t>Sheridan Appliance</t>
  </si>
  <si>
    <t>Soave Distributing Ltd.</t>
  </si>
  <si>
    <t>South Texas Commercial Service, Com</t>
  </si>
  <si>
    <t>Specialty Beverage Concepts, Inc.</t>
  </si>
  <si>
    <t>Stay Brite LLC.</t>
  </si>
  <si>
    <t>SteamVolt</t>
  </si>
  <si>
    <t>Stephen Mann &amp; Son</t>
  </si>
  <si>
    <t>Stones Throw Coffee &amp;</t>
  </si>
  <si>
    <t>Sun Coast Sales &amp; Service Co.</t>
  </si>
  <si>
    <t>Sunbelt Imports Inc</t>
  </si>
  <si>
    <t>Sure-Fix Service Group Inc.</t>
  </si>
  <si>
    <t>TechMasters Inc.</t>
  </si>
  <si>
    <t>Tecnocafe, Inc.</t>
  </si>
  <si>
    <t>The Cappuccino Connection</t>
  </si>
  <si>
    <t>The Electric Motor Repair Company</t>
  </si>
  <si>
    <t>The Espresso Man LLC</t>
  </si>
  <si>
    <t>The Java Butler, Inc.</t>
  </si>
  <si>
    <t>The Wichman Company</t>
  </si>
  <si>
    <t>Timco of NWF Inc..</t>
  </si>
  <si>
    <t>Top of the Hill Solutions</t>
  </si>
  <si>
    <t>Town Center Refrigeration, Heating, &amp; Ai</t>
  </si>
  <si>
    <t>True Brew Coffee Service.</t>
  </si>
  <si>
    <t>Tundra Transfer Ltd.</t>
  </si>
  <si>
    <t>Turbo Fix LLC</t>
  </si>
  <si>
    <t>Vega Coffee Services Inc.</t>
  </si>
  <si>
    <t>Voltage Supply</t>
  </si>
  <si>
    <t>Weldon Service-Baldwinsville</t>
  </si>
  <si>
    <t>Weldon Service-Cazenovia</t>
  </si>
  <si>
    <t>Weldon Service-Harpursville</t>
  </si>
  <si>
    <t>WJ Barnes</t>
  </si>
  <si>
    <t>WMF Japan Corp.</t>
  </si>
  <si>
    <t>Wolfe Refrigeration Inc</t>
  </si>
  <si>
    <t>Woodward Coffee Co.</t>
  </si>
  <si>
    <t>Aaron Bell</t>
  </si>
  <si>
    <t>Aaron Mast</t>
  </si>
  <si>
    <t>Adam Donavan</t>
  </si>
  <si>
    <t>Al Garcia</t>
  </si>
  <si>
    <t>Alain Rodriguez</t>
  </si>
  <si>
    <t>Alen Sehic</t>
  </si>
  <si>
    <t>Alfredo Andrade</t>
  </si>
  <si>
    <t>Ali Opeyany</t>
  </si>
  <si>
    <t>Alvaro Mora</t>
  </si>
  <si>
    <t>Anthony Floyd</t>
  </si>
  <si>
    <t>Anthony Pompa</t>
  </si>
  <si>
    <t>Anthony Rodriguez</t>
  </si>
  <si>
    <t>Ben Joplin</t>
  </si>
  <si>
    <t>Bill Sumner</t>
  </si>
  <si>
    <t>Bill White</t>
  </si>
  <si>
    <t>Brad Poff</t>
  </si>
  <si>
    <t>Brent Hammond</t>
  </si>
  <si>
    <t>Brent Robichaud</t>
  </si>
  <si>
    <t>Brian Bien</t>
  </si>
  <si>
    <t>Bruce Canty</t>
  </si>
  <si>
    <t>Bruce Smith</t>
  </si>
  <si>
    <t>Carl Batson</t>
  </si>
  <si>
    <t>Casey Brink</t>
  </si>
  <si>
    <t>Chad Gillenwater</t>
  </si>
  <si>
    <t>Chad Kodet</t>
  </si>
  <si>
    <t>Charles Tripp</t>
  </si>
  <si>
    <t>Choquette - Kingston</t>
  </si>
  <si>
    <t>Choquette - Ottawa</t>
  </si>
  <si>
    <t>Choquette Quebec - Trois Rivieres</t>
  </si>
  <si>
    <t>Chris Carriveau</t>
  </si>
  <si>
    <t>Chris Ciancuielli</t>
  </si>
  <si>
    <t>Chris Fazio</t>
  </si>
  <si>
    <t>Chris Jacoby</t>
  </si>
  <si>
    <t>Chris Matthews</t>
  </si>
  <si>
    <t>Chris Steinman</t>
  </si>
  <si>
    <t>Chris Welch</t>
  </si>
  <si>
    <t>Clarence Thomas</t>
  </si>
  <si>
    <t>Clinton Jackson</t>
  </si>
  <si>
    <t>Cody Crowell</t>
  </si>
  <si>
    <t>Collin Dudra</t>
  </si>
  <si>
    <t>Corey Allen</t>
  </si>
  <si>
    <t>Dale Bowen</t>
  </si>
  <si>
    <t>Dallas Barr</t>
  </si>
  <si>
    <t>Dan Sarinana</t>
  </si>
  <si>
    <t>Daniel Flores</t>
  </si>
  <si>
    <t>Daniel Marroquin</t>
  </si>
  <si>
    <t>Darren Robinson</t>
  </si>
  <si>
    <t>Darrin Bagley</t>
  </si>
  <si>
    <t>David Barnhart</t>
  </si>
  <si>
    <t>David Burt</t>
  </si>
  <si>
    <t>David Evans</t>
  </si>
  <si>
    <t>David Figueroa</t>
  </si>
  <si>
    <t>David Gilkey</t>
  </si>
  <si>
    <t>David Smith</t>
  </si>
  <si>
    <t>David Staten</t>
  </si>
  <si>
    <t>David Wujek</t>
  </si>
  <si>
    <t>Dennis Perry</t>
  </si>
  <si>
    <t>Derek Morehand</t>
  </si>
  <si>
    <t>Dj Doffing</t>
  </si>
  <si>
    <t>Domanic Gucciardo</t>
  </si>
  <si>
    <t>Dominic Hampsten</t>
  </si>
  <si>
    <t>Doug Knipple Jr.</t>
  </si>
  <si>
    <t>Doug Knipple Sr.</t>
  </si>
  <si>
    <t>Doug Updike</t>
  </si>
  <si>
    <t>Durell Peterkin</t>
  </si>
  <si>
    <t>Dustin Welty</t>
  </si>
  <si>
    <t>D'Wayne Ackley</t>
  </si>
  <si>
    <t>Ed Smith</t>
  </si>
  <si>
    <t>Ej Smith</t>
  </si>
  <si>
    <t>EMR Salisbury</t>
  </si>
  <si>
    <t>Eric Pagan</t>
  </si>
  <si>
    <t>Eric Wean</t>
  </si>
  <si>
    <t>Fernando Martinez</t>
  </si>
  <si>
    <t>Frankie Sanchez Jr</t>
  </si>
  <si>
    <t>Franklin Glenn</t>
  </si>
  <si>
    <t>Frederick Cullen</t>
  </si>
  <si>
    <t>Gary Barnes Jr.</t>
  </si>
  <si>
    <t>Gary Dadswell</t>
  </si>
  <si>
    <t>Gary Eddy</t>
  </si>
  <si>
    <t>Gene Suddeth</t>
  </si>
  <si>
    <t>Gerald Bolte</t>
  </si>
  <si>
    <t>Gerald Herman</t>
  </si>
  <si>
    <t>Glen Waters</t>
  </si>
  <si>
    <t>Grant Vanderford</t>
  </si>
  <si>
    <t>Greg Fee</t>
  </si>
  <si>
    <t>Griff Merritt</t>
  </si>
  <si>
    <t>Ian Viewegh</t>
  </si>
  <si>
    <t>Jacob Sinclair</t>
  </si>
  <si>
    <t>James Awe</t>
  </si>
  <si>
    <t>James Fair</t>
  </si>
  <si>
    <t>James Morton</t>
  </si>
  <si>
    <t>James Stewart</t>
  </si>
  <si>
    <t>Jamie Mcgill</t>
  </si>
  <si>
    <t>Jared Fajna</t>
  </si>
  <si>
    <t>Jason Alvarado</t>
  </si>
  <si>
    <t>Jason Fields</t>
  </si>
  <si>
    <t>Jason Morris</t>
  </si>
  <si>
    <t>Jason Slayman</t>
  </si>
  <si>
    <t>Jason Ward</t>
  </si>
  <si>
    <t>Javier Salgueiro</t>
  </si>
  <si>
    <t>Jayson Black</t>
  </si>
  <si>
    <t>Jeff Hawkins</t>
  </si>
  <si>
    <t>Jeff Wheeler</t>
  </si>
  <si>
    <t>Jeffery Rocha</t>
  </si>
  <si>
    <t>Jeffrey Butler</t>
  </si>
  <si>
    <t>Jeffrey Lancaster</t>
  </si>
  <si>
    <t>Jesse Barnhart</t>
  </si>
  <si>
    <t>Jesse Orton</t>
  </si>
  <si>
    <t>Jesse Pulido</t>
  </si>
  <si>
    <t>Jim Bowen</t>
  </si>
  <si>
    <t>Jireh Jones</t>
  </si>
  <si>
    <t>Joe Warner</t>
  </si>
  <si>
    <t>John Chiu</t>
  </si>
  <si>
    <t>John Ethofer</t>
  </si>
  <si>
    <t>John Menzor</t>
  </si>
  <si>
    <t>John Mulinaro</t>
  </si>
  <si>
    <t>John Ritz</t>
  </si>
  <si>
    <t>John Smith</t>
  </si>
  <si>
    <t>Jonathan Eames</t>
  </si>
  <si>
    <t>Jonathan Ellis</t>
  </si>
  <si>
    <t>Jose Lopez</t>
  </si>
  <si>
    <t>Joseph Ciancuielli</t>
  </si>
  <si>
    <t>Joseph Kiernan</t>
  </si>
  <si>
    <t>Joseph Latusek</t>
  </si>
  <si>
    <t>Joseph Padilla</t>
  </si>
  <si>
    <t>Josh Triggs</t>
  </si>
  <si>
    <t>Juan Melendez</t>
  </si>
  <si>
    <t>Justin Spegal</t>
  </si>
  <si>
    <t>Justin Taylor</t>
  </si>
  <si>
    <t>Karl Zeilik</t>
  </si>
  <si>
    <t>Keith Banks</t>
  </si>
  <si>
    <t>Keith Conrad</t>
  </si>
  <si>
    <t>Kenneth Hayes</t>
  </si>
  <si>
    <t>Kenneth Hossack</t>
  </si>
  <si>
    <t>Ken's Beverage - S Portland</t>
  </si>
  <si>
    <t>Kensley Louis</t>
  </si>
  <si>
    <t>Kevin Garner</t>
  </si>
  <si>
    <t>Kevin Jones</t>
  </si>
  <si>
    <t>Kevin Messersmith</t>
  </si>
  <si>
    <t>Kevin Mishoe</t>
  </si>
  <si>
    <t>Kevin Patterson</t>
  </si>
  <si>
    <t>Kris Hamblen</t>
  </si>
  <si>
    <t>Kyle Hinton</t>
  </si>
  <si>
    <t>Landon East</t>
  </si>
  <si>
    <t>Laquan Blango</t>
  </si>
  <si>
    <t>Larry Adam</t>
  </si>
  <si>
    <t>Larry Pickett</t>
  </si>
  <si>
    <t>Lawrence Porter</t>
  </si>
  <si>
    <t>Leonard Melton</t>
  </si>
  <si>
    <t>Logan Gilliam</t>
  </si>
  <si>
    <t>Logan Morneau</t>
  </si>
  <si>
    <t>Loreniurk Marquez</t>
  </si>
  <si>
    <t>Lucian Colcer</t>
  </si>
  <si>
    <t>Mack Lynn</t>
  </si>
  <si>
    <t>Mark Sisenstein</t>
  </si>
  <si>
    <t>Mathew Rose</t>
  </si>
  <si>
    <t>Matt Norris</t>
  </si>
  <si>
    <t>Michael Andrade Jr.</t>
  </si>
  <si>
    <t>Michael Brady</t>
  </si>
  <si>
    <t>Michael Cornman</t>
  </si>
  <si>
    <t>Michael Lee</t>
  </si>
  <si>
    <t>Michael Marconi</t>
  </si>
  <si>
    <t>Michael Shannon</t>
  </si>
  <si>
    <t>Mike Comella</t>
  </si>
  <si>
    <t>Mike Hines</t>
  </si>
  <si>
    <t>Mike Knapek</t>
  </si>
  <si>
    <t>Mike Kopriva</t>
  </si>
  <si>
    <t>Mike Lawson</t>
  </si>
  <si>
    <t>Mike O'Connell</t>
  </si>
  <si>
    <t>Mike Puterbaugh</t>
  </si>
  <si>
    <t>Mike Rhea</t>
  </si>
  <si>
    <t>Mike Rizzo</t>
  </si>
  <si>
    <t>Mike Romero</t>
  </si>
  <si>
    <t>Milan Donaldson</t>
  </si>
  <si>
    <t>Mitchell Goss</t>
  </si>
  <si>
    <t>Nathaniel Washington</t>
  </si>
  <si>
    <t>Nick Tallent</t>
  </si>
  <si>
    <t>NY Scale and Equipment - Syracuse</t>
  </si>
  <si>
    <t>Pablo Padilla</t>
  </si>
  <si>
    <t>Patrick Denison</t>
  </si>
  <si>
    <t>Patrick East</t>
  </si>
  <si>
    <t>Peterson Brown</t>
  </si>
  <si>
    <t>Phillip Strickler</t>
  </si>
  <si>
    <t>Preston Frizzell</t>
  </si>
  <si>
    <t>Randy Frost</t>
  </si>
  <si>
    <t>Randy Prough</t>
  </si>
  <si>
    <t>Rayan Belgrave</t>
  </si>
  <si>
    <t>Resource Color Control</t>
  </si>
  <si>
    <t>Ricardo Gutierrez</t>
  </si>
  <si>
    <t>Ricardo Robledo</t>
  </si>
  <si>
    <t>Richard Nelson</t>
  </si>
  <si>
    <t>Richard Valles</t>
  </si>
  <si>
    <t>Richard Willman</t>
  </si>
  <si>
    <t>Ricky Willie</t>
  </si>
  <si>
    <t>Rob Heavey</t>
  </si>
  <si>
    <t>Robert Garcia</t>
  </si>
  <si>
    <t>Robert Pass</t>
  </si>
  <si>
    <t>Robert Rutledge</t>
  </si>
  <si>
    <t>Robert Vargas</t>
  </si>
  <si>
    <t>Ron Balcome</t>
  </si>
  <si>
    <t>Ron Reed</t>
  </si>
  <si>
    <t>Ronald Kreigh</t>
  </si>
  <si>
    <t>Ronald Myers</t>
  </si>
  <si>
    <t>Ronald Rooks</t>
  </si>
  <si>
    <t>Ronald Saunders</t>
  </si>
  <si>
    <t>Rowdy Abels</t>
  </si>
  <si>
    <t>Russell Valenski</t>
  </si>
  <si>
    <t>Russell Ward</t>
  </si>
  <si>
    <t>Scott Collins</t>
  </si>
  <si>
    <t>Scott Cornish</t>
  </si>
  <si>
    <t>Shawn Palumbo</t>
  </si>
  <si>
    <t>Shawn Simoneaux</t>
  </si>
  <si>
    <t>Sonny Lavigne</t>
  </si>
  <si>
    <t>Stephen Cardenas</t>
  </si>
  <si>
    <t>Stephen Moorlag</t>
  </si>
  <si>
    <t>Steven Gallardo</t>
  </si>
  <si>
    <t>Terry Sutphin</t>
  </si>
  <si>
    <t>Thomas Gough</t>
  </si>
  <si>
    <t>Thomas Hogue</t>
  </si>
  <si>
    <t>Tim Olbrys</t>
  </si>
  <si>
    <t>Timothy Brosi</t>
  </si>
  <si>
    <t>Timothy Frost</t>
  </si>
  <si>
    <t>Timothy Kincaid</t>
  </si>
  <si>
    <t>Tom Mac Daniels</t>
  </si>
  <si>
    <t>Tom Whyno</t>
  </si>
  <si>
    <t>Travis Shaw</t>
  </si>
  <si>
    <t>Travis Smith</t>
  </si>
  <si>
    <t>Travis Solesky</t>
  </si>
  <si>
    <t>Trent Olson</t>
  </si>
  <si>
    <t>Trevor Gaines</t>
  </si>
  <si>
    <t>Tristen Simpson</t>
  </si>
  <si>
    <t>Tyler Davis</t>
  </si>
  <si>
    <t>Tyler Miller</t>
  </si>
  <si>
    <t>Walter Sherer</t>
  </si>
  <si>
    <t>Wes Lewis</t>
  </si>
  <si>
    <t>Western Refrigeration Ltd</t>
  </si>
  <si>
    <t>William Futrell</t>
  </si>
  <si>
    <t>William Orth</t>
  </si>
  <si>
    <t>William Toomer</t>
  </si>
  <si>
    <t>Wilmer Vega</t>
  </si>
  <si>
    <t>Zach Smith</t>
  </si>
  <si>
    <t>Zacharey Keener</t>
  </si>
  <si>
    <t>Zachary Klein</t>
  </si>
  <si>
    <t>Zack York</t>
  </si>
  <si>
    <t>Action Commercial Repair</t>
  </si>
  <si>
    <t>Affiliated Service</t>
  </si>
  <si>
    <t>Apollo Export Warehouse</t>
  </si>
  <si>
    <t>Au Bon Pain.</t>
  </si>
  <si>
    <t>Barranco Beverage Inc</t>
  </si>
  <si>
    <t>Beverage Solutions.</t>
  </si>
  <si>
    <t>Beverage Systems</t>
  </si>
  <si>
    <t>BevTechs, Fresno</t>
  </si>
  <si>
    <t>Burton Restaurants, LLC</t>
  </si>
  <si>
    <t>Bush &amp; Ennis Enterprises, Inc.</t>
  </si>
  <si>
    <t>Clark Service &amp; Parts</t>
  </si>
  <si>
    <t>Coda Coffee LTD</t>
  </si>
  <si>
    <t>Coffee Break Service</t>
  </si>
  <si>
    <t>Coffee Distributing Corp.</t>
  </si>
  <si>
    <t>Coffee Street Sales &amp; Service, LLC.</t>
  </si>
  <si>
    <t>Coffee Technologies</t>
  </si>
  <si>
    <t>Commercial Cooking Equipment, LLC</t>
  </si>
  <si>
    <t>Cool Beans Coffee Roasters</t>
  </si>
  <si>
    <t>Cora Italian Imports</t>
  </si>
  <si>
    <t>Core-Mark International</t>
  </si>
  <si>
    <t>Creative Beverage Solutions</t>
  </si>
  <si>
    <t>Creative Drinks Inc.</t>
  </si>
  <si>
    <t>Dazbog Coffee Company</t>
  </si>
  <si>
    <t>Decatur Espresso.</t>
  </si>
  <si>
    <t>Do it All Maintenance &amp; Repair LLC</t>
  </si>
  <si>
    <t>Espresso Enterprises, LLC</t>
  </si>
  <si>
    <t>Espresso RMI, LLC</t>
  </si>
  <si>
    <t>Espresso Smith Inc.</t>
  </si>
  <si>
    <t>Espresso Tech LLC</t>
  </si>
  <si>
    <t>Espresso Tech Maui LLC.</t>
  </si>
  <si>
    <t>Espresso Wrench Maint. Company, Inc</t>
  </si>
  <si>
    <t>Farmer Brothers Co.</t>
  </si>
  <si>
    <t>Fox Food Service repair</t>
  </si>
  <si>
    <t>Full Espresso Repair, Inc</t>
  </si>
  <si>
    <t>Gaubert Food Marts, Inc</t>
  </si>
  <si>
    <t>Globex America.</t>
  </si>
  <si>
    <t>Hawaii Coffee Company.</t>
  </si>
  <si>
    <t>Infinity Services</t>
  </si>
  <si>
    <t>Java City Wholesale</t>
  </si>
  <si>
    <t>JavaTec</t>
  </si>
  <si>
    <t>Jim Duke Service</t>
  </si>
  <si>
    <t>Jordano's Inc.</t>
  </si>
  <si>
    <t>Joseph Montouri</t>
  </si>
  <si>
    <t>Juniper Ventures of Texas</t>
  </si>
  <si>
    <t>K &amp; B Beverage LLC.</t>
  </si>
  <si>
    <t>K &amp; J Speciality Service</t>
  </si>
  <si>
    <t>KC Mechanical, Inc.</t>
  </si>
  <si>
    <t>Keep It Brewing.</t>
  </si>
  <si>
    <t>Liemco, Ltd</t>
  </si>
  <si>
    <t>Mask-et Services LLC.</t>
  </si>
  <si>
    <t>MS Coffee &amp; Espresso Repairs</t>
  </si>
  <si>
    <t>National Restaurant Association</t>
  </si>
  <si>
    <t>Naylor Heating &amp; Refrigeration</t>
  </si>
  <si>
    <t>New Orleans Roast, LLC</t>
  </si>
  <si>
    <t>North Pole Coffee.</t>
  </si>
  <si>
    <t>Peet's Coffee &amp; Tea</t>
  </si>
  <si>
    <t>Pierce Brothers Coffee Roasters</t>
  </si>
  <si>
    <t>Platinum Beverage Services.</t>
  </si>
  <si>
    <t>Primo Coffee LLC.</t>
  </si>
  <si>
    <t>QCS/Quality Coffee Systems</t>
  </si>
  <si>
    <t>Quality Service with Coffee</t>
  </si>
  <si>
    <t>Refreshment Solutions, LLC.</t>
  </si>
  <si>
    <t>Rescue 1 Espresso.</t>
  </si>
  <si>
    <t>Rest LLC</t>
  </si>
  <si>
    <t>Rosito &amp; Bisani Imports, Inc.</t>
  </si>
  <si>
    <t>Skal Beverages East Inc</t>
  </si>
  <si>
    <t>Speedway LLC</t>
  </si>
  <si>
    <t>Taylor of Idaho</t>
  </si>
  <si>
    <t>United Dispenser Service, Inc</t>
  </si>
  <si>
    <t>United Fast Food &amp; Beverage Service</t>
  </si>
  <si>
    <t>FoodService Concepts_9620000804_Recon.xlsx</t>
  </si>
  <si>
    <t>MacDonald Restaurant Repair Service_9620000449_RECON.xlsx</t>
  </si>
  <si>
    <t>PineTree Food Equip_ 9620000523_Recon.xlsx</t>
  </si>
  <si>
    <t>Ronnoco Holdings Inc._9620004094_RECON.xlsx</t>
  </si>
  <si>
    <t>Skal East Inc._9620051178_RECON.xlsx</t>
  </si>
  <si>
    <t>Ronnoco Holdings Inc.</t>
  </si>
  <si>
    <t>Skal East Inc.</t>
  </si>
  <si>
    <t>3Wire LLC_9620000002, 9620033341, 9620033389, 9620004979_RECON.xlsx</t>
  </si>
  <si>
    <t>Camp Service &amp; Parts, Inc.</t>
  </si>
  <si>
    <t>Pride Commercial Appliance Service</t>
  </si>
  <si>
    <t>Ronnoco Beverage Solutions</t>
  </si>
  <si>
    <t>get-childitem -Name | Where{$_ -match '\d_RECON*\.xlsx'} &gt;directory_snapshot.txt</t>
  </si>
  <si>
    <t>Coffee Express Sales &amp; Services_9620005091_RECON.xlsx</t>
  </si>
  <si>
    <t>REO Controls_9620000566_Recon.xlsx</t>
  </si>
  <si>
    <t>Espresso Me</t>
  </si>
  <si>
    <t>Perfect Brew Services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</si>
</sst>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m/d/yyyy;@"/>
    <numFmt numFmtId="166" formatCode="mm/dd/yyyy;@"/>
    <numFmt numFmtId="167" formatCode="0000000"/>
    <numFmt numFmtId="168" formatCode="mm/dd/yyyy"/>
    <numFmt numFmtId="169" formatCode="#,##0.00;\-#,##0.00"/>
    <numFmt numFmtId="170" formatCode="\$0.00"/>
    <numFmt numFmtId="171" formatCode="#,##0.00;[Red]\-#,##0.00"/>
    <numFmt numFmtId="172" formatCode="m/d/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8"/>
      <color rgb="FF323232"/>
      <name val="Arial"/>
      <family val="2"/>
    </font>
    <font>
      <sz val="9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Arial"/>
      <family val="2"/>
    </font>
    <font>
      <b/>
      <sz val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theme="6" tint="0.59999389629810485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rgb="FFC0C0C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/>
    <xf numFmtId="0" fontId="4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/>
    <xf numFmtId="0" fontId="14" fillId="5" borderId="0" applyNumberFormat="0" applyBorder="0" applyAlignment="0" applyProtection="0"/>
    <xf numFmtId="0" fontId="17" fillId="8" borderId="0" applyNumberFormat="0" applyBorder="0" applyAlignment="0" applyProtection="0"/>
    <xf numFmtId="0" fontId="18" fillId="11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60"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43" fontId="2" fillId="0" borderId="0" xfId="2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center" vertical="center"/>
    </xf>
    <xf numFmtId="43" fontId="3" fillId="0" borderId="0" xfId="2" applyFont="1" applyFill="1" applyAlignment="1">
      <alignment horizontal="center" vertical="center"/>
    </xf>
    <xf numFmtId="0" fontId="0" fillId="0" borderId="0" xfId="0"/>
    <xf numFmtId="0" fontId="0" fillId="0" borderId="0" xfId="0" applyNumberFormat="1"/>
    <xf numFmtId="0" fontId="3" fillId="0" borderId="0" xfId="0" applyFont="1" applyFill="1" applyBorder="1" applyAlignment="1">
      <alignment horizontal="center" vertical="center"/>
    </xf>
    <xf numFmtId="4" fontId="4" fillId="0" borderId="0" xfId="0" applyNumberFormat="1" applyFont="1" applyFill="1" applyBorder="1" applyAlignment="1">
      <alignment horizontal="center" vertical="center" shrinkToFit="1"/>
    </xf>
    <xf numFmtId="0" fontId="0" fillId="0" borderId="0" xfId="0" applyFont="1" applyFill="1" applyBorder="1"/>
    <xf numFmtId="0" fontId="0" fillId="0" borderId="0" xfId="0"/>
    <xf numFmtId="1" fontId="8" fillId="0" borderId="0" xfId="0" applyNumberFormat="1" applyFont="1" applyFill="1" applyBorder="1" applyAlignment="1">
      <alignment vertical="top" shrinkToFit="1"/>
    </xf>
    <xf numFmtId="164" fontId="8" fillId="0" borderId="0" xfId="0" applyNumberFormat="1" applyFont="1" applyFill="1" applyBorder="1" applyAlignment="1">
      <alignment vertical="top" shrinkToFi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" fillId="0" borderId="0" xfId="0" applyFont="1" applyFill="1" applyBorder="1" applyAlignment="1">
      <alignment horizontal="center" vertical="center"/>
    </xf>
    <xf numFmtId="166" fontId="8" fillId="0" borderId="0" xfId="0" applyNumberFormat="1" applyFont="1" applyFill="1" applyBorder="1" applyAlignment="1">
      <alignment horizontal="left" vertical="top" shrinkToFit="1"/>
    </xf>
    <xf numFmtId="0" fontId="0" fillId="0" borderId="0" xfId="0"/>
    <xf numFmtId="1" fontId="7" fillId="0" borderId="0" xfId="0" applyNumberFormat="1" applyFont="1" applyFill="1" applyBorder="1" applyAlignment="1">
      <alignment horizontal="center" vertical="top" shrinkToFit="1"/>
    </xf>
    <xf numFmtId="170" fontId="7" fillId="0" borderId="0" xfId="0" applyNumberFormat="1" applyFont="1" applyFill="1" applyBorder="1" applyAlignment="1">
      <alignment horizontal="center" vertical="top" shrinkToFit="1"/>
    </xf>
    <xf numFmtId="167" fontId="4" fillId="0" borderId="0" xfId="0" applyNumberFormat="1" applyFont="1" applyFill="1" applyBorder="1" applyAlignment="1">
      <alignment vertical="top" shrinkToFit="1"/>
    </xf>
    <xf numFmtId="166" fontId="4" fillId="0" borderId="0" xfId="0" applyNumberFormat="1" applyFont="1" applyFill="1" applyBorder="1" applyAlignment="1">
      <alignment vertical="top" shrinkToFit="1"/>
    </xf>
    <xf numFmtId="2" fontId="4" fillId="0" borderId="0" xfId="0" applyNumberFormat="1" applyFont="1" applyFill="1" applyBorder="1" applyAlignment="1">
      <alignment vertical="top" shrinkToFi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68" fontId="4" fillId="0" borderId="0" xfId="0" applyNumberFormat="1" applyFont="1" applyFill="1" applyAlignment="1">
      <alignment horizontal="center" vertical="center"/>
    </xf>
    <xf numFmtId="171" fontId="4" fillId="0" borderId="0" xfId="0" applyNumberFormat="1" applyFont="1" applyFill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0" fontId="0" fillId="0" borderId="0" xfId="0"/>
    <xf numFmtId="166" fontId="8" fillId="0" borderId="0" xfId="0" applyNumberFormat="1" applyFont="1" applyFill="1" applyBorder="1" applyAlignment="1">
      <alignment horizontal="left" vertical="top" indent="4" shrinkToFit="1"/>
    </xf>
    <xf numFmtId="2" fontId="8" fillId="0" borderId="0" xfId="0" applyNumberFormat="1" applyFont="1" applyFill="1" applyBorder="1" applyAlignment="1">
      <alignment vertical="top" shrinkToFit="1"/>
    </xf>
    <xf numFmtId="0" fontId="0" fillId="0" borderId="0" xfId="0" applyFont="1" applyFill="1"/>
    <xf numFmtId="14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4" fontId="0" fillId="0" borderId="0" xfId="0" applyNumberFormat="1" applyFont="1" applyFill="1" applyBorder="1" applyAlignment="1">
      <alignment horizontal="center" vertical="center"/>
    </xf>
    <xf numFmtId="0" fontId="0" fillId="0" borderId="0" xfId="0"/>
    <xf numFmtId="165" fontId="4" fillId="0" borderId="0" xfId="0" applyNumberFormat="1" applyFont="1" applyFill="1" applyBorder="1" applyAlignment="1">
      <alignment horizontal="center" vertical="center" shrinkToFit="1"/>
    </xf>
    <xf numFmtId="2" fontId="4" fillId="0" borderId="0" xfId="0" applyNumberFormat="1" applyFont="1" applyFill="1" applyBorder="1" applyAlignment="1">
      <alignment horizontal="center" vertical="center" shrinkToFit="1"/>
    </xf>
    <xf numFmtId="1" fontId="4" fillId="0" borderId="0" xfId="0" applyNumberFormat="1" applyFont="1" applyFill="1" applyBorder="1" applyAlignment="1">
      <alignment horizontal="center" vertical="center" shrinkToFit="1"/>
    </xf>
    <xf numFmtId="172" fontId="4" fillId="0" borderId="0" xfId="0" applyNumberFormat="1" applyFont="1" applyFill="1" applyBorder="1" applyAlignment="1">
      <alignment horizontal="center" vertical="center" shrinkToFit="1"/>
    </xf>
    <xf numFmtId="19" fontId="3" fillId="0" borderId="0" xfId="0" applyNumberFormat="1" applyFont="1" applyFill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2" fontId="10" fillId="0" borderId="0" xfId="0" applyNumberFormat="1" applyFont="1" applyFill="1" applyBorder="1" applyAlignment="1">
      <alignment horizontal="right" vertical="top" indent="2" shrinkToFit="1"/>
    </xf>
    <xf numFmtId="0" fontId="0" fillId="0" borderId="0" xfId="0" applyFill="1"/>
    <xf numFmtId="14" fontId="0" fillId="0" borderId="0" xfId="0" applyNumberFormat="1" applyFill="1"/>
    <xf numFmtId="8" fontId="0" fillId="0" borderId="0" xfId="0" applyNumberFormat="1" applyFill="1"/>
    <xf numFmtId="19" fontId="0" fillId="0" borderId="0" xfId="0" applyNumberFormat="1" applyFill="1"/>
    <xf numFmtId="0" fontId="14" fillId="0" borderId="0" xfId="6" applyNumberForma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0" borderId="0" xfId="3" applyNumberFormat="1" applyFont="1" applyFill="1" applyBorder="1" applyAlignment="1">
      <alignment horizontal="center" vertical="center"/>
    </xf>
    <xf numFmtId="14" fontId="0" fillId="0" borderId="0" xfId="3" applyNumberFormat="1" applyFont="1" applyFill="1" applyBorder="1" applyAlignment="1">
      <alignment horizontal="center" vertical="center"/>
    </xf>
    <xf numFmtId="7" fontId="0" fillId="0" borderId="0" xfId="3" applyNumberFormat="1" applyFont="1" applyFill="1" applyBorder="1" applyAlignment="1">
      <alignment horizontal="center" vertical="center" wrapText="1"/>
    </xf>
    <xf numFmtId="0" fontId="9" fillId="0" borderId="0" xfId="0" applyNumberFormat="1" applyFont="1" applyFill="1" applyBorder="1" applyAlignment="1">
      <alignment horizontal="center"/>
    </xf>
    <xf numFmtId="168" fontId="9" fillId="0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8" fontId="1" fillId="0" borderId="0" xfId="2" applyNumberFormat="1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14" fontId="0" fillId="0" borderId="0" xfId="0" applyNumberFormat="1" applyFont="1" applyFill="1" applyAlignment="1">
      <alignment horizontal="center" vertical="center"/>
    </xf>
    <xf numFmtId="43" fontId="0" fillId="0" borderId="0" xfId="2" applyFont="1" applyFill="1" applyAlignment="1">
      <alignment horizontal="center" vertical="center"/>
    </xf>
    <xf numFmtId="14" fontId="0" fillId="0" borderId="0" xfId="0" applyNumberFormat="1" applyFont="1" applyFill="1"/>
    <xf numFmtId="43" fontId="0" fillId="0" borderId="0" xfId="2" applyFont="1" applyFill="1"/>
    <xf numFmtId="2" fontId="15" fillId="0" borderId="0" xfId="0" applyNumberFormat="1" applyFont="1" applyFill="1" applyBorder="1" applyAlignment="1">
      <alignment vertical="center" shrinkToFit="1"/>
    </xf>
    <xf numFmtId="0" fontId="0" fillId="0" borderId="0" xfId="0" applyNumberFormat="1" applyFill="1"/>
    <xf numFmtId="0" fontId="8" fillId="0" borderId="0" xfId="0" applyNumberFormat="1" applyFont="1" applyFill="1" applyBorder="1" applyAlignment="1">
      <alignment vertical="top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Fill="1" applyBorder="1" applyAlignment="1">
      <alignment horizontal="center" vertical="top" shrinkToFit="1"/>
    </xf>
    <xf numFmtId="0" fontId="4" fillId="0" borderId="0" xfId="0" applyNumberFormat="1" applyFont="1" applyFill="1" applyBorder="1" applyAlignment="1">
      <alignment vertical="top" shrinkToFit="1"/>
    </xf>
    <xf numFmtId="0" fontId="0" fillId="0" borderId="0" xfId="3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top" indent="2" shrinkToFit="1"/>
    </xf>
    <xf numFmtId="0" fontId="3" fillId="0" borderId="0" xfId="2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0" borderId="0" xfId="2" applyNumberFormat="1" applyFont="1" applyFill="1" applyAlignment="1">
      <alignment horizontal="center" vertical="center"/>
    </xf>
    <xf numFmtId="0" fontId="2" fillId="0" borderId="0" xfId="2" applyNumberFormat="1" applyFont="1" applyFill="1" applyAlignment="1">
      <alignment horizontal="center" vertical="center"/>
    </xf>
    <xf numFmtId="0" fontId="0" fillId="0" borderId="0" xfId="2" applyNumberFormat="1" applyFont="1" applyFill="1" applyAlignment="1">
      <alignment horizontal="center" vertical="center"/>
    </xf>
    <xf numFmtId="0" fontId="0" fillId="0" borderId="0" xfId="2" applyNumberFormat="1" applyFont="1" applyFill="1"/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1" applyFont="1" applyFill="1" applyBorder="1" applyAlignment="1">
      <alignment horizontal="left" vertical="center"/>
    </xf>
    <xf numFmtId="0" fontId="3" fillId="3" borderId="1" xfId="1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0" borderId="0" xfId="0" applyFill="1" applyAlignment="1">
      <alignment wrapText="1"/>
    </xf>
    <xf numFmtId="0" fontId="3" fillId="3" borderId="0" xfId="0" applyFont="1" applyFill="1" applyAlignment="1">
      <alignment horizontal="left" vertical="center"/>
    </xf>
    <xf numFmtId="0" fontId="7" fillId="0" borderId="0" xfId="0" applyFont="1"/>
    <xf numFmtId="0" fontId="16" fillId="6" borderId="4" xfId="0" applyFont="1" applyFill="1" applyBorder="1" applyAlignment="1">
      <alignment horizontal="left" vertical="center"/>
    </xf>
    <xf numFmtId="0" fontId="16" fillId="6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6" xfId="0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3" fillId="7" borderId="0" xfId="0" applyFont="1" applyFill="1" applyAlignment="1">
      <alignment horizontal="center" vertical="center"/>
    </xf>
    <xf numFmtId="2" fontId="3" fillId="3" borderId="1" xfId="0" applyNumberFormat="1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7" fillId="0" borderId="0" xfId="0" applyFont="1" applyFill="1"/>
    <xf numFmtId="1" fontId="10" fillId="0" borderId="0" xfId="0" applyNumberFormat="1" applyFont="1" applyAlignment="1">
      <alignment horizontal="left" vertical="top" shrinkToFit="1"/>
    </xf>
    <xf numFmtId="166" fontId="8" fillId="0" borderId="0" xfId="0" applyNumberFormat="1" applyFont="1" applyAlignment="1">
      <alignment vertical="top" shrinkToFit="1"/>
    </xf>
    <xf numFmtId="2" fontId="8" fillId="0" borderId="0" xfId="0" applyNumberFormat="1" applyFont="1" applyAlignment="1">
      <alignment horizontal="right" vertical="top" indent="1" shrinkToFit="1"/>
    </xf>
    <xf numFmtId="4" fontId="8" fillId="0" borderId="0" xfId="0" applyNumberFormat="1" applyFont="1" applyAlignment="1">
      <alignment horizontal="right" vertical="top" indent="1" shrinkToFit="1"/>
    </xf>
    <xf numFmtId="166" fontId="8" fillId="0" borderId="0" xfId="0" applyNumberFormat="1" applyFont="1" applyAlignment="1">
      <alignment horizontal="right" vertical="top" shrinkToFit="1"/>
    </xf>
    <xf numFmtId="0" fontId="8" fillId="0" borderId="0" xfId="0" applyFont="1" applyAlignment="1">
      <alignment horizontal="right" vertical="top" indent="1" shrinkToFit="1"/>
    </xf>
    <xf numFmtId="0" fontId="17" fillId="8" borderId="0" xfId="7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1" fontId="10" fillId="0" borderId="0" xfId="0" applyNumberFormat="1" applyFont="1" applyBorder="1" applyAlignment="1">
      <alignment horizontal="left" vertical="top" shrinkToFit="1"/>
    </xf>
    <xf numFmtId="0" fontId="0" fillId="0" borderId="2" xfId="0" applyFill="1" applyBorder="1"/>
    <xf numFmtId="1" fontId="10" fillId="0" borderId="0" xfId="0" applyNumberFormat="1" applyFont="1" applyFill="1" applyBorder="1" applyAlignment="1">
      <alignment horizontal="right" vertical="top" indent="1" shrinkToFit="1"/>
    </xf>
    <xf numFmtId="166" fontId="10" fillId="0" borderId="0" xfId="0" applyNumberFormat="1" applyFont="1" applyFill="1" applyBorder="1" applyAlignment="1">
      <alignment horizontal="right" vertical="top" shrinkToFit="1"/>
    </xf>
    <xf numFmtId="14" fontId="0" fillId="0" borderId="2" xfId="0" applyNumberFormat="1" applyFill="1" applyBorder="1"/>
    <xf numFmtId="0" fontId="3" fillId="0" borderId="0" xfId="0" applyFont="1" applyBorder="1" applyAlignment="1">
      <alignment horizontal="center" vertical="center"/>
    </xf>
    <xf numFmtId="0" fontId="0" fillId="0" borderId="9" xfId="0" applyFill="1" applyBorder="1"/>
    <xf numFmtId="0" fontId="0" fillId="0" borderId="8" xfId="0" applyFill="1" applyBorder="1"/>
    <xf numFmtId="1" fontId="10" fillId="9" borderId="0" xfId="0" applyNumberFormat="1" applyFont="1" applyFill="1" applyAlignment="1">
      <alignment horizontal="right" vertical="top" indent="1" shrinkToFit="1"/>
    </xf>
    <xf numFmtId="1" fontId="10" fillId="10" borderId="0" xfId="0" applyNumberFormat="1" applyFont="1" applyFill="1" applyAlignment="1">
      <alignment horizontal="right" vertical="top" indent="1" shrinkToFit="1"/>
    </xf>
    <xf numFmtId="1" fontId="17" fillId="8" borderId="0" xfId="7" applyNumberFormat="1" applyBorder="1" applyAlignment="1">
      <alignment horizontal="right" vertical="top" indent="1" shrinkToFit="1"/>
    </xf>
    <xf numFmtId="166" fontId="10" fillId="0" borderId="0" xfId="0" applyNumberFormat="1" applyFont="1" applyAlignment="1">
      <alignment horizontal="right" vertical="top" shrinkToFit="1"/>
    </xf>
    <xf numFmtId="2" fontId="10" fillId="0" borderId="0" xfId="0" applyNumberFormat="1" applyFont="1" applyAlignment="1">
      <alignment horizontal="right" vertical="top" indent="2" shrinkToFit="1"/>
    </xf>
    <xf numFmtId="166" fontId="17" fillId="8" borderId="0" xfId="7" applyNumberFormat="1" applyBorder="1" applyAlignment="1">
      <alignment horizontal="right" vertical="top" shrinkToFit="1"/>
    </xf>
    <xf numFmtId="2" fontId="17" fillId="8" borderId="0" xfId="7" applyNumberFormat="1" applyBorder="1" applyAlignment="1">
      <alignment horizontal="right" vertical="top" indent="2" shrinkToFit="1"/>
    </xf>
    <xf numFmtId="4" fontId="17" fillId="8" borderId="0" xfId="7" applyNumberFormat="1" applyBorder="1" applyAlignment="1">
      <alignment horizontal="right" vertical="top" indent="2" shrinkToFit="1"/>
    </xf>
    <xf numFmtId="0" fontId="0" fillId="0" borderId="0" xfId="0" applyFill="1" applyBorder="1"/>
    <xf numFmtId="14" fontId="0" fillId="0" borderId="0" xfId="0" applyNumberFormat="1" applyFill="1" applyBorder="1"/>
    <xf numFmtId="0" fontId="1" fillId="0" borderId="0" xfId="0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3" fontId="0" fillId="0" borderId="0" xfId="2" applyFont="1" applyAlignment="1">
      <alignment horizontal="center" vertical="center"/>
    </xf>
    <xf numFmtId="0" fontId="7" fillId="0" borderId="0" xfId="8" applyFont="1" applyFill="1" applyBorder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43" fontId="7" fillId="0" borderId="0" xfId="2" applyFont="1" applyFill="1" applyBorder="1" applyAlignment="1">
      <alignment horizontal="center" vertical="center" wrapText="1"/>
    </xf>
    <xf numFmtId="14" fontId="7" fillId="0" borderId="0" xfId="7" applyNumberFormat="1" applyFont="1" applyFill="1" applyBorder="1" applyAlignment="1">
      <alignment horizontal="center" vertical="center" wrapText="1"/>
    </xf>
    <xf numFmtId="0" fontId="7" fillId="0" borderId="0" xfId="7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43" fontId="7" fillId="0" borderId="0" xfId="2" applyFont="1" applyFill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4" fontId="19" fillId="0" borderId="0" xfId="0" applyNumberFormat="1" applyFont="1" applyAlignment="1">
      <alignment horizontal="center" vertical="center" wrapText="1"/>
    </xf>
    <xf numFmtId="43" fontId="19" fillId="0" borderId="0" xfId="2" applyFont="1" applyAlignment="1">
      <alignment horizontal="center" vertical="center" wrapText="1"/>
    </xf>
    <xf numFmtId="0" fontId="20" fillId="0" borderId="0" xfId="9" applyNumberFormat="1" applyFont="1" applyFill="1" applyBorder="1" applyAlignment="1">
      <alignment horizontal="center" vertical="center"/>
    </xf>
    <xf numFmtId="0" fontId="7" fillId="0" borderId="0" xfId="7" applyFont="1" applyFill="1" applyBorder="1" applyAlignment="1">
      <alignment horizontal="center" vertical="center"/>
    </xf>
  </cellXfs>
  <cellStyles count="10">
    <cellStyle name="Bad" xfId="7" builtinId="27"/>
    <cellStyle name="Comma" xfId="2" builtinId="3"/>
    <cellStyle name="Currency" xfId="3" builtinId="4"/>
    <cellStyle name="Good" xfId="8" builtinId="26"/>
    <cellStyle name="Neutral" xfId="6" builtinId="28"/>
    <cellStyle name="Normal" xfId="0" builtinId="0"/>
    <cellStyle name="Normal 2" xfId="1" xr:uid="{72138D16-F553-4F84-8930-12CC79AC87A7}"/>
    <cellStyle name="Normal 2 2" xfId="4" xr:uid="{99A8D0EE-166C-466E-902E-08CC2EC73E0B}"/>
    <cellStyle name="Normal 3" xfId="5" xr:uid="{0E1FB8A5-45A8-443A-8BCF-C26A373CA450}"/>
    <cellStyle name="Warning Text" xfId="9" builtinId="11"/>
  </cellStyles>
  <dxfs count="2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1"/>
      </font>
      <fill>
        <patternFill>
          <bgColor rgb="FF00B05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FFFF00"/>
        </patternFill>
      </fill>
    </dxf>
    <dxf>
      <font>
        <color theme="1"/>
      </font>
      <fill>
        <patternFill>
          <bgColor rgb="FF00B050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lor theme="4"/>
      </font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nifer Nguyen" refreshedDate="44378.576903935187" createdVersion="6" refreshedVersion="6" minRefreshableVersion="3" recordCount="5003" xr:uid="{5AF70060-B378-4007-B0F1-E8DFD0A47A0F}">
  <cacheSource type="worksheet">
    <worksheetSource ref="A1:I1048576" sheet="All Pending Invoices"/>
  </cacheSource>
  <cacheFields count="9">
    <cacheField name="Service Vendor Name" numFmtId="0">
      <sharedItems containsBlank="1" count="177">
        <s v="3 Wire LLC"/>
        <s v="A Tech Espresso"/>
        <s v="AAA Espresso Tech"/>
        <s v="Abs &amp; Taylor"/>
        <s v="Absolute Equipment Service Solutions"/>
        <s v="Advanced Coffee &amp; Water"/>
        <s v="Advanced Coffee Tech Service"/>
        <s v="Albert-James Company"/>
        <s v="All Coffee Concepts"/>
        <s v="All Espresso Service"/>
        <s v="Allen's Tri State Mechanical"/>
        <s v="Associated Restaurant Services "/>
        <s v="Atlantic Espresso Tech"/>
        <s v="Bailey and Sons"/>
        <s v="Bay State Espresso LLC"/>
        <s v="BEAR Services"/>
        <s v="Bernard Mechanical"/>
        <s v="Best Beverage Equipment Service"/>
        <s v="BEST LLC"/>
        <s v="Bev Tek (Albany)"/>
        <s v="Beverage Equipment Services, inc. (Memphis, TN)"/>
        <s v="Beverage Solutions"/>
        <s v="Beverage Systems Inc"/>
        <s v="Bildon Appliance"/>
        <s v="Bush &amp; Ennis"/>
        <s v="C &amp; S Coffee Equipment"/>
        <s v="Caftec"/>
        <s v="Camp Service &amp; Parts, Inc."/>
        <s v="Cappuccino Connection"/>
        <s v="Carolina Beverage Solutions"/>
        <s v="CDS Repairs"/>
        <s v="Coda Coffee Company dba 9 Bar Tech"/>
        <s v="Coffee &amp; Tea Works"/>
        <s v="Coffee Break Service dba BevTechs Fresno (745-762-2329-096)"/>
        <s v="Coffee Doctors Inc."/>
        <s v="Coffee Express Inc. (WI)"/>
        <s v="Coffee Express Sales &amp; Services"/>
        <s v="Coffey Refrigeration"/>
        <s v="Commercial Beverage Equipment Inc."/>
        <s v="Commercial Coffee Repairs"/>
        <s v="Commercial Cooking Equipment"/>
        <s v="Commercial Equipment Services"/>
        <s v="Condaxis"/>
        <s v="Decatur Espresso"/>
        <s v="Diebold Nixdorf"/>
        <s v="Dispenser Services"/>
        <s v="Do It All Maintenance Repair"/>
        <s v="Dolce Neve, Inc."/>
        <s v="DRSS Ottawa"/>
        <s v="Duke Services"/>
        <s v="E.H. Services"/>
        <s v="Espresso Coffee Direct"/>
        <s v="Espresso Express"/>
        <s v="Espresso ME"/>
        <s v="Espresso Medic"/>
        <s v="Espresso Mio"/>
        <s v="Espresso Partners"/>
        <s v="Espresso Services Inc."/>
        <s v="Espresso Solutions"/>
        <s v="Espresso Southeast"/>
        <s v="Espresso Wrench"/>
        <s v="EspressoTech Service Company"/>
        <s v="EspressoTech Solutions"/>
        <s v="Fastcility "/>
        <s v="FESCO"/>
        <s v="Fix It Now 1 LLC"/>
        <s v="FoodService Concepts"/>
        <s v="Full Espresso Repair"/>
        <s v="Gardner Service"/>
        <s v="Gary's East Coast Service"/>
        <s v="Golden Valley Beverage"/>
        <s v="Goodwin Tucker Group"/>
        <s v="Gulf Ice Systems Inc"/>
        <s v="Hawaii Coffee Company"/>
        <s v="Heritage Foodservice Canada"/>
        <s v="Hot Side Service Company"/>
        <s v="International Beverage Works"/>
        <s v="J &amp; J Coffee Services"/>
        <s v="Jaguar Coffee"/>
        <s v="Jaguar Coffee (Sugarland)"/>
        <s v="Joe Warren &amp; Sons"/>
        <s v="Johnson Mechanical"/>
        <s v="Jones Enterprises"/>
        <s v="K &amp; B Beverage "/>
        <s v="K &amp; G Equipment Service"/>
        <s v="KD Service Group"/>
        <s v="Keep It Brewing"/>
        <s v="Ken's Beverage (414,837,838)"/>
        <s v="Liquid Ice"/>
        <s v="Liquiserve"/>
        <s v="Lucky's Repairs"/>
        <s v="Lunsford Electric"/>
        <s v="M &amp; S Refrigeration"/>
        <s v="MacDonald Restaurant Repair Service (449,855,856,857,858)"/>
        <s v="Marshall Electric"/>
        <s v="Mask-et"/>
        <s v="McCarthy Food Equipment"/>
        <s v="McLeod Bros Mechanical"/>
        <s v="MEI Maintenance"/>
        <s v="Midwest Equipment"/>
        <s v="Nola Coffee Repairs"/>
        <s v="North Coast Service Solutions"/>
        <s v="North Star Repair Alberta Ltd."/>
        <s v="Opus Espresso Service &amp; Sales"/>
        <s v="Phoenix Refrigeration"/>
        <s v="Platinum Beverage Services, LLC"/>
        <s v="Prestige Technical Service"/>
        <s v="Pride Commercial Appliance Service"/>
        <s v="Quality Coffee Services"/>
        <s v="Red Rock "/>
        <s v="Reliable Service Company"/>
        <s v="REO Controls"/>
        <s v="Repair Force Corp"/>
        <s v="Riviera Maintenance"/>
        <s v="RMS Mechanical Services, Inc."/>
        <s v="Ronnoco Beverage Solutions"/>
        <s v="Russell Hendrix"/>
        <s v="Rustini's "/>
        <s v="S&amp;S Services Inc."/>
        <s v="Sagebrush Repair"/>
        <s v="Service Associates"/>
        <s v="Six Degrees Coffee"/>
        <s v="Skal East Inc."/>
        <s v="Solutions Espresso Services"/>
        <s v="Specialty Beverage Solutions Inc."/>
        <s v="Statewide Services"/>
        <s v="Sterling Gourmet"/>
        <s v="Sunbelt Imports"/>
        <s v="T&amp;D Coffee Machine Service"/>
        <s v="Tech 24"/>
        <s v="Tech One Service"/>
        <s v="TechMasters"/>
        <s v="The Bean Doctor"/>
        <s v="Tidewater Coffee Inc."/>
        <s v="Town Center Inc."/>
        <s v="TR Coffee Service"/>
        <s v="Tri-State Restaurant Supply"/>
        <s v="Upside Investments Only Inc."/>
        <s v="Visions Espresso Service"/>
        <s v="VP Coffee"/>
        <s v="Weldon Service"/>
        <s v="Whitehead Food Equipment"/>
        <s v="Wichman Company"/>
        <s v="Woodward Coffee"/>
        <s v="Perfect Brew Services"/>
        <m/>
        <s v="Beverage Services Inc" u="1"/>
        <s v="Perfect Brew" u="1"/>
        <s v="Espresso Smith" u="1"/>
        <s v="General Parts" u="1"/>
        <s v="Espresso Tech" u="1"/>
        <s v="Mike's Electric Inc." u="1"/>
        <s v="The Wichman Company " u="1"/>
        <s v="Red Fox Service and Repair" u="1"/>
        <s v="Sermon Service and Electric" u="1"/>
        <s v="Silver Spoon " u="1"/>
        <s v="Coffee Street Sales &amp; Services" u="1"/>
        <s v="Beverage Equipment Service, Inc." u="1"/>
        <s v="Colorado Coffee Techs" u="1"/>
        <s v="Espresso Technologies" u="1"/>
        <s v="Jaguar Coffee (FLORIDA)" u="1"/>
        <s v="Buckhorn Heating and Air Conditioning Inc." u="1"/>
        <s v="R &amp; B Beverage Equipment Repair Inc." u="1"/>
        <s v="Espresso Machine Experts" u="1"/>
        <s v="CMM Services LLC" u="1"/>
        <s v="RESCO (El Paso)" u="1"/>
        <s v="G&amp;R Equipment Service LLC" u="1"/>
        <s v="Duffys AIS" u="1"/>
        <s v="Action Refrigeration" u="1"/>
        <s v="Stone's Throw Coffee &amp; Espresso Repair" u="1"/>
        <s v="Pinetree Food Equipment" u="1"/>
        <s v="Sure Fix Service Group" u="1"/>
        <s v="RESCO (Tulsa)" u="1"/>
        <s v="Fix-It Commercial Services" u="1"/>
        <s v="Cora Italian Specialties " u="1"/>
        <s v="Jim Duke Services" u="1"/>
        <s v="Advanced Commercial Dishmachine Service Inc." u="1"/>
      </sharedItems>
    </cacheField>
    <cacheField name="Recon sheet" numFmtId="0">
      <sharedItems containsBlank="1"/>
    </cacheField>
    <cacheField name="Invoice # " numFmtId="0">
      <sharedItems containsBlank="1" containsMixedTypes="1" containsNumber="1" containsInteger="1" minValue="4" maxValue="80032979994"/>
    </cacheField>
    <cacheField name="Date" numFmtId="0">
      <sharedItems containsDate="1" containsBlank="1" containsMixedTypes="1" minDate="1899-12-30T00:00:00" maxDate="2021-06-29T00:00:00"/>
    </cacheField>
    <cacheField name="Amt" numFmtId="0">
      <sharedItems containsBlank="1" containsMixedTypes="1" containsNumber="1" minValue="-327.60000000000002" maxValue="5159.84"/>
    </cacheField>
    <cacheField name="Case #" numFmtId="0">
      <sharedItems containsBlank="1" containsMixedTypes="1" containsNumber="1" minValue="0" maxValue="9610000124"/>
    </cacheField>
    <cacheField name="Invoice Type" numFmtId="0">
      <sharedItems containsBlank="1"/>
    </cacheField>
    <cacheField name="Notes" numFmtId="0">
      <sharedItems containsBlank="1" containsMixedTypes="1" containsNumber="1" containsInteger="1" minValue="0" maxValue="0"/>
    </cacheField>
    <cacheField name="BP" numFmtId="0">
      <sharedItems containsBlank="1" containsMixedTypes="1" containsNumber="1" containsInteger="1" minValue="9620000002" maxValue="96200572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3">
  <r>
    <x v="0"/>
    <s v="3Wire LLC_9620000002, 9620033341, 9620033389, 9620004979_RECON.xlsx"/>
    <n v="57626"/>
    <d v="2021-05-12T00:00:00"/>
    <n v="631.84"/>
    <n v="0"/>
    <s v="Install"/>
    <n v="0"/>
    <n v="9620000002"/>
  </r>
  <r>
    <x v="0"/>
    <s v="3Wire LLC_9620000002, 9620033341, 9620033389, 9620004979_RECON.xlsx"/>
    <n v="58060"/>
    <d v="2021-05-20T00:00:00"/>
    <n v="471"/>
    <n v="0"/>
    <s v="PM"/>
    <n v="0"/>
    <n v="9620000002"/>
  </r>
  <r>
    <x v="0"/>
    <s v="3Wire LLC_9620000002, 9620033341, 9620033389, 9620004979_RECON.xlsx"/>
    <n v="58881"/>
    <d v="2021-06-04T00:00:00"/>
    <n v="400"/>
    <n v="0"/>
    <s v="Service Call"/>
    <n v="0"/>
    <n v="9620000002"/>
  </r>
  <r>
    <x v="0"/>
    <s v="3Wire LLC_9620000002, 9620033341, 9620033389, 9620004979_RECON.xlsx"/>
    <n v="58874"/>
    <d v="2021-06-04T00:00:00"/>
    <n v="475"/>
    <n v="0"/>
    <s v="PM"/>
    <n v="0"/>
    <n v="9620000002"/>
  </r>
  <r>
    <x v="1"/>
    <s v="A Tech Espresso_9620000062_RECON.xlsx"/>
    <n v="35141"/>
    <d v="2021-05-25T00:00:00"/>
    <n v="202.5"/>
    <n v="378464"/>
    <s v="Service Call"/>
    <n v="0"/>
    <n v="9620000062"/>
  </r>
  <r>
    <x v="1"/>
    <s v="A Tech Espresso_9620000062_RECON.xlsx"/>
    <n v="35145"/>
    <d v="2021-05-26T00:00:00"/>
    <n v="348.2"/>
    <n v="378636"/>
    <s v="Service Call"/>
    <n v="0"/>
    <n v="9620000062"/>
  </r>
  <r>
    <x v="1"/>
    <s v="A Tech Espresso_9620000062_RECON.xlsx"/>
    <n v="35147"/>
    <d v="2021-05-26T00:00:00"/>
    <n v="691.32"/>
    <n v="378761"/>
    <s v="Service Call"/>
    <n v="0"/>
    <n v="9620000062"/>
  </r>
  <r>
    <x v="1"/>
    <s v="A Tech Espresso_9620000062_RECON.xlsx"/>
    <n v="35143"/>
    <d v="2021-05-28T00:00:00"/>
    <n v="169.17"/>
    <n v="379407"/>
    <s v="Service Call"/>
    <n v="0"/>
    <n v="9620000062"/>
  </r>
  <r>
    <x v="1"/>
    <s v="A Tech Espresso_9620000062_RECON.xlsx"/>
    <n v="34905"/>
    <d v="2021-03-22T00:00:00"/>
    <n v="160"/>
    <n v="4564189568"/>
    <s v="Install"/>
    <n v="0"/>
    <n v="9620000062"/>
  </r>
  <r>
    <x v="1"/>
    <s v="A Tech Espresso_9620000062_RECON.xlsx"/>
    <n v="34962"/>
    <d v="2021-03-30T00:00:00"/>
    <n v="330"/>
    <n v="364313"/>
    <s v="Service Call"/>
    <n v="0"/>
    <n v="9620000062"/>
  </r>
  <r>
    <x v="1"/>
    <s v="A Tech Espresso_9620000062_RECON.xlsx"/>
    <n v="34973"/>
    <d v="2021-04-02T00:00:00"/>
    <n v="202.5"/>
    <n v="364313"/>
    <s v="Service Call"/>
    <n v="0"/>
    <n v="9620000062"/>
  </r>
  <r>
    <x v="1"/>
    <s v="A Tech Espresso_9620000062_RECON.xlsx"/>
    <n v="34974"/>
    <d v="2021-04-02T00:00:00"/>
    <n v="202.5"/>
    <n v="365363"/>
    <s v="TBD"/>
    <n v="0"/>
    <n v="9620000062"/>
  </r>
  <r>
    <x v="1"/>
    <s v="A Tech Espresso_9620000062_RECON.xlsx"/>
    <n v="34976"/>
    <d v="2021-04-09T00:00:00"/>
    <n v="483.19"/>
    <n v="366111"/>
    <s v="Service Call"/>
    <n v="0"/>
    <n v="9620000062"/>
  </r>
  <r>
    <x v="1"/>
    <s v="A Tech Espresso_9620000062_RECON.xlsx"/>
    <n v="35066"/>
    <d v="2021-04-22T00:00:00"/>
    <n v="202.5"/>
    <n v="364650"/>
    <s v="Service Call"/>
    <n v="0"/>
    <n v="9620000062"/>
  </r>
  <r>
    <x v="1"/>
    <s v="A Tech Espresso_9620000062_RECON.xlsx"/>
    <n v="34844"/>
    <d v="2021-02-25T00:00:00"/>
    <n v="330"/>
    <n v="4565407794"/>
    <s v="Install"/>
    <n v="0"/>
    <n v="9620000062"/>
  </r>
  <r>
    <x v="2"/>
    <s v="Isaac Coffee Co LLC dba AAA Espresso Tech_9620000009_Recon.xlsx"/>
    <s v="21-70"/>
    <d v="2021-04-14T00:00:00"/>
    <n v="1241.7"/>
    <n v="0"/>
    <s v="TBD"/>
    <n v="0"/>
    <n v="9620000009"/>
  </r>
  <r>
    <x v="2"/>
    <s v="Isaac Coffee Co LLC dba AAA Espresso Tech_9620000009_Recon.xlsx"/>
    <s v="21-99"/>
    <d v="2021-05-12T00:00:00"/>
    <n v="285"/>
    <n v="0"/>
    <s v="TBD"/>
    <n v="0"/>
    <n v="9620000009"/>
  </r>
  <r>
    <x v="2"/>
    <s v="Isaac Coffee Co LLC dba AAA Espresso Tech_9620000009_Recon.xlsx"/>
    <s v="21-108"/>
    <d v="2021-05-26T00:00:00"/>
    <n v="973.04"/>
    <n v="0"/>
    <s v="TBD"/>
    <n v="0"/>
    <n v="9620000009"/>
  </r>
  <r>
    <x v="3"/>
    <s v="Abs &amp; Taylor_9620000012, 9620000731_RECON.xlsx"/>
    <n v="157724"/>
    <d v="2020-09-11T00:00:00"/>
    <n v="188.41"/>
    <n v="0"/>
    <s v="TBD"/>
    <s v="Invoice requires further research"/>
    <n v="9620000012"/>
  </r>
  <r>
    <x v="3"/>
    <s v="Abs &amp; Taylor_9620000012, 9620000731_RECON.xlsx"/>
    <n v="158205"/>
    <d v="2020-09-23T00:00:00"/>
    <n v="622.84"/>
    <n v="309007"/>
    <s v="Service Call"/>
    <s v="Invoice requires further research"/>
    <n v="9620000012"/>
  </r>
  <r>
    <x v="3"/>
    <s v="Abs &amp; Taylor_9620000012, 9620000731_RECON.xlsx"/>
    <n v="158217"/>
    <d v="2020-09-23T00:00:00"/>
    <n v="187"/>
    <n v="308663"/>
    <s v="Service Call"/>
    <s v="Invoice requires further research"/>
    <n v="9620000012"/>
  </r>
  <r>
    <x v="3"/>
    <s v="Abs &amp; Taylor_9620000012, 9620000731_RECON.xlsx"/>
    <n v="158219"/>
    <d v="2020-09-23T00:00:00"/>
    <n v="566.94000000000005"/>
    <n v="307887"/>
    <s v="Service Call"/>
    <s v="Invoice requires further research"/>
    <n v="9620000012"/>
  </r>
  <r>
    <x v="3"/>
    <s v="Abs &amp; Taylor_9620000012, 9620000731_RECON.xlsx"/>
    <n v="158221"/>
    <d v="2020-09-23T00:00:00"/>
    <n v="263.32"/>
    <n v="309045"/>
    <s v="Service Call"/>
    <s v="Invoice requires further research"/>
    <n v="9620000012"/>
  </r>
  <r>
    <x v="3"/>
    <s v="Abs &amp; Taylor_9620000012, 9620000731_RECON.xlsx"/>
    <n v="158900"/>
    <d v="2020-10-03T00:00:00"/>
    <n v="187"/>
    <n v="311605"/>
    <s v="Service Call"/>
    <s v="Invoice requires further research"/>
    <n v="9620000012"/>
  </r>
  <r>
    <x v="3"/>
    <s v="Abs &amp; Taylor_9620000012, 9620000731_RECON.xlsx"/>
    <n v="159135"/>
    <d v="2020-10-07T00:00:00"/>
    <n v="395"/>
    <n v="214876"/>
    <s v="PM"/>
    <s v="Invoice requires further research"/>
    <n v="9620000012"/>
  </r>
  <r>
    <x v="3"/>
    <s v="Abs &amp; Taylor_9620000012, 9620000731_RECON.xlsx"/>
    <n v="159252"/>
    <d v="2020-10-10T00:00:00"/>
    <n v="187"/>
    <n v="312916"/>
    <s v="Service Call"/>
    <s v="Invoice requires further research"/>
    <n v="9620000012"/>
  </r>
  <r>
    <x v="3"/>
    <s v="Abs &amp; Taylor_9620000012, 9620000731_RECON.xlsx"/>
    <n v="160226"/>
    <d v="2020-11-05T00:00:00"/>
    <n v="431.2"/>
    <n v="316949"/>
    <s v="Service Call"/>
    <s v="Invoice requires further research"/>
    <n v="9620000012"/>
  </r>
  <r>
    <x v="3"/>
    <s v="Abs &amp; Taylor_9620000012, 9620000731_RECON.xlsx"/>
    <n v="160328"/>
    <d v="2020-11-07T00:00:00"/>
    <n v="433.47"/>
    <n v="290349"/>
    <s v="PM"/>
    <s v="Invoice requires further research"/>
    <n v="9620000012"/>
  </r>
  <r>
    <x v="3"/>
    <s v="Abs &amp; Taylor_9620000012, 9620000731_RECON.xlsx"/>
    <n v="160350"/>
    <d v="2020-11-09T00:00:00"/>
    <n v="175"/>
    <n v="290157"/>
    <s v="PM"/>
    <s v="Invoice requires further research"/>
    <n v="9620000012"/>
  </r>
  <r>
    <x v="3"/>
    <s v="Abs &amp; Taylor_9620000012, 9620000731_RECON.xlsx"/>
    <n v="160591"/>
    <d v="2020-11-13T00:00:00"/>
    <n v="535.34"/>
    <n v="317266"/>
    <s v="Service Call"/>
    <s v="Paid"/>
    <n v="9620000012"/>
  </r>
  <r>
    <x v="3"/>
    <s v="Abs &amp; Taylor_9620000012, 9620000731_RECON.xlsx"/>
    <n v="160595"/>
    <d v="2020-11-13T00:00:00"/>
    <n v="285"/>
    <s v="313436-R"/>
    <s v="TBD"/>
    <s v="Invoice requires further research"/>
    <n v="9620000012"/>
  </r>
  <r>
    <x v="3"/>
    <s v="Abs &amp; Taylor_9620000012, 9620000731_RECON.xlsx"/>
    <n v="160596"/>
    <d v="2020-11-13T00:00:00"/>
    <n v="98"/>
    <s v="313437-R"/>
    <s v="TBD"/>
    <s v="Invoice requires further research"/>
    <n v="9620000012"/>
  </r>
  <r>
    <x v="3"/>
    <s v="Abs &amp; Taylor_9620000012, 9620000731_RECON.xlsx"/>
    <n v="160611"/>
    <d v="2020-11-13T00:00:00"/>
    <n v="285"/>
    <n v="314462"/>
    <s v="Service Call"/>
    <n v="0"/>
    <n v="9620000012"/>
  </r>
  <r>
    <x v="3"/>
    <s v="Abs &amp; Taylor_9620000012, 9620000731_RECON.xlsx"/>
    <n v="160679"/>
    <d v="2020-11-14T00:00:00"/>
    <n v="175"/>
    <n v="290335"/>
    <s v="PM"/>
    <n v="0"/>
    <n v="9620000012"/>
  </r>
  <r>
    <x v="3"/>
    <s v="Abs &amp; Taylor_9620000012, 9620000731_RECON.xlsx"/>
    <n v="160697"/>
    <d v="2020-11-14T00:00:00"/>
    <n v="175"/>
    <n v="290288"/>
    <s v="PM"/>
    <n v="0"/>
    <n v="9620000012"/>
  </r>
  <r>
    <x v="3"/>
    <s v="Abs &amp; Taylor_9620000012, 9620000731_RECON.xlsx"/>
    <n v="160709"/>
    <d v="2020-11-16T00:00:00"/>
    <n v="275"/>
    <n v="221220"/>
    <s v="PM"/>
    <n v="0"/>
    <n v="9620000012"/>
  </r>
  <r>
    <x v="3"/>
    <s v="Abs &amp; Taylor_9620000012, 9620000731_RECON.xlsx"/>
    <n v="160733"/>
    <d v="2020-11-16T00:00:00"/>
    <n v="175"/>
    <n v="290344"/>
    <s v="PM"/>
    <n v="0"/>
    <n v="9620000012"/>
  </r>
  <r>
    <x v="3"/>
    <s v="Abs &amp; Taylor_9620000012, 9620000731_RECON.xlsx"/>
    <n v="160915"/>
    <d v="2020-11-19T00:00:00"/>
    <n v="494.53"/>
    <n v="319141"/>
    <s v="Service Call"/>
    <s v="Invoice requires further research"/>
    <n v="9620000012"/>
  </r>
  <r>
    <x v="3"/>
    <s v="Abs &amp; Taylor_9620000012, 9620000731_RECON.xlsx"/>
    <n v="160938"/>
    <d v="2020-11-19T00:00:00"/>
    <n v="240.47"/>
    <n v="319272"/>
    <s v="Service Call"/>
    <n v="0"/>
    <n v="9620000012"/>
  </r>
  <r>
    <x v="3"/>
    <s v="Abs &amp; Taylor_9620000012, 9620000731_RECON.xlsx"/>
    <n v="160945"/>
    <d v="2020-11-19T00:00:00"/>
    <n v="187"/>
    <n v="316658"/>
    <s v="Service Call"/>
    <n v="0"/>
    <n v="9620000012"/>
  </r>
  <r>
    <x v="3"/>
    <s v="Abs &amp; Taylor_9620000012, 9620000731_RECON.xlsx"/>
    <n v="160965"/>
    <d v="2020-11-19T00:00:00"/>
    <n v="175"/>
    <n v="290509"/>
    <s v="PM"/>
    <n v="0"/>
    <n v="9620000012"/>
  </r>
  <r>
    <x v="3"/>
    <s v="Abs &amp; Taylor_9620000012, 9620000731_RECON.xlsx"/>
    <n v="161004"/>
    <d v="2020-11-20T00:00:00"/>
    <n v="187"/>
    <s v="317200-R"/>
    <s v="TBD"/>
    <n v="0"/>
    <n v="9620000012"/>
  </r>
  <r>
    <x v="3"/>
    <s v="Abs &amp; Taylor_9620000012, 9620000731_RECON.xlsx"/>
    <n v="161130"/>
    <d v="2020-11-23T00:00:00"/>
    <n v="187"/>
    <n v="320403"/>
    <s v="Service Call"/>
    <n v="0"/>
    <n v="9620000012"/>
  </r>
  <r>
    <x v="3"/>
    <s v="Abs &amp; Taylor_9620000012, 9620000731_RECON.xlsx"/>
    <n v="161131"/>
    <d v="2020-11-23T00:00:00"/>
    <n v="122.5"/>
    <n v="320404"/>
    <s v="Service Call"/>
    <n v="0"/>
    <n v="9620000012"/>
  </r>
  <r>
    <x v="3"/>
    <s v="Abs &amp; Taylor_9620000012, 9620000731_RECON.xlsx"/>
    <n v="161143"/>
    <d v="2020-11-23T00:00:00"/>
    <n v="383"/>
    <n v="320292"/>
    <s v="Service Call"/>
    <n v="0"/>
    <n v="9620000012"/>
  </r>
  <r>
    <x v="3"/>
    <s v="Abs &amp; Taylor_9620000012, 9620000731_RECON.xlsx"/>
    <n v="161188"/>
    <d v="2020-11-24T00:00:00"/>
    <n v="175"/>
    <n v="290341"/>
    <s v="PM"/>
    <n v="0"/>
    <n v="9620000012"/>
  </r>
  <r>
    <x v="3"/>
    <s v="Abs &amp; Taylor_9620000012, 9620000731_RECON.xlsx"/>
    <n v="161189"/>
    <d v="2020-11-24T00:00:00"/>
    <n v="175"/>
    <n v="290499"/>
    <s v="PM"/>
    <n v="0"/>
    <n v="9620000012"/>
  </r>
  <r>
    <x v="3"/>
    <s v="Abs &amp; Taylor_9620000012, 9620000731_RECON.xlsx"/>
    <n v="161192"/>
    <d v="2020-11-24T00:00:00"/>
    <n v="175"/>
    <n v="290474"/>
    <s v="PM"/>
    <n v="0"/>
    <n v="9620000012"/>
  </r>
  <r>
    <x v="3"/>
    <s v="Abs &amp; Taylor_9620000012, 9620000731_RECON.xlsx"/>
    <n v="161215"/>
    <d v="2020-11-24T00:00:00"/>
    <n v="175"/>
    <n v="290241"/>
    <s v="PM"/>
    <n v="0"/>
    <n v="9620000012"/>
  </r>
  <r>
    <x v="3"/>
    <s v="Abs &amp; Taylor_9620000012, 9620000731_RECON.xlsx"/>
    <n v="161220"/>
    <d v="2020-11-24T00:00:00"/>
    <n v="175"/>
    <n v="290269"/>
    <s v="PM"/>
    <n v="0"/>
    <n v="9620000012"/>
  </r>
  <r>
    <x v="3"/>
    <s v="Abs &amp; Taylor_9620000012, 9620000731_RECON.xlsx"/>
    <n v="161224"/>
    <d v="2020-11-24T00:00:00"/>
    <n v="175"/>
    <n v="290161"/>
    <s v="PM"/>
    <n v="0"/>
    <n v="9620000012"/>
  </r>
  <r>
    <x v="3"/>
    <s v="Abs &amp; Taylor_9620000012, 9620000731_RECON.xlsx"/>
    <n v="161227"/>
    <d v="2020-11-24T00:00:00"/>
    <n v="175"/>
    <n v="290352"/>
    <s v="PM"/>
    <n v="0"/>
    <n v="9620000012"/>
  </r>
  <r>
    <x v="3"/>
    <s v="Abs &amp; Taylor_9620000012, 9620000731_RECON.xlsx"/>
    <n v="161232"/>
    <d v="2020-11-24T00:00:00"/>
    <n v="175"/>
    <n v="290297"/>
    <s v="PM"/>
    <n v="0"/>
    <n v="9620000012"/>
  </r>
  <r>
    <x v="3"/>
    <s v="Abs &amp; Taylor_9620000012, 9620000731_RECON.xlsx"/>
    <n v="161233"/>
    <d v="2020-11-24T00:00:00"/>
    <n v="175"/>
    <n v="290410"/>
    <s v="PM"/>
    <n v="0"/>
    <n v="9620000012"/>
  </r>
  <r>
    <x v="3"/>
    <s v="Abs &amp; Taylor_9620000012, 9620000731_RECON.xlsx"/>
    <n v="161555"/>
    <d v="2020-12-05T00:00:00"/>
    <n v="536.75"/>
    <n v="0"/>
    <s v="TBD"/>
    <n v="0"/>
    <n v="9620000012"/>
  </r>
  <r>
    <x v="3"/>
    <s v="Abs &amp; Taylor_9620000012, 9620000731_RECON.xlsx"/>
    <n v="161563"/>
    <d v="2020-12-05T00:00:00"/>
    <n v="437.96"/>
    <n v="0"/>
    <s v="TBD"/>
    <n v="0"/>
    <n v="9620000012"/>
  </r>
  <r>
    <x v="3"/>
    <s v="Abs &amp; Taylor_9620000012, 9620000731_RECON.xlsx"/>
    <n v="162201"/>
    <d v="2020-12-22T00:00:00"/>
    <n v="242.88"/>
    <n v="0"/>
    <s v="TBD"/>
    <n v="0"/>
    <n v="9620000012"/>
  </r>
  <r>
    <x v="3"/>
    <s v="Abs &amp; Taylor_9620000012, 9620000731_RECON.xlsx"/>
    <n v="163077"/>
    <d v="2021-01-19T00:00:00"/>
    <n v="175"/>
    <n v="0"/>
    <s v="TBD"/>
    <n v="0"/>
    <n v="9620000012"/>
  </r>
  <r>
    <x v="3"/>
    <s v="Abs &amp; Taylor_9620000012, 9620000731_RECON.xlsx"/>
    <n v="163558"/>
    <d v="2021-01-28T00:00:00"/>
    <n v="448"/>
    <n v="0"/>
    <s v="TBD"/>
    <n v="0"/>
    <n v="9620000012"/>
  </r>
  <r>
    <x v="3"/>
    <s v="Abs &amp; Taylor_9620000012, 9620000731_RECON.xlsx"/>
    <n v="163560"/>
    <d v="2021-01-28T00:00:00"/>
    <n v="448"/>
    <n v="0"/>
    <s v="TBD"/>
    <n v="0"/>
    <n v="9620000012"/>
  </r>
  <r>
    <x v="3"/>
    <s v="Abs &amp; Taylor_9620000012, 9620000731_RECON.xlsx"/>
    <n v="163561"/>
    <d v="2021-01-28T00:00:00"/>
    <n v="448"/>
    <n v="0"/>
    <s v="TBD"/>
    <n v="0"/>
    <n v="9620000012"/>
  </r>
  <r>
    <x v="3"/>
    <s v="Abs &amp; Taylor_9620000012, 9620000731_RECON.xlsx"/>
    <n v="163578"/>
    <d v="2021-01-28T00:00:00"/>
    <n v="448"/>
    <n v="0"/>
    <s v="TBD"/>
    <n v="0"/>
    <n v="9620000012"/>
  </r>
  <r>
    <x v="3"/>
    <s v="Abs &amp; Taylor_9620000012, 9620000731_RECON.xlsx"/>
    <n v="163579"/>
    <d v="2021-01-28T00:00:00"/>
    <n v="448"/>
    <n v="0"/>
    <s v="TBD"/>
    <n v="0"/>
    <n v="9620000012"/>
  </r>
  <r>
    <x v="3"/>
    <s v="Abs &amp; Taylor_9620000012, 9620000731_RECON.xlsx"/>
    <n v="163580"/>
    <d v="2021-01-28T00:00:00"/>
    <n v="448"/>
    <n v="0"/>
    <s v="TBD"/>
    <n v="0"/>
    <n v="9620000012"/>
  </r>
  <r>
    <x v="3"/>
    <s v="Abs &amp; Taylor_9620000012, 9620000731_RECON.xlsx"/>
    <n v="163584"/>
    <d v="2021-01-28T00:00:00"/>
    <n v="448"/>
    <n v="0"/>
    <s v="TBD"/>
    <n v="0"/>
    <n v="9620000012"/>
  </r>
  <r>
    <x v="3"/>
    <s v="Abs &amp; Taylor_9620000012, 9620000731_RECON.xlsx"/>
    <n v="163621"/>
    <d v="2021-01-29T00:00:00"/>
    <n v="346.25"/>
    <n v="0"/>
    <s v="TBD"/>
    <n v="0"/>
    <n v="9620000012"/>
  </r>
  <r>
    <x v="3"/>
    <s v="Abs &amp; Taylor_9620000012, 9620000731_RECON.xlsx"/>
    <n v="163728"/>
    <d v="2021-01-29T00:00:00"/>
    <n v="448"/>
    <n v="0"/>
    <s v="TBD"/>
    <n v="0"/>
    <n v="9620000012"/>
  </r>
  <r>
    <x v="3"/>
    <s v="Abs &amp; Taylor_9620000012, 9620000731_RECON.xlsx"/>
    <n v="163729"/>
    <d v="2021-01-29T00:00:00"/>
    <n v="448"/>
    <n v="0"/>
    <s v="TBD"/>
    <n v="0"/>
    <n v="9620000012"/>
  </r>
  <r>
    <x v="3"/>
    <s v="Abs &amp; Taylor_9620000012, 9620000731_RECON.xlsx"/>
    <n v="163731"/>
    <d v="2021-01-29T00:00:00"/>
    <n v="448"/>
    <n v="0"/>
    <s v="TBD"/>
    <n v="0"/>
    <n v="9620000012"/>
  </r>
  <r>
    <x v="3"/>
    <s v="Abs &amp; Taylor_9620000012, 9620000731_RECON.xlsx"/>
    <n v="163732"/>
    <d v="2021-01-29T00:00:00"/>
    <n v="448"/>
    <n v="0"/>
    <s v="TBD"/>
    <n v="0"/>
    <n v="9620000012"/>
  </r>
  <r>
    <x v="3"/>
    <s v="Abs &amp; Taylor_9620000012, 9620000731_RECON.xlsx"/>
    <n v="163733"/>
    <d v="2021-01-29T00:00:00"/>
    <n v="448"/>
    <n v="0"/>
    <s v="TBD"/>
    <n v="0"/>
    <n v="9620000012"/>
  </r>
  <r>
    <x v="3"/>
    <s v="Abs &amp; Taylor_9620000012, 9620000731_RECON.xlsx"/>
    <n v="163734"/>
    <d v="2021-01-29T00:00:00"/>
    <n v="448"/>
    <n v="0"/>
    <s v="TBD"/>
    <n v="0"/>
    <n v="9620000012"/>
  </r>
  <r>
    <x v="3"/>
    <s v="Abs &amp; Taylor_9620000012, 9620000731_RECON.xlsx"/>
    <n v="163738"/>
    <d v="2021-01-29T00:00:00"/>
    <n v="644"/>
    <n v="0"/>
    <s v="TBD"/>
    <n v="0"/>
    <n v="9620000012"/>
  </r>
  <r>
    <x v="3"/>
    <s v="Abs &amp; Taylor_9620000012, 9620000731_RECON.xlsx"/>
    <n v="163765"/>
    <d v="2021-01-29T00:00:00"/>
    <n v="448"/>
    <n v="0"/>
    <s v="TBD"/>
    <n v="0"/>
    <n v="9620000012"/>
  </r>
  <r>
    <x v="3"/>
    <s v="Abs &amp; Taylor_9620000012, 9620000731_RECON.xlsx"/>
    <n v="163843"/>
    <d v="2021-02-02T00:00:00"/>
    <n v="187"/>
    <n v="0"/>
    <s v="TBD"/>
    <n v="0"/>
    <n v="9620000012"/>
  </r>
  <r>
    <x v="3"/>
    <s v="Abs &amp; Taylor_9620000012, 9620000731_RECON.xlsx"/>
    <n v="163846"/>
    <d v="2021-02-02T00:00:00"/>
    <n v="314.26"/>
    <n v="0"/>
    <s v="TBD"/>
    <n v="0"/>
    <n v="9620000012"/>
  </r>
  <r>
    <x v="3"/>
    <s v="Abs &amp; Taylor_9620000012, 9620000731_RECON.xlsx"/>
    <n v="163920"/>
    <d v="2021-02-03T00:00:00"/>
    <n v="187"/>
    <n v="0"/>
    <s v="TBD"/>
    <n v="0"/>
    <n v="9620000012"/>
  </r>
  <r>
    <x v="3"/>
    <s v="Abs &amp; Taylor_9620000012, 9620000731_RECON.xlsx"/>
    <n v="163957"/>
    <d v="2021-02-04T00:00:00"/>
    <n v="187"/>
    <n v="0"/>
    <s v="TBD"/>
    <n v="0"/>
    <n v="9620000012"/>
  </r>
  <r>
    <x v="3"/>
    <s v="Abs &amp; Taylor_9620000012, 9620000731_RECON.xlsx"/>
    <n v="164541"/>
    <d v="2021-02-15T00:00:00"/>
    <n v="187"/>
    <n v="0"/>
    <s v="TBD"/>
    <n v="0"/>
    <n v="9620000012"/>
  </r>
  <r>
    <x v="3"/>
    <s v="Abs &amp; Taylor_9620000012, 9620000731_RECON.xlsx"/>
    <n v="164632"/>
    <d v="2021-02-17T00:00:00"/>
    <n v="175"/>
    <n v="0"/>
    <s v="TBD"/>
    <n v="0"/>
    <n v="9620000012"/>
  </r>
  <r>
    <x v="3"/>
    <s v="Abs &amp; Taylor_9620000012, 9620000731_RECON.xlsx"/>
    <n v="164899"/>
    <d v="2021-02-22T00:00:00"/>
    <n v="275"/>
    <n v="0"/>
    <s v="TBD"/>
    <n v="0"/>
    <n v="9620000012"/>
  </r>
  <r>
    <x v="3"/>
    <s v="Abs &amp; Taylor_9620000012, 9620000731_RECON.xlsx"/>
    <n v="164900"/>
    <d v="2021-02-22T00:00:00"/>
    <n v="275"/>
    <n v="0"/>
    <s v="TBD"/>
    <n v="0"/>
    <n v="9620000012"/>
  </r>
  <r>
    <x v="3"/>
    <s v="Abs &amp; Taylor_9620000012, 9620000731_RECON.xlsx"/>
    <n v="164901"/>
    <d v="2021-02-22T00:00:00"/>
    <n v="275"/>
    <n v="0"/>
    <s v="TBD"/>
    <n v="0"/>
    <n v="9620000012"/>
  </r>
  <r>
    <x v="3"/>
    <s v="Abs &amp; Taylor_9620000012, 9620000731_RECON.xlsx"/>
    <n v="164906"/>
    <d v="2021-02-22T00:00:00"/>
    <n v="1263.8"/>
    <n v="0"/>
    <s v="TBD"/>
    <n v="0"/>
    <n v="9620000012"/>
  </r>
  <r>
    <x v="3"/>
    <s v="Abs &amp; Taylor_9620000012, 9620000731_RECON.xlsx"/>
    <n v="165135"/>
    <d v="2021-02-24T00:00:00"/>
    <n v="275"/>
    <n v="0"/>
    <s v="TBD"/>
    <n v="0"/>
    <n v="9620000012"/>
  </r>
  <r>
    <x v="3"/>
    <s v="Abs &amp; Taylor_9620000012, 9620000731_RECON.xlsx"/>
    <n v="165139"/>
    <d v="2021-02-24T00:00:00"/>
    <n v="275"/>
    <n v="0"/>
    <s v="TBD"/>
    <n v="0"/>
    <n v="9620000012"/>
  </r>
  <r>
    <x v="3"/>
    <s v="Abs &amp; Taylor_9620000012, 9620000731_RECON.xlsx"/>
    <n v="165141"/>
    <d v="2021-02-24T00:00:00"/>
    <n v="275"/>
    <n v="0"/>
    <s v="TBD"/>
    <n v="0"/>
    <n v="9620000012"/>
  </r>
  <r>
    <x v="3"/>
    <s v="Abs &amp; Taylor_9620000012, 9620000731_RECON.xlsx"/>
    <n v="165209"/>
    <d v="2021-02-24T00:00:00"/>
    <n v="275"/>
    <n v="0"/>
    <s v="TBD"/>
    <n v="0"/>
    <n v="9620000012"/>
  </r>
  <r>
    <x v="3"/>
    <s v="Abs &amp; Taylor_9620000012, 9620000731_RECON.xlsx"/>
    <n v="165214"/>
    <d v="2021-02-25T00:00:00"/>
    <n v="275"/>
    <n v="0"/>
    <s v="TBD"/>
    <n v="0"/>
    <n v="9620000012"/>
  </r>
  <r>
    <x v="3"/>
    <s v="Abs &amp; Taylor_9620000012, 9620000731_RECON.xlsx"/>
    <n v="165215"/>
    <d v="2021-02-25T00:00:00"/>
    <n v="275"/>
    <n v="0"/>
    <s v="TBD"/>
    <n v="0"/>
    <n v="9620000012"/>
  </r>
  <r>
    <x v="3"/>
    <s v="Abs &amp; Taylor_9620000012, 9620000731_RECON.xlsx"/>
    <n v="165421"/>
    <d v="2021-03-01T00:00:00"/>
    <n v="313.36"/>
    <n v="0"/>
    <s v="TBD"/>
    <n v="0"/>
    <n v="9620000012"/>
  </r>
  <r>
    <x v="3"/>
    <s v="Abs &amp; Taylor_9620000012, 9620000731_RECON.xlsx"/>
    <n v="165423"/>
    <d v="2021-03-01T00:00:00"/>
    <n v="187"/>
    <n v="0"/>
    <s v="TBD"/>
    <n v="0"/>
    <n v="9620000012"/>
  </r>
  <r>
    <x v="3"/>
    <s v="Abs &amp; Taylor_9620000012, 9620000731_RECON.xlsx"/>
    <n v="165729"/>
    <d v="2021-03-05T00:00:00"/>
    <n v="187"/>
    <n v="0"/>
    <s v="TBD"/>
    <n v="0"/>
    <n v="9620000012"/>
  </r>
  <r>
    <x v="3"/>
    <s v="Abs &amp; Taylor_9620000012, 9620000731_RECON.xlsx"/>
    <n v="165993"/>
    <d v="2021-03-10T00:00:00"/>
    <n v="285"/>
    <n v="0"/>
    <s v="TBD"/>
    <n v="0"/>
    <n v="9620000012"/>
  </r>
  <r>
    <x v="3"/>
    <s v="Abs &amp; Taylor_9620000012, 9620000731_RECON.xlsx"/>
    <n v="166141"/>
    <d v="2021-03-11T00:00:00"/>
    <n v="260.5"/>
    <n v="0"/>
    <s v="TBD"/>
    <n v="0"/>
    <n v="9620000012"/>
  </r>
  <r>
    <x v="3"/>
    <s v="Abs &amp; Taylor_9620000012, 9620000731_RECON.xlsx"/>
    <n v="166647"/>
    <d v="2021-03-23T00:00:00"/>
    <n v="187"/>
    <n v="0"/>
    <s v="TBD"/>
    <n v="0"/>
    <n v="9620000012"/>
  </r>
  <r>
    <x v="3"/>
    <s v="Abs &amp; Taylor_9620000012, 9620000731_RECON.xlsx"/>
    <n v="166676"/>
    <d v="2021-03-24T00:00:00"/>
    <n v="200.54"/>
    <n v="0"/>
    <s v="TBD"/>
    <n v="0"/>
    <n v="9620000012"/>
  </r>
  <r>
    <x v="3"/>
    <s v="Abs &amp; Taylor_9620000012, 9620000731_RECON.xlsx"/>
    <n v="166772"/>
    <d v="2021-03-24T00:00:00"/>
    <n v="187"/>
    <n v="0"/>
    <s v="TBD"/>
    <n v="0"/>
    <n v="9620000012"/>
  </r>
  <r>
    <x v="3"/>
    <s v="Abs &amp; Taylor_9620000012, 9620000731_RECON.xlsx"/>
    <n v="166785"/>
    <d v="2021-03-25T00:00:00"/>
    <n v="187"/>
    <n v="0"/>
    <s v="TBD"/>
    <n v="0"/>
    <n v="9620000012"/>
  </r>
  <r>
    <x v="3"/>
    <s v="Abs &amp; Taylor_9620000012, 9620000731_RECON.xlsx"/>
    <n v="167036"/>
    <d v="2021-03-29T00:00:00"/>
    <n v="264.36"/>
    <n v="0"/>
    <s v="TBD"/>
    <n v="0"/>
    <n v="9620000012"/>
  </r>
  <r>
    <x v="3"/>
    <s v="Abs &amp; Taylor_9620000012, 9620000731_RECON.xlsx"/>
    <n v="167129"/>
    <d v="2021-03-31T00:00:00"/>
    <n v="187"/>
    <n v="0"/>
    <s v="TBD"/>
    <n v="0"/>
    <n v="9620000012"/>
  </r>
  <r>
    <x v="3"/>
    <s v="Abs &amp; Taylor_9620000012, 9620000731_RECON.xlsx"/>
    <n v="167824"/>
    <d v="2021-04-16T00:00:00"/>
    <n v="841.86"/>
    <n v="0"/>
    <s v="TBD"/>
    <n v="0"/>
    <n v="9620000012"/>
  </r>
  <r>
    <x v="3"/>
    <s v="Abs &amp; Taylor_9620000012, 9620000731_RECON.xlsx"/>
    <n v="167930"/>
    <d v="2021-04-20T00:00:00"/>
    <n v="510.68"/>
    <n v="0"/>
    <s v="TBD"/>
    <n v="0"/>
    <n v="9620000012"/>
  </r>
  <r>
    <x v="3"/>
    <s v="Abs &amp; Taylor_9620000012, 9620000731_RECON.xlsx"/>
    <n v="168159"/>
    <d v="2021-04-23T00:00:00"/>
    <n v="194.07"/>
    <n v="0"/>
    <s v="TBD"/>
    <n v="0"/>
    <n v="9620000012"/>
  </r>
  <r>
    <x v="3"/>
    <s v="Abs &amp; Taylor_9620000012, 9620000731_RECON.xlsx"/>
    <n v="168314"/>
    <d v="2021-04-27T00:00:00"/>
    <n v="236"/>
    <n v="0"/>
    <s v="TBD"/>
    <n v="0"/>
    <n v="9620000012"/>
  </r>
  <r>
    <x v="3"/>
    <s v="Abs &amp; Taylor_9620000012, 9620000731_RECON.xlsx"/>
    <n v="168385"/>
    <d v="2021-04-28T00:00:00"/>
    <n v="89"/>
    <n v="0"/>
    <s v="TBD"/>
    <n v="0"/>
    <n v="9620000012"/>
  </r>
  <r>
    <x v="3"/>
    <s v="Abs &amp; Taylor_9620000012, 9620000731_RECON.xlsx"/>
    <n v="168387"/>
    <d v="2021-04-28T00:00:00"/>
    <n v="187"/>
    <n v="0"/>
    <s v="TBD"/>
    <n v="0"/>
    <n v="9620000012"/>
  </r>
  <r>
    <x v="3"/>
    <s v="Abs &amp; Taylor_9620000012, 9620000731_RECON.xlsx"/>
    <n v="168532"/>
    <d v="2021-04-29T00:00:00"/>
    <n v="187"/>
    <n v="0"/>
    <s v="TBD"/>
    <n v="0"/>
    <n v="9620000012"/>
  </r>
  <r>
    <x v="3"/>
    <s v="Abs &amp; Taylor_9620000012, 9620000731_RECON.xlsx"/>
    <n v="168568"/>
    <d v="2021-04-30T00:00:00"/>
    <n v="275"/>
    <n v="0"/>
    <s v="TBD"/>
    <n v="0"/>
    <n v="9620000012"/>
  </r>
  <r>
    <x v="3"/>
    <s v="Abs &amp; Taylor_9620000012, 9620000731_RECON.xlsx"/>
    <n v="168570"/>
    <d v="2021-04-30T00:00:00"/>
    <n v="175"/>
    <n v="0"/>
    <s v="TBD"/>
    <n v="0"/>
    <n v="9620000012"/>
  </r>
  <r>
    <x v="3"/>
    <s v="Abs &amp; Taylor_9620000012, 9620000731_RECON.xlsx"/>
    <n v="168571"/>
    <d v="2021-04-30T00:00:00"/>
    <n v="187"/>
    <n v="0"/>
    <s v="TBD"/>
    <n v="0"/>
    <n v="9620000012"/>
  </r>
  <r>
    <x v="3"/>
    <s v="Abs &amp; Taylor_9620000012, 9620000731_RECON.xlsx"/>
    <n v="168601"/>
    <d v="2021-04-30T00:00:00"/>
    <n v="187"/>
    <n v="0"/>
    <s v="TBD"/>
    <n v="0"/>
    <n v="9620000012"/>
  </r>
  <r>
    <x v="3"/>
    <s v="Abs &amp; Taylor_9620000012, 9620000731_RECON.xlsx"/>
    <n v="168625"/>
    <d v="2021-04-30T00:00:00"/>
    <n v="260.5"/>
    <n v="0"/>
    <s v="TBD"/>
    <n v="0"/>
    <n v="9620000012"/>
  </r>
  <r>
    <x v="3"/>
    <s v="Abs &amp; Taylor_9620000012, 9620000731_RECON.xlsx"/>
    <n v="168668"/>
    <d v="2021-05-03T00:00:00"/>
    <n v="253.44"/>
    <n v="0"/>
    <s v="TBD"/>
    <n v="0"/>
    <n v="9620000012"/>
  </r>
  <r>
    <x v="3"/>
    <s v="Abs &amp; Taylor_9620000012, 9620000731_RECON.xlsx"/>
    <n v="168707"/>
    <d v="2021-05-04T00:00:00"/>
    <n v="275"/>
    <n v="0"/>
    <s v="TBD"/>
    <n v="0"/>
    <n v="9620000012"/>
  </r>
  <r>
    <x v="3"/>
    <s v="Abs &amp; Taylor_9620000012, 9620000731_RECON.xlsx"/>
    <n v="168940"/>
    <d v="2021-05-07T00:00:00"/>
    <n v="187"/>
    <n v="0"/>
    <s v="TBD"/>
    <n v="0"/>
    <n v="9620000012"/>
  </r>
  <r>
    <x v="3"/>
    <s v="Abs &amp; Taylor_9620000012, 9620000731_RECON.xlsx"/>
    <n v="169188"/>
    <d v="2021-05-14T00:00:00"/>
    <n v="175"/>
    <n v="0"/>
    <s v="TBD"/>
    <n v="0"/>
    <n v="9620000012"/>
  </r>
  <r>
    <x v="3"/>
    <s v="Abs &amp; Taylor_9620000012, 9620000731_RECON.xlsx"/>
    <n v="169189"/>
    <d v="2021-05-14T00:00:00"/>
    <n v="175"/>
    <n v="0"/>
    <s v="TBD"/>
    <n v="0"/>
    <n v="9620000012"/>
  </r>
  <r>
    <x v="3"/>
    <s v="Abs &amp; Taylor_9620000012, 9620000731_RECON.xlsx"/>
    <n v="169190"/>
    <d v="2021-05-14T00:00:00"/>
    <n v="275"/>
    <n v="0"/>
    <s v="TBD"/>
    <n v="0"/>
    <n v="9620000012"/>
  </r>
  <r>
    <x v="3"/>
    <s v="Abs &amp; Taylor_9620000012, 9620000731_RECON.xlsx"/>
    <n v="169221"/>
    <d v="2021-05-14T00:00:00"/>
    <n v="395"/>
    <n v="0"/>
    <s v="TBD"/>
    <n v="0"/>
    <n v="9620000012"/>
  </r>
  <r>
    <x v="3"/>
    <s v="Abs &amp; Taylor_9620000012, 9620000731_RECON.xlsx"/>
    <n v="169226"/>
    <d v="2021-05-15T00:00:00"/>
    <n v="175"/>
    <n v="0"/>
    <s v="TBD"/>
    <n v="0"/>
    <n v="9620000012"/>
  </r>
  <r>
    <x v="3"/>
    <s v="Abs &amp; Taylor_9620000012, 9620000731_RECON.xlsx"/>
    <n v="169227"/>
    <d v="2021-05-15T00:00:00"/>
    <n v="175"/>
    <n v="0"/>
    <s v="TBD"/>
    <n v="0"/>
    <n v="9620000012"/>
  </r>
  <r>
    <x v="3"/>
    <s v="Abs &amp; Taylor_9620000012, 9620000731_RECON.xlsx"/>
    <n v="169256"/>
    <d v="2021-05-17T00:00:00"/>
    <n v="175"/>
    <n v="0"/>
    <s v="TBD"/>
    <n v="0"/>
    <n v="9620000012"/>
  </r>
  <r>
    <x v="3"/>
    <s v="Abs &amp; Taylor_9620000012, 9620000731_RECON.xlsx"/>
    <n v="169273"/>
    <d v="2021-05-17T00:00:00"/>
    <n v="543.6"/>
    <n v="0"/>
    <s v="TBD"/>
    <n v="0"/>
    <n v="9620000012"/>
  </r>
  <r>
    <x v="3"/>
    <s v="Abs &amp; Taylor_9620000012, 9620000731_RECON.xlsx"/>
    <n v="169292"/>
    <d v="2021-05-18T00:00:00"/>
    <n v="275"/>
    <n v="0"/>
    <s v="TBD"/>
    <n v="0"/>
    <n v="9620000012"/>
  </r>
  <r>
    <x v="3"/>
    <s v="Abs &amp; Taylor_9620000012, 9620000731_RECON.xlsx"/>
    <n v="169357"/>
    <d v="2021-05-19T00:00:00"/>
    <n v="275"/>
    <n v="0"/>
    <s v="TBD"/>
    <n v="0"/>
    <n v="9620000012"/>
  </r>
  <r>
    <x v="3"/>
    <s v="Abs &amp; Taylor_9620000012, 9620000731_RECON.xlsx"/>
    <n v="169542"/>
    <d v="2021-05-22T00:00:00"/>
    <n v="187"/>
    <n v="0"/>
    <s v="TBD"/>
    <n v="0"/>
    <n v="9620000012"/>
  </r>
  <r>
    <x v="3"/>
    <s v="Abs &amp; Taylor_9620000012, 9620000731_RECON.xlsx"/>
    <n v="169547"/>
    <d v="2021-05-22T00:00:00"/>
    <n v="175"/>
    <n v="0"/>
    <s v="TBD"/>
    <n v="0"/>
    <n v="9620000012"/>
  </r>
  <r>
    <x v="3"/>
    <s v="Abs &amp; Taylor_9620000012, 9620000731_RECON.xlsx"/>
    <n v="169548"/>
    <d v="2021-05-22T00:00:00"/>
    <n v="175"/>
    <n v="0"/>
    <s v="TBD"/>
    <n v="0"/>
    <n v="9620000012"/>
  </r>
  <r>
    <x v="3"/>
    <s v="Abs &amp; Taylor_9620000012, 9620000731_RECON.xlsx"/>
    <n v="169549"/>
    <d v="2021-05-22T00:00:00"/>
    <n v="175"/>
    <n v="0"/>
    <s v="TBD"/>
    <n v="0"/>
    <n v="9620000012"/>
  </r>
  <r>
    <x v="3"/>
    <s v="Abs &amp; Taylor_9620000012, 9620000731_RECON.xlsx"/>
    <n v="169906"/>
    <d v="2021-05-28T00:00:00"/>
    <n v="187"/>
    <n v="0"/>
    <s v="TBD"/>
    <n v="0"/>
    <n v="9620000012"/>
  </r>
  <r>
    <x v="3"/>
    <s v="Abs &amp; Taylor_9620000012, 9620000731_RECON.xlsx"/>
    <n v="169927"/>
    <d v="2021-05-28T00:00:00"/>
    <n v="2459.75"/>
    <n v="0"/>
    <s v="TBD"/>
    <n v="0"/>
    <n v="9620000012"/>
  </r>
  <r>
    <x v="3"/>
    <s v="Abs &amp; Taylor_9620000012, 9620000731_RECON.xlsx"/>
    <n v="170083"/>
    <d v="2021-06-02T00:00:00"/>
    <n v="680.56"/>
    <n v="0"/>
    <s v="TBD"/>
    <n v="0"/>
    <n v="9620000012"/>
  </r>
  <r>
    <x v="3"/>
    <s v="Abs &amp; Taylor_9620000012, 9620000731_RECON.xlsx"/>
    <n v="170232"/>
    <d v="2021-06-07T00:00:00"/>
    <n v="305.33"/>
    <n v="0"/>
    <s v="TBD"/>
    <n v="0"/>
    <n v="9620000012"/>
  </r>
  <r>
    <x v="3"/>
    <s v="Abs &amp; Taylor_9620000012, 9620000731_RECON.xlsx"/>
    <n v="170233"/>
    <d v="2021-06-07T00:00:00"/>
    <n v="275"/>
    <n v="0"/>
    <s v="TBD"/>
    <n v="0"/>
    <n v="9620000012"/>
  </r>
  <r>
    <x v="3"/>
    <s v="Abs &amp; Taylor_9620000012, 9620000731_RECON.xlsx"/>
    <n v="170234"/>
    <d v="2021-06-07T00:00:00"/>
    <n v="190.7"/>
    <n v="0"/>
    <s v="TBD"/>
    <n v="0"/>
    <n v="9620000012"/>
  </r>
  <r>
    <x v="3"/>
    <s v="Abs &amp; Taylor_9620000012, 9620000731_RECON.xlsx"/>
    <n v="170345"/>
    <d v="2021-06-09T00:00:00"/>
    <n v="481"/>
    <n v="0"/>
    <s v="TBD"/>
    <n v="0"/>
    <n v="9620000012"/>
  </r>
  <r>
    <x v="3"/>
    <s v="Abs &amp; Taylor_9620000012, 9620000731_RECON.xlsx"/>
    <n v="170346"/>
    <d v="2021-06-09T00:00:00"/>
    <n v="187"/>
    <n v="0"/>
    <s v="TBD"/>
    <n v="0"/>
    <n v="9620000012"/>
  </r>
  <r>
    <x v="3"/>
    <s v="Abs &amp; Taylor_9620000012, 9620000731_RECON.xlsx"/>
    <n v="170347"/>
    <d v="2021-06-09T00:00:00"/>
    <n v="407.39"/>
    <n v="0"/>
    <s v="TBD"/>
    <n v="0"/>
    <n v="9620000012"/>
  </r>
  <r>
    <x v="3"/>
    <s v="Abs &amp; Taylor_9620000012, 9620000731_RECON.xlsx"/>
    <n v="170350"/>
    <d v="2021-06-09T00:00:00"/>
    <n v="187"/>
    <n v="0"/>
    <s v="TBD"/>
    <n v="0"/>
    <n v="9620000012"/>
  </r>
  <r>
    <x v="3"/>
    <s v="Abs &amp; Taylor_9620000012, 9620000731_RECON.xlsx"/>
    <n v="170385"/>
    <d v="2021-06-10T00:00:00"/>
    <n v="89"/>
    <n v="0"/>
    <s v="TBD"/>
    <n v="0"/>
    <n v="9620000012"/>
  </r>
  <r>
    <x v="3"/>
    <s v="Abs &amp; Taylor_9620000012, 9620000731_RECON.xlsx"/>
    <n v="170419"/>
    <d v="2021-06-11T00:00:00"/>
    <n v="1579.27"/>
    <n v="0"/>
    <s v="TBD"/>
    <n v="0"/>
    <n v="9620000012"/>
  </r>
  <r>
    <x v="3"/>
    <s v="Abs &amp; Taylor_9620000012, 9620000731_RECON.xlsx"/>
    <n v="170423"/>
    <d v="2021-06-11T00:00:00"/>
    <n v="234.84"/>
    <n v="0"/>
    <s v="TBD"/>
    <n v="0"/>
    <n v="9620000012"/>
  </r>
  <r>
    <x v="3"/>
    <s v="Abs &amp; Taylor_9620000012, 9620000731_RECON.xlsx"/>
    <n v="170426"/>
    <d v="2021-06-11T00:00:00"/>
    <n v="275"/>
    <n v="0"/>
    <s v="TBD"/>
    <n v="0"/>
    <n v="9620000012"/>
  </r>
  <r>
    <x v="3"/>
    <s v="Abs &amp; Taylor_9620000012, 9620000731_RECON.xlsx"/>
    <n v="170429"/>
    <d v="2021-06-11T00:00:00"/>
    <n v="275"/>
    <n v="0"/>
    <s v="TBD"/>
    <n v="0"/>
    <n v="9620000012"/>
  </r>
  <r>
    <x v="3"/>
    <s v="Abs &amp; Taylor_9620000012, 9620000731_RECON.xlsx"/>
    <n v="170453"/>
    <d v="2021-06-11T00:00:00"/>
    <n v="383.16"/>
    <n v="0"/>
    <s v="TBD"/>
    <n v="0"/>
    <n v="9620000012"/>
  </r>
  <r>
    <x v="3"/>
    <s v="Abs &amp; Taylor_9620000012, 9620000731_RECON.xlsx"/>
    <n v="170486"/>
    <d v="2021-06-11T00:00:00"/>
    <n v="275"/>
    <n v="0"/>
    <s v="TBD"/>
    <n v="0"/>
    <n v="9620000012"/>
  </r>
  <r>
    <x v="3"/>
    <s v="Abs &amp; Taylor_9620000012, 9620000731_RECON.xlsx"/>
    <n v="170493"/>
    <d v="2021-06-12T00:00:00"/>
    <n v="275"/>
    <n v="0"/>
    <s v="TBD"/>
    <n v="0"/>
    <n v="9620000012"/>
  </r>
  <r>
    <x v="3"/>
    <s v="Abs &amp; Taylor_9620000012, 9620000731_RECON.xlsx"/>
    <n v="170498"/>
    <d v="2021-06-12T00:00:00"/>
    <n v="275"/>
    <n v="0"/>
    <s v="TBD"/>
    <n v="0"/>
    <n v="9620000012"/>
  </r>
  <r>
    <x v="3"/>
    <s v="Abs &amp; Taylor_9620000012, 9620000731_RECON.xlsx"/>
    <n v="170499"/>
    <d v="2021-06-12T00:00:00"/>
    <n v="275"/>
    <n v="0"/>
    <s v="TBD"/>
    <n v="0"/>
    <n v="9620000012"/>
  </r>
  <r>
    <x v="4"/>
    <s v="Absolute Equipment Service Solutions_9620000014_RECON.xlsx"/>
    <n v="12047"/>
    <d v="2020-05-06T00:00:00"/>
    <n v="438.9"/>
    <n v="0"/>
    <s v="TBD"/>
    <s v="Processed"/>
    <n v="9620000014"/>
  </r>
  <r>
    <x v="4"/>
    <s v="Absolute Equipment Service Solutions_9620000014_RECON.xlsx"/>
    <n v="12240"/>
    <d v="2020-10-19T00:00:00"/>
    <n v="604.5"/>
    <n v="0"/>
    <s v="TBD"/>
    <n v="0"/>
    <n v="9620000014"/>
  </r>
  <r>
    <x v="4"/>
    <s v="Absolute Equipment Service Solutions_9620000014_RECON.xlsx"/>
    <n v="12228"/>
    <d v="2020-10-19T00:00:00"/>
    <n v="260"/>
    <n v="0"/>
    <s v="TBD"/>
    <n v="0"/>
    <n v="9620000014"/>
  </r>
  <r>
    <x v="4"/>
    <s v="Absolute Equipment Service Solutions_9620000014_RECON.xlsx"/>
    <n v="12234"/>
    <d v="2020-10-19T00:00:00"/>
    <n v="591.39"/>
    <n v="0"/>
    <s v="TBD"/>
    <n v="0"/>
    <n v="9620000014"/>
  </r>
  <r>
    <x v="4"/>
    <s v="Absolute Equipment Service Solutions_9620000014_RECON.xlsx"/>
    <n v="12229"/>
    <d v="2020-10-19T00:00:00"/>
    <n v="993.81"/>
    <n v="0"/>
    <s v="TBD"/>
    <n v="0"/>
    <n v="9620000014"/>
  </r>
  <r>
    <x v="4"/>
    <s v="Absolute Equipment Service Solutions_9620000014_RECON.xlsx"/>
    <n v="12290"/>
    <d v="2020-11-24T00:00:00"/>
    <n v="625.76"/>
    <n v="0"/>
    <s v="TBD"/>
    <n v="0"/>
    <n v="9620000014"/>
  </r>
  <r>
    <x v="4"/>
    <s v="Absolute Equipment Service Solutions_9620000014_RECON.xlsx"/>
    <n v="12376"/>
    <d v="2021-02-05T00:00:00"/>
    <n v="95"/>
    <n v="0"/>
    <s v="TBD"/>
    <n v="0"/>
    <n v="9620000014"/>
  </r>
  <r>
    <x v="4"/>
    <s v="Absolute Equipment Service Solutions_9620000014_RECON.xlsx"/>
    <n v="12377"/>
    <d v="2021-02-05T00:00:00"/>
    <n v="386.43"/>
    <n v="0"/>
    <s v="TBD"/>
    <n v="0"/>
    <n v="9620000014"/>
  </r>
  <r>
    <x v="4"/>
    <s v="Absolute Equipment Service Solutions_9620000014_RECON.xlsx"/>
    <s v="12409A "/>
    <d v="2021-03-01T00:00:00"/>
    <n v="380"/>
    <n v="0"/>
    <s v="TBD"/>
    <n v="0"/>
    <n v="9620000014"/>
  </r>
  <r>
    <x v="5"/>
    <s v="Advanced Coffee &amp; Water_9620000026_RECON.xlsx"/>
    <n v="301342"/>
    <d v="2020-09-19T00:00:00"/>
    <n v="130"/>
    <n v="310052"/>
    <s v="TBD"/>
    <n v="0"/>
    <n v="9620000026"/>
  </r>
  <r>
    <x v="5"/>
    <s v="Advanced Coffee &amp; Water_9620000026_RECON.xlsx"/>
    <n v="301806"/>
    <d v="2020-10-22T00:00:00"/>
    <n v="429.19"/>
    <n v="314853"/>
    <s v="TBD"/>
    <n v="0"/>
    <n v="9620000026"/>
  </r>
  <r>
    <x v="5"/>
    <s v="Advanced Coffee &amp; Water_9620000026_RECON.xlsx"/>
    <n v="301947"/>
    <d v="2020-10-30T00:00:00"/>
    <n v="203.21"/>
    <n v="316573"/>
    <s v="TBD"/>
    <n v="0"/>
    <n v="9620000026"/>
  </r>
  <r>
    <x v="5"/>
    <s v="Advanced Coffee &amp; Water_9620000026_RECON.xlsx"/>
    <n v="301948"/>
    <d v="2020-10-30T00:00:00"/>
    <n v="54.9"/>
    <n v="316572"/>
    <s v="TBD"/>
    <n v="0"/>
    <n v="9620000026"/>
  </r>
  <r>
    <x v="5"/>
    <s v="Advanced Coffee &amp; Water_9620000026_RECON.xlsx"/>
    <n v="302947"/>
    <d v="2020-12-09T00:00:00"/>
    <n v="412.91"/>
    <n v="324364"/>
    <s v="TBD"/>
    <n v="0"/>
    <n v="9620000026"/>
  </r>
  <r>
    <x v="5"/>
    <s v="Advanced Coffee &amp; Water_9620000026_RECON.xlsx"/>
    <n v="302606"/>
    <d v="2020-12-17T00:00:00"/>
    <n v="275"/>
    <n v="203802"/>
    <s v="TBD"/>
    <n v="0"/>
    <n v="9620000026"/>
  </r>
  <r>
    <x v="6"/>
    <s v="Advanced Coffee Tech Service_9620000027, 9620000734_RECON.xlsx"/>
    <n v="210071"/>
    <d v="2021-01-12T00:00:00"/>
    <n v="407.98"/>
    <n v="103045"/>
    <s v="TBD"/>
    <s v="Filed"/>
    <n v="9620000027"/>
  </r>
  <r>
    <x v="6"/>
    <s v="Advanced Coffee Tech Service_9620000027, 9620000734_RECON.xlsx"/>
    <n v="210113"/>
    <d v="2021-01-20T00:00:00"/>
    <n v="340"/>
    <n v="104714"/>
    <s v="TBD"/>
    <s v="Filed"/>
    <n v="9620000027"/>
  </r>
  <r>
    <x v="6"/>
    <s v="Advanced Coffee Tech Service_9620000027, 9620000734_RECON.xlsx"/>
    <n v="210273"/>
    <d v="2021-02-15T00:00:00"/>
    <n v="340"/>
    <n v="393722"/>
    <s v="TBD"/>
    <s v="Filed"/>
    <n v="9620000027"/>
  </r>
  <r>
    <x v="6"/>
    <s v="Advanced Coffee Tech Service_9620000027, 9620000734_RECON.xlsx"/>
    <n v="210335"/>
    <d v="2021-02-23T00:00:00"/>
    <n v="130"/>
    <n v="105229"/>
    <s v="TBD"/>
    <s v="Filed"/>
    <n v="9620000027"/>
  </r>
  <r>
    <x v="6"/>
    <s v="Advanced Coffee Tech Service_9620000027, 9620000734_RECON.xlsx"/>
    <n v="210336"/>
    <d v="2021-02-23T00:00:00"/>
    <n v="130"/>
    <n v="210120"/>
    <s v="TBD"/>
    <s v="Filed"/>
    <n v="9620000027"/>
  </r>
  <r>
    <x v="6"/>
    <s v="Advanced Coffee Tech Service_9620000027, 9620000734_RECON.xlsx"/>
    <n v="210359"/>
    <d v="2021-03-02T00:00:00"/>
    <n v="462.2"/>
    <n v="356219"/>
    <s v="TBD"/>
    <s v="Filed"/>
    <n v="9620000027"/>
  </r>
  <r>
    <x v="6"/>
    <s v="Advanced Coffee Tech Service_9620000027, 9620000734_RECON.xlsx"/>
    <n v="210395"/>
    <d v="2021-03-06T00:00:00"/>
    <n v="677.99"/>
    <n v="357584"/>
    <s v="TBD"/>
    <s v="Filed"/>
    <n v="9620000027"/>
  </r>
  <r>
    <x v="6"/>
    <s v="Advanced Coffee Tech Service_9620000027, 9620000734_RECON.xlsx"/>
    <n v="210497"/>
    <d v="2021-03-10T00:00:00"/>
    <n v="307.5"/>
    <n v="114426"/>
    <s v="TBD"/>
    <s v="Filed"/>
    <n v="9620000027"/>
  </r>
  <r>
    <x v="6"/>
    <s v="Advanced Coffee Tech Service_9620000027, 9620000734_RECON.xlsx"/>
    <n v="210496"/>
    <d v="2021-03-17T00:00:00"/>
    <n v="175"/>
    <n v="210117"/>
    <s v="TBD"/>
    <s v="Filed"/>
    <n v="9620000027"/>
  </r>
  <r>
    <x v="6"/>
    <s v="Advanced Coffee Tech Service_9620000027, 9620000734_RECON.xlsx"/>
    <n v="210469"/>
    <d v="2021-03-19T00:00:00"/>
    <n v="163.84"/>
    <n v="360906"/>
    <s v="TBD"/>
    <s v="Filed"/>
    <n v="9620000027"/>
  </r>
  <r>
    <x v="6"/>
    <s v="Advanced Coffee Tech Service_9620000027, 9620000734_RECON.xlsx"/>
    <n v="210523"/>
    <d v="2021-03-30T00:00:00"/>
    <n v="220"/>
    <n v="112034"/>
    <s v="TBD"/>
    <s v="Filed"/>
    <n v="9620000027"/>
  </r>
  <r>
    <x v="6"/>
    <s v="Advanced Coffee Tech Service_9620000027, 9620000734_RECON.xlsx"/>
    <n v="210592"/>
    <d v="2021-04-15T00:00:00"/>
    <n v="220"/>
    <n v="353800"/>
    <s v="TBD"/>
    <s v="Filed"/>
    <n v="9620000027"/>
  </r>
  <r>
    <x v="6"/>
    <s v="Advanced Coffee Tech Service_9620000027, 9620000734_RECON.xlsx"/>
    <n v="210732"/>
    <d v="2021-05-05T00:00:00"/>
    <n v="1024.4100000000001"/>
    <n v="373181"/>
    <s v="TBD"/>
    <s v="Filed"/>
    <n v="9620000027"/>
  </r>
  <r>
    <x v="6"/>
    <s v="Advanced Coffee Tech Service_9620000027, 9620000734_RECON.xlsx"/>
    <n v="210736"/>
    <d v="2021-05-07T00:00:00"/>
    <n v="743.18"/>
    <n v="374023"/>
    <s v="TBD"/>
    <s v="Filed"/>
    <n v="9620000027"/>
  </r>
  <r>
    <x v="6"/>
    <s v="Advanced Coffee Tech Service_9620000027, 9620000734_RECON.xlsx"/>
    <n v="210824"/>
    <d v="2021-05-25T00:00:00"/>
    <n v="288.75"/>
    <n v="378290"/>
    <s v="TBD"/>
    <s v="Filed"/>
    <n v="9620000027"/>
  </r>
  <r>
    <x v="7"/>
    <s v="Albert-James Company_9620000033_RECON.xlsx"/>
    <n v="1880"/>
    <d v="1899-12-30T00:00:00"/>
    <n v="175"/>
    <n v="207280"/>
    <s v="PM"/>
    <s v="DNP"/>
    <n v="9620000033"/>
  </r>
  <r>
    <x v="7"/>
    <s v="Albert-James Company_9620000033_RECON.xlsx"/>
    <n v="1905"/>
    <d v="1899-12-30T00:00:00"/>
    <n v="450"/>
    <n v="0"/>
    <s v="Install"/>
    <n v="0"/>
    <n v="9620000033"/>
  </r>
  <r>
    <x v="8"/>
    <s v="All Coffee Concepts LLC dba Coffee Werks_9620000034_Recon.xlsx"/>
    <n v="46325343"/>
    <d v="2021-02-05T00:00:00"/>
    <n v="416.73"/>
    <n v="176389"/>
    <s v="PM"/>
    <n v="0"/>
    <n v="9620000034"/>
  </r>
  <r>
    <x v="8"/>
    <s v="All Coffee Concepts LLC dba Coffee Werks_9620000034_Recon.xlsx"/>
    <n v="46325349"/>
    <d v="2021-02-08T00:00:00"/>
    <n v="255.31"/>
    <n v="350443"/>
    <s v="Service Call"/>
    <n v="0"/>
    <n v="9620000034"/>
  </r>
  <r>
    <x v="8"/>
    <s v="All Coffee Concepts LLC dba Coffee Werks_9620000034_Recon.xlsx"/>
    <n v="46325354"/>
    <d v="2021-02-08T00:00:00"/>
    <n v="510.09"/>
    <n v="350883"/>
    <s v="Service Call"/>
    <n v="0"/>
    <n v="9620000034"/>
  </r>
  <r>
    <x v="8"/>
    <s v="All Coffee Concepts LLC dba Coffee Werks_9620000034_Recon.xlsx"/>
    <n v="46325398"/>
    <d v="2021-02-17T00:00:00"/>
    <n v="397.41"/>
    <n v="352910"/>
    <s v="Service Call"/>
    <n v="0"/>
    <n v="9620000034"/>
  </r>
  <r>
    <x v="8"/>
    <s v="All Coffee Concepts LLC dba Coffee Werks_9620000034_Recon.xlsx"/>
    <n v="46325460"/>
    <d v="2021-02-24T00:00:00"/>
    <n v="365.97"/>
    <n v="353853"/>
    <s v="Service Call"/>
    <n v="0"/>
    <n v="9620000034"/>
  </r>
  <r>
    <x v="8"/>
    <s v="All Coffee Concepts LLC dba Coffee Werks_9620000034_Recon.xlsx"/>
    <n v="46325547"/>
    <d v="2021-03-05T00:00:00"/>
    <n v="351.84"/>
    <n v="233824"/>
    <s v="PM"/>
    <n v="0"/>
    <n v="9620000034"/>
  </r>
  <r>
    <x v="8"/>
    <s v="All Coffee Concepts LLC dba Coffee Werks_9620000034_Recon.xlsx"/>
    <n v="46325557"/>
    <d v="2021-03-09T00:00:00"/>
    <n v="290.13"/>
    <n v="170546"/>
    <s v="PM"/>
    <n v="0"/>
    <n v="9620000034"/>
  </r>
  <r>
    <x v="8"/>
    <s v="All Coffee Concepts LLC dba Coffee Werks_9620000034_Recon.xlsx"/>
    <n v="46325568"/>
    <d v="2021-03-09T00:00:00"/>
    <n v="353"/>
    <n v="304133"/>
    <s v="PM"/>
    <n v="0"/>
    <n v="9620000034"/>
  </r>
  <r>
    <x v="8"/>
    <s v="All Coffee Concepts LLC dba Coffee Werks_9620000034_Recon.xlsx"/>
    <n v="46325598"/>
    <d v="2021-03-11T00:00:00"/>
    <n v="290.13"/>
    <n v="170603"/>
    <s v="PM"/>
    <n v="0"/>
    <n v="9620000034"/>
  </r>
  <r>
    <x v="8"/>
    <s v="All Coffee Concepts LLC dba Coffee Werks_9620000034_Recon.xlsx"/>
    <n v="46325921"/>
    <d v="2021-04-29T00:00:00"/>
    <n v="170.1"/>
    <n v="358262"/>
    <s v="PM"/>
    <n v="0"/>
    <n v="9620000034"/>
  </r>
  <r>
    <x v="8"/>
    <s v="All Coffee Concepts LLC dba Coffee Werks_9620000034_Recon.xlsx"/>
    <n v="46325943"/>
    <d v="2021-05-04T00:00:00"/>
    <n v="470.73"/>
    <n v="372981"/>
    <s v="Service Call"/>
    <n v="0"/>
    <n v="9620000034"/>
  </r>
  <r>
    <x v="8"/>
    <s v="All Coffee Concepts LLC dba Coffee Werks_9620000034_Recon.xlsx"/>
    <n v="46325946"/>
    <d v="2021-05-04T00:00:00"/>
    <n v="128.71"/>
    <n v="373062"/>
    <s v="Service Call"/>
    <n v="0"/>
    <n v="9620000034"/>
  </r>
  <r>
    <x v="8"/>
    <s v="All Coffee Concepts LLC dba Coffee Werks_9620000034_Recon.xlsx"/>
    <n v="46325947"/>
    <d v="2021-05-04T00:00:00"/>
    <n v="591.87"/>
    <n v="373119"/>
    <s v="Service Call"/>
    <n v="0"/>
    <n v="9620000034"/>
  </r>
  <r>
    <x v="8"/>
    <s v="All Coffee Concepts LLC dba Coffee Werks_9620000034_Recon.xlsx"/>
    <n v="46325962"/>
    <d v="2021-05-06T00:00:00"/>
    <n v="630"/>
    <n v="4566145048"/>
    <s v="Install"/>
    <n v="0"/>
    <n v="9620000034"/>
  </r>
  <r>
    <x v="8"/>
    <s v="All Coffee Concepts LLC dba Coffee Werks_9620000034_Recon.xlsx"/>
    <n v="46326030"/>
    <d v="2021-05-18T00:00:00"/>
    <n v="395.63"/>
    <n v="366835"/>
    <s v="PM"/>
    <n v="0"/>
    <n v="9620000034"/>
  </r>
  <r>
    <x v="8"/>
    <s v="All Coffee Concepts LLC dba Coffee Werks_9620000034_Recon.xlsx"/>
    <n v="46326200"/>
    <d v="2021-06-09T00:00:00"/>
    <n v="340"/>
    <n v="380719"/>
    <s v="Service Call"/>
    <n v="0"/>
    <n v="9620000034"/>
  </r>
  <r>
    <x v="8"/>
    <s v="All Coffee Concepts LLC dba Coffee Werks_9620000034_Recon.xlsx"/>
    <n v="46326208"/>
    <d v="2021-06-09T00:00:00"/>
    <n v="374.53"/>
    <n v="209580"/>
    <s v="PM"/>
    <n v="0"/>
    <n v="9620000034"/>
  </r>
  <r>
    <x v="8"/>
    <s v="All Coffee Concepts LLC dba Coffee Werks_9620000034_Recon.xlsx"/>
    <n v="46326218"/>
    <d v="2021-06-10T00:00:00"/>
    <n v="383.17"/>
    <n v="382599"/>
    <s v="TBD"/>
    <n v="0"/>
    <n v="9620000034"/>
  </r>
  <r>
    <x v="8"/>
    <s v="All Coffee Concepts LLC dba Coffee Werks_9620000034_Recon.xlsx"/>
    <n v="46326223"/>
    <d v="2021-06-10T00:00:00"/>
    <n v="261.64"/>
    <n v="380320"/>
    <s v="Service Call"/>
    <n v="0"/>
    <n v="9620000034"/>
  </r>
  <r>
    <x v="8"/>
    <s v="All Coffee Concepts LLC dba Coffee Werks_9620000034_Recon.xlsx"/>
    <n v="46326246"/>
    <d v="2021-06-11T00:00:00"/>
    <n v="556.32000000000005"/>
    <n v="6150872"/>
    <s v="TBD"/>
    <n v="0"/>
    <n v="9620000034"/>
  </r>
  <r>
    <x v="9"/>
    <s v="All Espresso Service_9620000035_Recon.xlsx"/>
    <n v="3050457"/>
    <d v="2020-09-28T00:00:00"/>
    <n v="150"/>
    <n v="310780"/>
    <s v="Service Call"/>
    <s v="In file"/>
    <n v="9620000035"/>
  </r>
  <r>
    <x v="9"/>
    <s v="All Espresso Service_9620000035_Recon.xlsx"/>
    <n v="3050532"/>
    <d v="2020-10-25T00:00:00"/>
    <n v="86.32"/>
    <n v="314171"/>
    <s v="Service Call"/>
    <s v="In file"/>
    <n v="9620000035"/>
  </r>
  <r>
    <x v="9"/>
    <s v="All Espresso Service_9620000035_Recon.xlsx"/>
    <n v="3050616"/>
    <d v="2020-11-04T00:00:00"/>
    <n v="388.39"/>
    <n v="317593"/>
    <s v="Service Call"/>
    <s v="In file"/>
    <n v="9620000035"/>
  </r>
  <r>
    <x v="9"/>
    <s v="All Espresso Service_9620000035_Recon.xlsx"/>
    <n v="3050622"/>
    <d v="2020-11-04T00:00:00"/>
    <n v="190.05"/>
    <n v="312836"/>
    <s v="TBD"/>
    <s v="In file"/>
    <n v="9620000035"/>
  </r>
  <r>
    <x v="9"/>
    <s v="All Espresso Service_9620000035_Recon.xlsx"/>
    <n v="3050716"/>
    <d v="2020-11-10T00:00:00"/>
    <n v="423.82"/>
    <n v="318252"/>
    <s v="Service Call"/>
    <s v="In file"/>
    <n v="9620000035"/>
  </r>
  <r>
    <x v="9"/>
    <s v="All Espresso Service_9620000035_Recon.xlsx"/>
    <n v="3050722"/>
    <d v="2020-11-14T00:00:00"/>
    <n v="419.43"/>
    <n v="318979"/>
    <s v="Service Call"/>
    <s v="Need Checklist"/>
    <n v="9620000035"/>
  </r>
  <r>
    <x v="9"/>
    <s v="All Espresso Service_9620000035_Recon.xlsx"/>
    <n v="3050802"/>
    <d v="2020-12-02T00:00:00"/>
    <n v="395"/>
    <n v="171043"/>
    <s v="TBD"/>
    <s v="In file"/>
    <n v="9620000035"/>
  </r>
  <r>
    <x v="9"/>
    <s v="All Espresso Service_9620000035_Recon.xlsx"/>
    <n v="3050935"/>
    <d v="2020-12-09T00:00:00"/>
    <n v="311.57"/>
    <n v="324591"/>
    <s v="TBD"/>
    <s v="In file"/>
    <n v="9620000035"/>
  </r>
  <r>
    <x v="9"/>
    <s v="All Espresso Service_9620000035_Recon.xlsx"/>
    <n v="3050948"/>
    <d v="2021-01-11T00:00:00"/>
    <n v="75"/>
    <n v="174243"/>
    <s v="TBD"/>
    <s v="In file"/>
    <n v="9620000035"/>
  </r>
  <r>
    <x v="9"/>
    <s v="All Espresso Service_9620000035_Recon.xlsx"/>
    <n v="3050951"/>
    <d v="2021-01-11T00:00:00"/>
    <n v="347.7"/>
    <n v="327176"/>
    <s v="TBD"/>
    <s v="In file"/>
    <n v="9620000035"/>
  </r>
  <r>
    <x v="9"/>
    <s v="All Espresso Service_9620000035_Recon.xlsx"/>
    <n v="3050953"/>
    <d v="2021-01-11T00:00:00"/>
    <n v="395"/>
    <n v="213865"/>
    <s v="TBD"/>
    <s v="In file"/>
    <n v="9620000035"/>
  </r>
  <r>
    <x v="9"/>
    <s v="All Espresso Service_9620000035_Recon.xlsx"/>
    <n v="3051028"/>
    <d v="2021-01-26T00:00:00"/>
    <n v="505.36"/>
    <n v="346121"/>
    <s v="TBD"/>
    <s v="In file"/>
    <n v="9620000035"/>
  </r>
  <r>
    <x v="9"/>
    <s v="All Espresso Service_9620000035_Recon.xlsx"/>
    <n v="3051155"/>
    <d v="2021-02-24T00:00:00"/>
    <n v="150"/>
    <n v="353349"/>
    <s v="TBD"/>
    <s v="In file"/>
    <n v="9620000035"/>
  </r>
  <r>
    <x v="10"/>
    <s v="Allens Tri State Mechanical_9620000037_RECON.xlsx"/>
    <n v="126350"/>
    <d v="2020-05-30T00:00:00"/>
    <n v="633.96"/>
    <n v="278745"/>
    <s v="PM"/>
    <s v="DNP"/>
    <n v="9620000037"/>
  </r>
  <r>
    <x v="10"/>
    <s v="Allens Tri State Mechanical_9620000037_RECON.xlsx"/>
    <n v="130844"/>
    <d v="2020-10-20T00:00:00"/>
    <n v="1377.76"/>
    <n v="309164"/>
    <s v="Service Call"/>
    <s v="DNP"/>
    <n v="9620000037"/>
  </r>
  <r>
    <x v="10"/>
    <s v="Allens Tri State Mechanical_9620000037_RECON.xlsx"/>
    <n v="131876"/>
    <d v="2020-11-26T00:00:00"/>
    <n v="683.26"/>
    <n v="318359"/>
    <s v="Service Call"/>
    <s v="DNP"/>
    <n v="9620000037"/>
  </r>
  <r>
    <x v="11"/>
    <s v="Associated Restaurant Services_9620000738, 9620000059_RECON.xlsx"/>
    <n v="22779121420"/>
    <d v="2020-12-15T00:00:00"/>
    <n v="187"/>
    <n v="123611"/>
    <s v="TBD"/>
    <s v="DNP"/>
    <n v="9620000738"/>
  </r>
  <r>
    <x v="11"/>
    <s v="Associated Restaurant Services_9620000738, 9620000059_RECON.xlsx"/>
    <n v="21785111120"/>
    <d v="2020-11-17T00:00:00"/>
    <n v="105.5"/>
    <n v="133611"/>
    <s v="PM"/>
    <s v="Invoice requires further research"/>
    <n v="9620000738"/>
  </r>
  <r>
    <x v="11"/>
    <s v="Associated Restaurant Services_9620000738, 9620000059_RECON.xlsx"/>
    <n v="21689110920"/>
    <d v="2020-11-10T00:00:00"/>
    <n v="145.5"/>
    <n v="133504"/>
    <s v="PM"/>
    <s v="Invoice requires further research"/>
    <n v="9620000738"/>
  </r>
  <r>
    <x v="11"/>
    <s v="Associated Restaurant Services_9620000738, 9620000059_RECON.xlsx"/>
    <n v="22191110420"/>
    <d v="2020-11-05T00:00:00"/>
    <n v="105.5"/>
    <n v="213310"/>
    <s v="PM"/>
    <s v="Invoice requires further research"/>
    <n v="9620000738"/>
  </r>
  <r>
    <x v="11"/>
    <s v="Associated Restaurant Services_9620000738, 9620000059_RECON.xlsx"/>
    <n v="21680101220"/>
    <d v="2020-10-15T00:00:00"/>
    <n v="152"/>
    <n v="119840"/>
    <s v="TBD"/>
    <s v="Invoice requires further research"/>
    <n v="9620000738"/>
  </r>
  <r>
    <x v="11"/>
    <s v="Associated Restaurant Services_9620000738, 9620000059_RECON.xlsx"/>
    <n v="21462092420"/>
    <d v="2020-09-25T00:00:00"/>
    <n v="167"/>
    <n v="310930"/>
    <s v="Service Call"/>
    <s v="Processed"/>
    <n v="9620000738"/>
  </r>
  <r>
    <x v="11"/>
    <s v="Associated Restaurant Services_9620000738, 9620000059_RECON.xlsx"/>
    <n v="21270091120"/>
    <d v="2020-09-24T00:00:00"/>
    <n v="152"/>
    <s v="4563877849-A."/>
    <s v="Install"/>
    <s v="Invoice requires further research"/>
    <n v="9620000738"/>
  </r>
  <r>
    <x v="11"/>
    <s v="Associated Restaurant Services_9620000738, 9620000059_RECON.xlsx"/>
    <n v="21081091420"/>
    <d v="2020-09-15T00:00:00"/>
    <n v="395"/>
    <n v="8652"/>
    <s v="PM"/>
    <s v="Invoice requires further research"/>
    <n v="9620000738"/>
  </r>
  <r>
    <x v="12"/>
    <s v="Atlantic Espresso Tech_9620000063_RECON.xlsx"/>
    <n v="20342"/>
    <d v="2021-06-17T00:00:00"/>
    <n v="388.63"/>
    <n v="0"/>
    <s v="TBD"/>
    <n v="0"/>
    <n v="9620000063"/>
  </r>
  <r>
    <x v="12"/>
    <s v="Atlantic Espresso Tech_9620000063_RECON.xlsx"/>
    <n v="19708"/>
    <d v="2020-10-26T00:00:00"/>
    <n v="861.34"/>
    <n v="315168"/>
    <s v="Service Call"/>
    <n v="0"/>
    <n v="9620000063"/>
  </r>
  <r>
    <x v="12"/>
    <s v="Atlantic Espresso Tech_9620000063_RECON.xlsx"/>
    <n v="20340"/>
    <d v="2021-06-17T00:00:00"/>
    <n v="175"/>
    <n v="0"/>
    <s v="TBD"/>
    <n v="0"/>
    <n v="9620000063"/>
  </r>
  <r>
    <x v="12"/>
    <s v="Atlantic Espresso Tech_9620000063_RECON.xlsx"/>
    <n v="19802"/>
    <d v="2020-11-16T00:00:00"/>
    <n v="294.75"/>
    <n v="103291"/>
    <s v="PM"/>
    <n v="0"/>
    <n v="9620000063"/>
  </r>
  <r>
    <x v="12"/>
    <s v="Atlantic Espresso Tech_9620000063_RECON.xlsx"/>
    <n v="20368"/>
    <d v="2021-06-21T00:00:00"/>
    <n v="175"/>
    <n v="0"/>
    <s v="TBD"/>
    <n v="0"/>
    <n v="9620000063"/>
  </r>
  <r>
    <x v="12"/>
    <s v="Atlantic Espresso Tech_9620000063_RECON.xlsx"/>
    <n v="20328"/>
    <d v="2021-06-11T00:00:00"/>
    <n v="206.75"/>
    <n v="0"/>
    <s v="TBD"/>
    <n v="0"/>
    <n v="9620000063"/>
  </r>
  <r>
    <x v="12"/>
    <s v="Atlantic Espresso Tech_9620000063_RECON.xlsx"/>
    <n v="20329"/>
    <d v="2021-06-11T00:00:00"/>
    <n v="98.75"/>
    <n v="0"/>
    <s v="TBD"/>
    <n v="0"/>
    <n v="9620000063"/>
  </r>
  <r>
    <x v="12"/>
    <s v="Atlantic Espresso Tech_9620000063_RECON.xlsx"/>
    <n v="20370"/>
    <d v="2021-06-23T00:00:00"/>
    <n v="175"/>
    <n v="0"/>
    <s v="TBD"/>
    <n v="0"/>
    <n v="9620000063"/>
  </r>
  <r>
    <x v="12"/>
    <s v="Atlantic Espresso Tech_9620000063_RECON.xlsx"/>
    <n v="19705"/>
    <d v="2020-10-26T00:00:00"/>
    <n v="395"/>
    <n v="105932"/>
    <s v="PM"/>
    <n v="0"/>
    <n v="9620000063"/>
  </r>
  <r>
    <x v="12"/>
    <s v="Atlantic Espresso Tech_9620000063_RECON.xlsx"/>
    <n v="19905"/>
    <d v="2021-01-05T00:00:00"/>
    <n v="518.69000000000005"/>
    <n v="0"/>
    <s v="TBD"/>
    <n v="0"/>
    <n v="9620000063"/>
  </r>
  <r>
    <x v="12"/>
    <s v="Atlantic Espresso Tech_9620000063_RECON.xlsx"/>
    <n v="20096"/>
    <d v="2021-03-12T00:00:00"/>
    <n v="395"/>
    <n v="0"/>
    <s v="TBD"/>
    <n v="0"/>
    <n v="9620000063"/>
  </r>
  <r>
    <x v="12"/>
    <s v="Atlantic Espresso Tech_9620000063_RECON.xlsx"/>
    <n v="20098"/>
    <d v="2021-03-12T00:00:00"/>
    <n v="108"/>
    <n v="0"/>
    <s v="TBD"/>
    <n v="0"/>
    <n v="9620000063"/>
  </r>
  <r>
    <x v="12"/>
    <s v="Atlantic Espresso Tech_9620000063_RECON.xlsx"/>
    <n v="19806"/>
    <d v="2020-11-19T00:00:00"/>
    <n v="98.75"/>
    <n v="212117"/>
    <s v="PM"/>
    <n v="0"/>
    <n v="9620000063"/>
  </r>
  <r>
    <x v="12"/>
    <s v="Atlantic Espresso Tech_9620000063_RECON.xlsx"/>
    <n v="19988"/>
    <d v="2021-01-20T00:00:00"/>
    <n v="395"/>
    <n v="0"/>
    <s v="TBD"/>
    <n v="0"/>
    <n v="9620000063"/>
  </r>
  <r>
    <x v="12"/>
    <s v="Atlantic Espresso Tech_9620000063_RECON.xlsx"/>
    <n v="20296"/>
    <d v="2021-06-03T00:00:00"/>
    <n v="424"/>
    <n v="0"/>
    <s v="TBD"/>
    <n v="0"/>
    <n v="9620000063"/>
  </r>
  <r>
    <x v="12"/>
    <s v="Atlantic Espresso Tech_9620000063_RECON.xlsx"/>
    <n v="19865"/>
    <d v="2020-12-11T00:00:00"/>
    <n v="577.25"/>
    <n v="0"/>
    <s v="TBD"/>
    <n v="0"/>
    <n v="9620000063"/>
  </r>
  <r>
    <x v="12"/>
    <s v="Atlantic Espresso Tech_9620000063_RECON.xlsx"/>
    <n v="20318"/>
    <d v="2021-06-07T00:00:00"/>
    <n v="367.53"/>
    <n v="0"/>
    <s v="TBD"/>
    <n v="0"/>
    <n v="9620000063"/>
  </r>
  <r>
    <x v="12"/>
    <s v="Atlantic Espresso Tech_9620000063_RECON.xlsx"/>
    <n v="20365"/>
    <d v="2021-06-21T00:00:00"/>
    <n v="175"/>
    <n v="0"/>
    <s v="TBD"/>
    <n v="0"/>
    <n v="9620000063"/>
  </r>
  <r>
    <x v="12"/>
    <s v="Atlantic Espresso Tech_9620000063_RECON.xlsx"/>
    <n v="19772"/>
    <d v="2020-11-04T00:00:00"/>
    <n v="79"/>
    <n v="103281"/>
    <s v="PM"/>
    <n v="0"/>
    <n v="9620000063"/>
  </r>
  <r>
    <x v="12"/>
    <s v="Atlantic Espresso Tech_9620000063_RECON.xlsx"/>
    <n v="20344"/>
    <d v="2021-06-18T00:00:00"/>
    <n v="175"/>
    <n v="0"/>
    <s v="TBD"/>
    <n v="0"/>
    <n v="9620000063"/>
  </r>
  <r>
    <x v="12"/>
    <s v="Atlantic Espresso Tech_9620000063_RECON.xlsx"/>
    <n v="20366"/>
    <d v="2021-06-21T00:00:00"/>
    <n v="187"/>
    <n v="0"/>
    <s v="TBD"/>
    <n v="0"/>
    <n v="9620000063"/>
  </r>
  <r>
    <x v="12"/>
    <s v="Atlantic Espresso Tech_9620000063_RECON.xlsx"/>
    <n v="20345"/>
    <d v="2021-06-22T00:00:00"/>
    <n v="175"/>
    <n v="0"/>
    <s v="TBD"/>
    <n v="0"/>
    <n v="9620000063"/>
  </r>
  <r>
    <x v="12"/>
    <s v="Atlantic Espresso Tech_9620000063_RECON.xlsx"/>
    <n v="19987"/>
    <d v="2021-01-20T00:00:00"/>
    <n v="79"/>
    <n v="0"/>
    <s v="TBD"/>
    <n v="0"/>
    <n v="9620000063"/>
  </r>
  <r>
    <x v="12"/>
    <s v="Atlantic Espresso Tech_9620000063_RECON.xlsx"/>
    <n v="20330"/>
    <d v="2021-06-11T00:00:00"/>
    <n v="232.56"/>
    <n v="0"/>
    <s v="TBD"/>
    <n v="0"/>
    <n v="9620000063"/>
  </r>
  <r>
    <x v="12"/>
    <s v="Atlantic Espresso Tech_9620000063_RECON.xlsx"/>
    <n v="20331"/>
    <d v="2021-06-11T00:00:00"/>
    <n v="124.56"/>
    <n v="0"/>
    <s v="TBD"/>
    <n v="0"/>
    <n v="9620000063"/>
  </r>
  <r>
    <x v="12"/>
    <s v="Atlantic Espresso Tech_9620000063_RECON.xlsx"/>
    <n v="20333"/>
    <d v="2021-06-11T00:00:00"/>
    <n v="387.03"/>
    <n v="0"/>
    <s v="TBD"/>
    <n v="0"/>
    <n v="9620000063"/>
  </r>
  <r>
    <x v="12"/>
    <s v="Atlantic Espresso Tech_9620000063_RECON.xlsx"/>
    <n v="20367"/>
    <d v="2021-06-21T00:00:00"/>
    <n v="175"/>
    <n v="0"/>
    <s v="TBD"/>
    <n v="0"/>
    <n v="9620000063"/>
  </r>
  <r>
    <x v="12"/>
    <s v="Atlantic Espresso Tech_9620000063_RECON.xlsx"/>
    <n v="20244"/>
    <d v="2021-05-14T00:00:00"/>
    <n v="467.16"/>
    <n v="0"/>
    <s v="TBD"/>
    <n v="0"/>
    <n v="9620000063"/>
  </r>
  <r>
    <x v="12"/>
    <s v="Atlantic Espresso Tech_9620000063_RECON.xlsx"/>
    <n v="19717"/>
    <d v="2020-11-02T00:00:00"/>
    <n v="469.42"/>
    <n v="316854"/>
    <s v="Service Call"/>
    <n v="0"/>
    <n v="9620000063"/>
  </r>
  <r>
    <x v="12"/>
    <s v="Atlantic Espresso Tech_9620000063_RECON.xlsx"/>
    <n v="19710"/>
    <d v="2020-10-26T00:00:00"/>
    <n v="297.95999999999998"/>
    <n v="315132"/>
    <s v="Service Call"/>
    <n v="0"/>
    <n v="9620000063"/>
  </r>
  <r>
    <x v="12"/>
    <s v="Atlantic Espresso Tech_9620000063_RECON.xlsx"/>
    <n v="20319"/>
    <d v="2021-06-09T00:00:00"/>
    <n v="470.28"/>
    <n v="0"/>
    <s v="TBD"/>
    <n v="0"/>
    <n v="9620000063"/>
  </r>
  <r>
    <x v="12"/>
    <s v="Atlantic Espresso Tech_9620000063_RECON.xlsx"/>
    <n v="20111"/>
    <d v="2021-03-26T00:00:00"/>
    <n v="364.75"/>
    <n v="0"/>
    <s v="TBD"/>
    <n v="0"/>
    <n v="9620000063"/>
  </r>
  <r>
    <x v="12"/>
    <s v="Atlantic Espresso Tech_9620000063_RECON.xlsx"/>
    <n v="19697"/>
    <d v="2020-10-21T00:00:00"/>
    <n v="118.5"/>
    <n v="221527"/>
    <s v="PM"/>
    <n v="0"/>
    <n v="9620000063"/>
  </r>
  <r>
    <x v="12"/>
    <s v="Atlantic Espresso Tech_9620000063_RECON.xlsx"/>
    <n v="20325"/>
    <d v="2021-06-10T00:00:00"/>
    <n v="263.52999999999997"/>
    <n v="0"/>
    <s v="TBD"/>
    <n v="0"/>
    <n v="9620000063"/>
  </r>
  <r>
    <x v="12"/>
    <s v="Atlantic Espresso Tech_9620000063_RECON.xlsx"/>
    <n v="20110"/>
    <d v="2021-03-26T00:00:00"/>
    <n v="98.75"/>
    <n v="0"/>
    <s v="TBD"/>
    <n v="0"/>
    <n v="9620000063"/>
  </r>
  <r>
    <x v="12"/>
    <s v="Atlantic Espresso Tech_9620000063_RECON.xlsx"/>
    <n v="20219"/>
    <d v="2021-05-18T00:00:00"/>
    <n v="316"/>
    <n v="0"/>
    <s v="TBD"/>
    <n v="0"/>
    <n v="9620000063"/>
  </r>
  <r>
    <x v="12"/>
    <s v="Atlantic Espresso Tech_9620000063_RECON.xlsx"/>
    <n v="20000"/>
    <d v="2021-01-26T00:00:00"/>
    <n v="79"/>
    <n v="0"/>
    <s v="TBD"/>
    <n v="0"/>
    <n v="9620000063"/>
  </r>
  <r>
    <x v="12"/>
    <s v="Atlantic Espresso Tech_9620000063_RECON.xlsx"/>
    <n v="20006"/>
    <d v="2021-01-29T00:00:00"/>
    <n v="118.5"/>
    <n v="0"/>
    <s v="TBD"/>
    <n v="0"/>
    <n v="9620000063"/>
  </r>
  <r>
    <x v="12"/>
    <s v="Atlantic Espresso Tech_9620000063_RECON.xlsx"/>
    <n v="20364"/>
    <d v="2021-06-21T00:00:00"/>
    <n v="194.75"/>
    <n v="0"/>
    <s v="TBD"/>
    <n v="0"/>
    <n v="9620000063"/>
  </r>
  <r>
    <x v="12"/>
    <s v="Atlantic Espresso Tech_9620000063_RECON.xlsx"/>
    <n v="20341"/>
    <d v="2021-06-17T00:00:00"/>
    <n v="334.98"/>
    <n v="0"/>
    <s v="TBD"/>
    <n v="0"/>
    <n v="9620000063"/>
  </r>
  <r>
    <x v="12"/>
    <s v="Atlantic Espresso Tech_9620000063_RECON.xlsx"/>
    <n v="19820"/>
    <d v="2020-11-27T00:00:00"/>
    <n v="442.42"/>
    <n v="320987"/>
    <s v="Service Call"/>
    <n v="0"/>
    <n v="9620000063"/>
  </r>
  <r>
    <x v="12"/>
    <s v="Atlantic Espresso Tech_9620000063_RECON.xlsx"/>
    <n v="20179"/>
    <d v="2021-04-21T00:00:00"/>
    <n v="294.75"/>
    <n v="0"/>
    <s v="TBD"/>
    <n v="0"/>
    <n v="9620000063"/>
  </r>
  <r>
    <x v="12"/>
    <s v="Atlantic Espresso Tech_9620000063_RECON.xlsx"/>
    <n v="20089"/>
    <d v="2021-03-08T00:00:00"/>
    <n v="354"/>
    <n v="0"/>
    <s v="TBD"/>
    <n v="0"/>
    <n v="9620000063"/>
  </r>
  <r>
    <x v="12"/>
    <s v="Atlantic Espresso Tech_9620000063_RECON.xlsx"/>
    <n v="20327"/>
    <d v="2021-06-11T00:00:00"/>
    <n v="187"/>
    <n v="0"/>
    <s v="TBD"/>
    <n v="0"/>
    <n v="9620000063"/>
  </r>
  <r>
    <x v="12"/>
    <s v="Atlantic Espresso Tech_9620000063_RECON.xlsx"/>
    <n v="20332"/>
    <d v="2021-06-11T00:00:00"/>
    <n v="751.68"/>
    <n v="0"/>
    <s v="TBD"/>
    <n v="0"/>
    <n v="9620000063"/>
  </r>
  <r>
    <x v="12"/>
    <s v="Atlantic Espresso Tech_9620000063_RECON.xlsx"/>
    <n v="20337"/>
    <d v="2021-06-16T00:00:00"/>
    <n v="305.5"/>
    <n v="0"/>
    <s v="TBD"/>
    <n v="0"/>
    <n v="9620000063"/>
  </r>
  <r>
    <x v="12"/>
    <s v="Atlantic Espresso Tech_9620000063_RECON.xlsx"/>
    <n v="19893"/>
    <d v="2020-12-24T00:00:00"/>
    <n v="681.22"/>
    <n v="0"/>
    <s v="TBD"/>
    <n v="0"/>
    <n v="9620000063"/>
  </r>
  <r>
    <x v="12"/>
    <s v="Atlantic Espresso Tech_9620000063_RECON.xlsx"/>
    <n v="20334"/>
    <d v="2021-06-15T00:00:00"/>
    <n v="175"/>
    <n v="0"/>
    <s v="TBD"/>
    <n v="0"/>
    <n v="9620000063"/>
  </r>
  <r>
    <x v="12"/>
    <s v="Atlantic Espresso Tech_9620000063_RECON.xlsx"/>
    <n v="19906"/>
    <d v="2021-01-05T00:00:00"/>
    <n v="350.87"/>
    <n v="0"/>
    <s v="TBD"/>
    <n v="0"/>
    <n v="9620000063"/>
  </r>
  <r>
    <x v="12"/>
    <s v="Atlantic Espresso Tech_9620000063_RECON.xlsx"/>
    <n v="20014"/>
    <d v="2021-02-08T00:00:00"/>
    <n v="540.16"/>
    <n v="0"/>
    <s v="TBD"/>
    <n v="0"/>
    <n v="9620000063"/>
  </r>
  <r>
    <x v="12"/>
    <s v="Atlantic Espresso Tech_9620000063_RECON.xlsx"/>
    <n v="20298"/>
    <d v="2021-06-07T00:00:00"/>
    <n v="364.75"/>
    <n v="0"/>
    <s v="TBD"/>
    <n v="0"/>
    <n v="9620000063"/>
  </r>
  <r>
    <x v="12"/>
    <s v="Atlantic Espresso Tech_9620000063_RECON.xlsx"/>
    <n v="20339"/>
    <d v="2021-06-16T00:00:00"/>
    <n v="108"/>
    <n v="0"/>
    <s v="TBD"/>
    <n v="0"/>
    <n v="9620000063"/>
  </r>
  <r>
    <x v="12"/>
    <s v="Atlantic Espresso Tech_9620000063_RECON.xlsx"/>
    <n v="19904"/>
    <d v="2021-01-05T00:00:00"/>
    <n v="266"/>
    <n v="0"/>
    <s v="TBD"/>
    <n v="0"/>
    <n v="9620000063"/>
  </r>
  <r>
    <x v="12"/>
    <s v="Atlantic Espresso Tech_9620000063_RECON.xlsx"/>
    <n v="19809"/>
    <d v="2020-11-19T00:00:00"/>
    <n v="266"/>
    <n v="320339"/>
    <s v="Service Call"/>
    <n v="0"/>
    <n v="9620000063"/>
  </r>
  <r>
    <x v="12"/>
    <s v="Atlantic Espresso Tech_9620000063_RECON.xlsx"/>
    <n v="20338"/>
    <d v="2021-06-16T00:00:00"/>
    <n v="226.5"/>
    <n v="0"/>
    <s v="TBD"/>
    <n v="0"/>
    <n v="9620000063"/>
  </r>
  <r>
    <x v="12"/>
    <s v="Atlantic Espresso Tech_9620000063_RECON.xlsx"/>
    <n v="20343"/>
    <d v="2021-06-18T00:00:00"/>
    <n v="338.82"/>
    <n v="0"/>
    <s v="TBD"/>
    <n v="0"/>
    <n v="9620000063"/>
  </r>
  <r>
    <x v="12"/>
    <s v="Atlantic Espresso Tech_9620000063_RECON.xlsx"/>
    <n v="20369"/>
    <d v="2021-06-22T00:00:00"/>
    <n v="721.77"/>
    <n v="0"/>
    <s v="TBD"/>
    <n v="0"/>
    <n v="9620000063"/>
  </r>
  <r>
    <x v="13"/>
    <s v="Bailey and Sons_9620000075_RECON.xlsx"/>
    <n v="33358"/>
    <d v="2020-10-06T00:00:00"/>
    <n v="340.26"/>
    <n v="311679"/>
    <s v="Service Call"/>
    <n v="0"/>
    <n v="9620000075"/>
  </r>
  <r>
    <x v="13"/>
    <s v="Bailey and Sons_9620000075_RECON.xlsx"/>
    <n v="33665"/>
    <d v="2021-01-04T00:00:00"/>
    <s v="$19.l8."/>
    <n v="0"/>
    <s v="TBD"/>
    <n v="0"/>
    <n v="9620000075"/>
  </r>
  <r>
    <x v="13"/>
    <s v="Bailey and Sons_9620000075_RECON.xlsx"/>
    <n v="33669"/>
    <d v="2021-01-04T00:00:00"/>
    <n v="291.5"/>
    <n v="0"/>
    <s v="TBD"/>
    <s v="Invoice requires further research"/>
    <n v="9620000075"/>
  </r>
  <r>
    <x v="13"/>
    <s v="Bailey and Sons_9620000075_RECON.xlsx"/>
    <n v="33745"/>
    <d v="2021-01-27T00:00:00"/>
    <n v="291.5"/>
    <n v="282108"/>
    <s v="PM"/>
    <s v="Invoice requires further research"/>
    <n v="9620000075"/>
  </r>
  <r>
    <x v="13"/>
    <s v="Bailey and Sons_9620000075_RECON.xlsx"/>
    <n v="33823"/>
    <d v="2021-02-19T00:00:00"/>
    <n v="331.25"/>
    <n v="207337"/>
    <s v="PM"/>
    <s v="Invoice requires further research"/>
    <n v="9620000075"/>
  </r>
  <r>
    <x v="13"/>
    <s v="Bailey and Sons_9620000075_RECON.xlsx"/>
    <n v="33824"/>
    <d v="2021-02-19T00:00:00"/>
    <n v="331.25"/>
    <n v="190923"/>
    <s v="PM"/>
    <s v="Invoice requires further research"/>
    <n v="9620000075"/>
  </r>
  <r>
    <x v="13"/>
    <s v="Bailey and Sons_9620000075_RECON.xlsx"/>
    <n v="33848"/>
    <d v="2021-03-04T00:00:00"/>
    <n v="291.5"/>
    <n v="119284"/>
    <s v="PM"/>
    <s v="Invoice requires further research"/>
    <n v="9620000075"/>
  </r>
  <r>
    <x v="13"/>
    <s v="Bailey and Sons_9620000075_RECON.xlsx"/>
    <n v="33892"/>
    <d v="2021-03-11T00:00:00"/>
    <n v="291.5"/>
    <n v="119272"/>
    <s v="TBD"/>
    <s v="Invoice requires further research"/>
    <n v="9620000075"/>
  </r>
  <r>
    <x v="13"/>
    <s v="Bailey and Sons_9620000075_RECON.xlsx"/>
    <n v="33894"/>
    <d v="2021-03-11T00:00:00"/>
    <n v="291.5"/>
    <n v="119145"/>
    <s v="TBD"/>
    <s v="Invoice requires further research"/>
    <n v="9620000075"/>
  </r>
  <r>
    <x v="13"/>
    <s v="Bailey and Sons_9620000075_RECON.xlsx"/>
    <n v="33932"/>
    <d v="2021-03-23T00:00:00"/>
    <n v="390.88"/>
    <n v="211704"/>
    <s v="PM"/>
    <s v="Invoice requires further research"/>
    <n v="9620000075"/>
  </r>
  <r>
    <x v="13"/>
    <s v="Bailey and Sons_9620000075_RECON.xlsx"/>
    <n v="33933"/>
    <d v="2021-03-23T00:00:00"/>
    <n v="576.38"/>
    <n v="0"/>
    <s v="TBD"/>
    <s v="Missing invoice"/>
    <n v="9620000075"/>
  </r>
  <r>
    <x v="13"/>
    <s v="Bailey and Sons_9620000075_RECON.xlsx"/>
    <n v="33995"/>
    <d v="2021-04-20T00:00:00"/>
    <n v="371"/>
    <n v="0"/>
    <s v="TBD"/>
    <s v="Missing invoice"/>
    <n v="9620000075"/>
  </r>
  <r>
    <x v="13"/>
    <s v="Bailey and Sons_9620000075_RECON.xlsx"/>
    <n v="34067"/>
    <d v="2021-05-03T00:00:00"/>
    <n v="371"/>
    <n v="0"/>
    <s v="TBD"/>
    <n v="0"/>
    <n v="9620000075"/>
  </r>
  <r>
    <x v="13"/>
    <s v="Bailey and Sons_9620000075_RECON.xlsx"/>
    <n v="34069"/>
    <d v="2021-05-03T00:00:00"/>
    <n v="530"/>
    <n v="0"/>
    <s v="TBD"/>
    <n v="0"/>
    <n v="9620000075"/>
  </r>
  <r>
    <x v="13"/>
    <s v="Bailey and Sons_9620000075_RECON.xlsx"/>
    <n v="34095"/>
    <d v="2021-05-06T00:00:00"/>
    <n v="291.5"/>
    <n v="0"/>
    <s v="TBD"/>
    <n v="0"/>
    <n v="9620000075"/>
  </r>
  <r>
    <x v="13"/>
    <s v="Bailey and Sons_9620000075_RECON.xlsx"/>
    <n v="34121"/>
    <d v="2021-05-17T00:00:00"/>
    <n v="536.63"/>
    <n v="0"/>
    <s v="TBD"/>
    <n v="0"/>
    <n v="9620000075"/>
  </r>
  <r>
    <x v="13"/>
    <s v="Bailey and Sons_9620000075_RECON.xlsx"/>
    <n v="34158"/>
    <d v="2021-05-20T00:00:00"/>
    <n v="265"/>
    <n v="0"/>
    <s v="TBD"/>
    <n v="0"/>
    <n v="9620000075"/>
  </r>
  <r>
    <x v="13"/>
    <s v="Bailey and Sons_9620000075_RECON.xlsx"/>
    <n v="34160"/>
    <d v="2021-05-20T00:00:00"/>
    <n v="331.25"/>
    <n v="0"/>
    <s v="TBD"/>
    <n v="0"/>
    <n v="9620000075"/>
  </r>
  <r>
    <x v="13"/>
    <s v="Bailey and Sons_9620000075_RECON.xlsx"/>
    <n v="34164"/>
    <d v="2021-05-20T00:00:00"/>
    <n v="337.88"/>
    <n v="0"/>
    <s v="TBD"/>
    <n v="0"/>
    <n v="9620000075"/>
  </r>
  <r>
    <x v="13"/>
    <s v="Bailey and Sons_9620000075_RECON.xlsx"/>
    <n v="34167"/>
    <d v="2021-05-20T00:00:00"/>
    <n v="417.38"/>
    <n v="0"/>
    <s v="TBD"/>
    <n v="0"/>
    <n v="9620000075"/>
  </r>
  <r>
    <x v="13"/>
    <s v="Bailey and Sons_9620000075_RECON.xlsx"/>
    <n v="34186"/>
    <d v="2021-05-27T00:00:00"/>
    <n v="291.5"/>
    <n v="0"/>
    <s v="TBD"/>
    <n v="0"/>
    <n v="9620000075"/>
  </r>
  <r>
    <x v="13"/>
    <s v="Bailey and Sons_9620000075_RECON.xlsx"/>
    <n v="34187"/>
    <d v="2021-05-27T00:00:00"/>
    <n v="291.5"/>
    <n v="0"/>
    <s v="TBD"/>
    <n v="0"/>
    <n v="9620000075"/>
  </r>
  <r>
    <x v="13"/>
    <s v="Bailey and Sons_9620000075_RECON.xlsx"/>
    <n v="34188"/>
    <d v="2021-05-27T00:00:00"/>
    <n v="291.5"/>
    <n v="0"/>
    <s v="TBD"/>
    <n v="0"/>
    <n v="9620000075"/>
  </r>
  <r>
    <x v="13"/>
    <s v="Bailey and Sons_9620000075_RECON.xlsx"/>
    <n v="34205"/>
    <d v="2021-06-08T00:00:00"/>
    <n v="844.76"/>
    <n v="0"/>
    <s v="TBD"/>
    <n v="0"/>
    <n v="9620000075"/>
  </r>
  <r>
    <x v="13"/>
    <s v="Bailey and Sons_9620000075_RECON.xlsx"/>
    <n v="34206"/>
    <d v="2021-06-08T00:00:00"/>
    <n v="99.38"/>
    <n v="0"/>
    <s v="TBD"/>
    <n v="0"/>
    <n v="9620000075"/>
  </r>
  <r>
    <x v="13"/>
    <s v="Bailey and Sons_9620000075_RECON.xlsx"/>
    <n v="34207"/>
    <d v="2021-06-08T00:00:00"/>
    <n v="503.72"/>
    <n v="0"/>
    <s v="TBD"/>
    <n v="0"/>
    <n v="9620000075"/>
  </r>
  <r>
    <x v="13"/>
    <s v="Bailey and Sons_9620000075_RECON.xlsx"/>
    <n v="34209"/>
    <d v="2021-06-08T00:00:00"/>
    <n v="562.54"/>
    <n v="0"/>
    <s v="TBD"/>
    <n v="0"/>
    <n v="9620000075"/>
  </r>
  <r>
    <x v="13"/>
    <s v="Bailey and Sons_9620000075_RECON.xlsx"/>
    <n v="34211"/>
    <d v="2021-06-08T00:00:00"/>
    <n v="19.88"/>
    <n v="0"/>
    <s v="TBD"/>
    <n v="0"/>
    <n v="9620000075"/>
  </r>
  <r>
    <x v="13"/>
    <s v="Bailey and Sons_9620000075_RECON.xlsx"/>
    <n v="34225"/>
    <d v="2021-06-16T00:00:00"/>
    <n v="185.5"/>
    <n v="0"/>
    <s v="TBD"/>
    <n v="0"/>
    <n v="9620000075"/>
  </r>
  <r>
    <x v="13"/>
    <s v="Bailey and Sons_9620000075_RECON.xlsx"/>
    <n v="34226"/>
    <d v="2021-06-16T00:00:00"/>
    <n v="185.5"/>
    <n v="0"/>
    <s v="TBD"/>
    <n v="0"/>
    <n v="9620000075"/>
  </r>
  <r>
    <x v="13"/>
    <s v="Bailey and Sons_9620000075_RECON.xlsx"/>
    <n v="34227"/>
    <d v="2021-06-16T00:00:00"/>
    <n v="159"/>
    <n v="0"/>
    <s v="TBD"/>
    <n v="0"/>
    <n v="9620000075"/>
  </r>
  <r>
    <x v="13"/>
    <s v="Bailey and Sons_9620000075_RECON.xlsx"/>
    <n v="34228"/>
    <d v="2021-06-16T00:00:00"/>
    <n v="668.61"/>
    <n v="0"/>
    <s v="TBD"/>
    <n v="0"/>
    <n v="9620000075"/>
  </r>
  <r>
    <x v="13"/>
    <s v="Bailey and Sons_9620000075_RECON.xlsx"/>
    <n v="34229"/>
    <d v="2021-06-16T00:00:00"/>
    <n v="318"/>
    <n v="0"/>
    <s v="TBD"/>
    <n v="0"/>
    <n v="9620000075"/>
  </r>
  <r>
    <x v="13"/>
    <s v="Bailey and Sons_9620000075_RECON.xlsx"/>
    <n v="34230"/>
    <d v="2021-06-16T00:00:00"/>
    <n v="198.75"/>
    <n v="0"/>
    <s v="TBD"/>
    <n v="0"/>
    <n v="9620000075"/>
  </r>
  <r>
    <x v="13"/>
    <s v="Bailey and Sons_9620000075_RECON.xlsx"/>
    <n v="34231"/>
    <d v="2021-06-16T00:00:00"/>
    <n v="59.63"/>
    <n v="0"/>
    <s v="TBD"/>
    <n v="0"/>
    <n v="9620000075"/>
  </r>
  <r>
    <x v="13"/>
    <s v="Bailey and Sons_9620000075_RECON.xlsx"/>
    <n v="34232"/>
    <d v="2021-06-16T00:00:00"/>
    <n v="225.25"/>
    <n v="0"/>
    <s v="TBD"/>
    <n v="0"/>
    <n v="9620000075"/>
  </r>
  <r>
    <x v="13"/>
    <s v="Bailey and Sons_9620000075_RECON.xlsx"/>
    <n v="34233"/>
    <d v="2021-06-16T00:00:00"/>
    <n v="225.25"/>
    <n v="0"/>
    <s v="TBD"/>
    <n v="0"/>
    <n v="9620000075"/>
  </r>
  <r>
    <x v="13"/>
    <s v="Bailey and Sons_9620000075_RECON.xlsx"/>
    <n v="34234"/>
    <d v="2021-06-16T00:00:00"/>
    <n v="99.38"/>
    <n v="0"/>
    <s v="TBD"/>
    <n v="0"/>
    <n v="9620000075"/>
  </r>
  <r>
    <x v="13"/>
    <s v="Bailey and Sons_9620000075_RECON.xlsx"/>
    <n v="34235"/>
    <d v="2021-06-16T00:00:00"/>
    <n v="19.88"/>
    <n v="0"/>
    <s v="TBD"/>
    <n v="0"/>
    <n v="9620000075"/>
  </r>
  <r>
    <x v="13"/>
    <s v="Bailey and Sons_9620000075_RECON.xlsx"/>
    <n v="34236"/>
    <d v="2021-06-16T00:00:00"/>
    <n v="218.63"/>
    <n v="0"/>
    <s v="TBD"/>
    <n v="0"/>
    <n v="9620000075"/>
  </r>
  <r>
    <x v="13"/>
    <s v="Bailey and Sons_9620000075_RECON.xlsx"/>
    <n v="34237"/>
    <d v="2021-06-16T00:00:00"/>
    <n v="352.72"/>
    <n v="0"/>
    <s v="TBD"/>
    <n v="0"/>
    <n v="9620000075"/>
  </r>
  <r>
    <x v="13"/>
    <s v="Bailey and Sons_9620000075_RECON.xlsx"/>
    <n v="34244"/>
    <d v="2021-06-17T00:00:00"/>
    <n v="2682.32"/>
    <n v="0"/>
    <s v="TBD"/>
    <n v="0"/>
    <n v="9620000075"/>
  </r>
  <r>
    <x v="13"/>
    <s v="Bailey and Sons_9620000075_RECON.xlsx"/>
    <n v="34245"/>
    <d v="2021-06-17T00:00:00"/>
    <n v="218.63"/>
    <n v="0"/>
    <s v="TBD"/>
    <n v="0"/>
    <n v="9620000075"/>
  </r>
  <r>
    <x v="13"/>
    <s v="Bailey and Sons_9620000075_RECON.xlsx"/>
    <n v="34246"/>
    <d v="2021-06-17T00:00:00"/>
    <n v="79.5"/>
    <n v="0"/>
    <s v="TBD"/>
    <n v="0"/>
    <n v="9620000075"/>
  </r>
  <r>
    <x v="13"/>
    <s v="Bailey and Sons_9620000075_RECON.xlsx"/>
    <n v="34247"/>
    <d v="2021-06-17T00:00:00"/>
    <n v="198.75"/>
    <n v="0"/>
    <s v="TBD"/>
    <n v="0"/>
    <n v="9620000075"/>
  </r>
  <r>
    <x v="13"/>
    <s v="Bailey and Sons_9620000075_RECON.xlsx"/>
    <n v="34248"/>
    <d v="2021-06-17T00:00:00"/>
    <n v="159"/>
    <n v="0"/>
    <s v="TBD"/>
    <n v="0"/>
    <n v="9620000075"/>
  </r>
  <r>
    <x v="13"/>
    <s v="Bailey and Sons_9620000075_RECON.xlsx"/>
    <n v="34249"/>
    <d v="2021-06-17T00:00:00"/>
    <n v="99.38"/>
    <n v="0"/>
    <s v="TBD"/>
    <n v="0"/>
    <n v="9620000075"/>
  </r>
  <r>
    <x v="13"/>
    <s v="Bailey and Sons_9620000075_RECON.xlsx"/>
    <n v="34250"/>
    <d v="2021-06-17T00:00:00"/>
    <n v="418.7"/>
    <n v="0"/>
    <s v="TBD"/>
    <n v="0"/>
    <n v="9620000075"/>
  </r>
  <r>
    <x v="13"/>
    <s v="Bailey and Sons_9620000075_RECON.xlsx"/>
    <n v="34251"/>
    <d v="2021-06-17T00:00:00"/>
    <n v="102.17"/>
    <n v="0"/>
    <s v="TBD"/>
    <n v="0"/>
    <n v="9620000075"/>
  </r>
  <r>
    <x v="13"/>
    <s v="Bailey and Sons_9620000075_RECON.xlsx"/>
    <n v="34252"/>
    <d v="2021-06-17T00:00:00"/>
    <n v="572.01"/>
    <n v="0"/>
    <s v="TBD"/>
    <n v="0"/>
    <n v="9620000075"/>
  </r>
  <r>
    <x v="13"/>
    <s v="Bailey and Sons_9620000075_RECON.xlsx"/>
    <n v="34253"/>
    <d v="2021-06-17T00:00:00"/>
    <n v="141.91999999999999"/>
    <n v="0"/>
    <s v="TBD"/>
    <n v="0"/>
    <n v="9620000075"/>
  </r>
  <r>
    <x v="14"/>
    <s v="Bay State Espresso LLC_9620000078_RECON.xlsx"/>
    <n v="41657"/>
    <d v="2020-10-24T00:00:00"/>
    <n v="480"/>
    <n v="112582"/>
    <s v="PM"/>
    <s v="Case was canceled - In File"/>
    <n v="9620000078"/>
  </r>
  <r>
    <x v="14"/>
    <s v="Bay State Espresso LLC_9620000078_RECON.xlsx"/>
    <n v="41727"/>
    <d v="2020-11-06T00:00:00"/>
    <n v="480"/>
    <n v="112335"/>
    <s v="PM"/>
    <s v="Case was canceled - In File"/>
    <n v="9620000078"/>
  </r>
  <r>
    <x v="14"/>
    <s v="Bay State Espresso LLC_9620000078_RECON.xlsx"/>
    <n v="41728"/>
    <d v="2020-11-06T00:00:00"/>
    <n v="480"/>
    <n v="112479"/>
    <s v="PM"/>
    <s v="Case was canceled"/>
    <n v="9620000078"/>
  </r>
  <r>
    <x v="14"/>
    <s v="Bay State Espresso LLC_9620000078_RECON.xlsx"/>
    <n v="41753"/>
    <d v="2020-11-10T00:00:00"/>
    <n v="395"/>
    <n v="112654"/>
    <s v="PM"/>
    <s v="Case was canceled"/>
    <n v="9620000078"/>
  </r>
  <r>
    <x v="14"/>
    <s v="Bay State Espresso LLC_9620000078_RECON.xlsx"/>
    <n v="42008"/>
    <d v="2021-01-13T00:00:00"/>
    <n v="425"/>
    <n v="0"/>
    <s v="TBD"/>
    <s v="In file"/>
    <n v="9620000078"/>
  </r>
  <r>
    <x v="14"/>
    <s v="Bay State Espresso LLC_9620000078_RECON.xlsx"/>
    <n v="42020"/>
    <d v="2021-01-16T00:00:00"/>
    <n v="708.07"/>
    <n v="0"/>
    <s v="TBD"/>
    <s v="In file"/>
    <n v="9620000078"/>
  </r>
  <r>
    <x v="14"/>
    <s v="Bay State Espresso LLC_9620000078_RECON.xlsx"/>
    <n v="42240"/>
    <d v="2021-03-06T00:00:00"/>
    <n v="395"/>
    <n v="112776"/>
    <s v="TBD"/>
    <s v="In file"/>
    <n v="9620000078"/>
  </r>
  <r>
    <x v="14"/>
    <s v="Bay State Espresso LLC_9620000078_RECON.xlsx"/>
    <n v="42245"/>
    <d v="2021-03-08T00:00:00"/>
    <n v="275"/>
    <n v="175016"/>
    <s v="TBD"/>
    <s v="In file"/>
    <n v="9620000078"/>
  </r>
  <r>
    <x v="14"/>
    <s v="Bay State Espresso LLC_9620000078_RECON.xlsx"/>
    <n v="42276"/>
    <d v="2021-03-16T00:00:00"/>
    <n v="182.63"/>
    <n v="360200"/>
    <s v="TBD"/>
    <s v="In file"/>
    <n v="9620000078"/>
  </r>
  <r>
    <x v="14"/>
    <s v="Bay State Espresso LLC_9620000078_RECON.xlsx"/>
    <n v="42294"/>
    <d v="2021-03-20T00:00:00"/>
    <n v="330.19"/>
    <n v="0"/>
    <s v="TBD"/>
    <s v="In file"/>
    <n v="9620000078"/>
  </r>
  <r>
    <x v="14"/>
    <s v="Bay State Espresso LLC_9620000078_RECON.xlsx"/>
    <n v="42410"/>
    <d v="2021-04-15T00:00:00"/>
    <n v="461.19"/>
    <n v="284309"/>
    <s v="TBD"/>
    <s v="In file"/>
    <n v="9620000078"/>
  </r>
  <r>
    <x v="14"/>
    <s v="Bay State Espresso LLC_9620000078_RECON.xlsx"/>
    <n v="42653"/>
    <d v="2021-06-10T00:00:00"/>
    <n v="212.5"/>
    <n v="381323"/>
    <s v="TBD"/>
    <s v="In file"/>
    <n v="9620000078"/>
  </r>
  <r>
    <x v="15"/>
    <s v="BEAR Services_9620000080_RECON.xlsx"/>
    <n v="138830"/>
    <d v="2021-03-09T00:00:00"/>
    <n v="692.04"/>
    <n v="4520210397"/>
    <s v="Install"/>
    <n v="0"/>
    <n v="9620000080"/>
  </r>
  <r>
    <x v="15"/>
    <s v="BEAR Services_9620000080_RECON.xlsx"/>
    <n v="137068"/>
    <d v="2021-03-16T00:00:00"/>
    <n v="429.56"/>
    <n v="167880"/>
    <s v="PM"/>
    <n v="0"/>
    <n v="9620000080"/>
  </r>
  <r>
    <x v="15"/>
    <s v="BEAR Services_9620000080_RECON.xlsx"/>
    <n v="137197"/>
    <d v="2021-03-17T00:00:00"/>
    <n v="483.94"/>
    <n v="208777"/>
    <s v="PM"/>
    <n v="0"/>
    <n v="9620000080"/>
  </r>
  <r>
    <x v="16"/>
    <s v="Bernard Mechanical_9620000083_RECON.xlsx"/>
    <n v="19510"/>
    <d v="2020-07-15T00:00:00"/>
    <n v="522.5"/>
    <n v="0"/>
    <s v="TBD"/>
    <n v="0"/>
    <n v="9620000083"/>
  </r>
  <r>
    <x v="16"/>
    <s v="Bernard Mechanical_9620000083_RECON.xlsx"/>
    <n v="20665"/>
    <d v="2021-01-05T00:00:00"/>
    <n v="175"/>
    <n v="320016"/>
    <s v="PM"/>
    <s v="Deficit stock error in MIGO "/>
    <n v="9620000083"/>
  </r>
  <r>
    <x v="16"/>
    <s v="Bernard Mechanical_9620000083_RECON.xlsx"/>
    <n v="20667"/>
    <d v="2021-01-05T00:00:00"/>
    <n v="175"/>
    <n v="320012"/>
    <s v="PM"/>
    <s v="Deficit stock error in MIGO "/>
    <n v="9620000083"/>
  </r>
  <r>
    <x v="16"/>
    <s v="Bernard Mechanical_9620000083_RECON.xlsx"/>
    <n v="20901"/>
    <d v="2021-02-09T00:00:00"/>
    <n v="63.75"/>
    <n v="286576"/>
    <s v="PM"/>
    <n v="0"/>
    <n v="9620000083"/>
  </r>
  <r>
    <x v="16"/>
    <s v="Bernard Mechanical_9620000083_RECON.xlsx"/>
    <n v="20902"/>
    <d v="2021-02-09T00:00:00"/>
    <n v="299.41000000000003"/>
    <n v="286756"/>
    <s v="PM"/>
    <s v="Deficit stock error in MIGO "/>
    <n v="9620000083"/>
  </r>
  <r>
    <x v="16"/>
    <s v="Bernard Mechanical_9620000083_RECON.xlsx"/>
    <n v="20908"/>
    <d v="2021-02-09T00:00:00"/>
    <n v="175"/>
    <n v="286758"/>
    <s v="PM"/>
    <s v="Deficit stock error in MIGO "/>
    <n v="9620000083"/>
  </r>
  <r>
    <x v="16"/>
    <s v="Bernard Mechanical_9620000083_RECON.xlsx"/>
    <n v="20909"/>
    <d v="2021-02-09T00:00:00"/>
    <n v="175"/>
    <n v="286942"/>
    <s v="PM"/>
    <s v="Deficit stock error in MIGO "/>
    <n v="9620000083"/>
  </r>
  <r>
    <x v="16"/>
    <s v="Bernard Mechanical_9620000083_RECON.xlsx"/>
    <n v="21012"/>
    <d v="2021-02-19T00:00:00"/>
    <n v="1128.49"/>
    <n v="0"/>
    <s v="Service Call"/>
    <s v="Processed"/>
    <n v="9620000083"/>
  </r>
  <r>
    <x v="16"/>
    <s v="Bernard Mechanical_9620000083_RECON.xlsx"/>
    <n v="21110"/>
    <d v="2021-03-05T00:00:00"/>
    <n v="1811.51"/>
    <n v="0"/>
    <s v="TBD"/>
    <s v="Quote "/>
    <n v="9620000083"/>
  </r>
  <r>
    <x v="16"/>
    <s v="Bernard Mechanical_9620000083_RECON.xlsx"/>
    <n v="21111"/>
    <d v="2021-03-05T00:00:00"/>
    <n v="1390.24"/>
    <n v="0"/>
    <s v="TBD"/>
    <s v="Quote "/>
    <n v="9620000083"/>
  </r>
  <r>
    <x v="16"/>
    <s v="Bernard Mechanical_9620000083_RECON.xlsx"/>
    <n v="21124"/>
    <d v="2021-03-08T00:00:00"/>
    <n v="127.5"/>
    <n v="207080"/>
    <s v="PM"/>
    <s v="Failed PM "/>
    <n v="9620000083"/>
  </r>
  <r>
    <x v="16"/>
    <s v="Bernard Mechanical_9620000083_RECON.xlsx"/>
    <n v="21125"/>
    <d v="2021-03-08T00:00:00"/>
    <n v="275"/>
    <n v="0"/>
    <s v="TBD"/>
    <n v="0"/>
    <n v="9620000083"/>
  </r>
  <r>
    <x v="16"/>
    <s v="Bernard Mechanical_9620000083_RECON.xlsx"/>
    <n v="21211"/>
    <d v="2021-03-24T00:00:00"/>
    <n v="347.11"/>
    <n v="0"/>
    <s v="TBD"/>
    <n v="0"/>
    <n v="9620000083"/>
  </r>
  <r>
    <x v="16"/>
    <s v="Bernard Mechanical_9620000083_RECON.xlsx"/>
    <n v="21262"/>
    <d v="2021-04-01T00:00:00"/>
    <n v="646.97"/>
    <n v="361554"/>
    <s v="Service Call"/>
    <n v="0"/>
    <n v="9620000083"/>
  </r>
  <r>
    <x v="16"/>
    <s v="Bernard Mechanical_9620000083_RECON.xlsx"/>
    <n v="21282"/>
    <d v="2021-04-06T00:00:00"/>
    <n v="275"/>
    <n v="210711"/>
    <s v="PM"/>
    <n v="0"/>
    <n v="9620000083"/>
  </r>
  <r>
    <x v="16"/>
    <s v="Bernard Mechanical_9620000083_RECON.xlsx"/>
    <n v="21315"/>
    <d v="2021-04-12T00:00:00"/>
    <n v="1392.03"/>
    <n v="359745"/>
    <s v="Service Call"/>
    <s v="Quote "/>
    <n v="9620000083"/>
  </r>
  <r>
    <x v="16"/>
    <s v="Bernard Mechanical_9620000083_RECON.xlsx"/>
    <n v="21316"/>
    <d v="2021-04-12T00:00:00"/>
    <n v="1844.91"/>
    <n v="359959"/>
    <s v="Service Call"/>
    <s v="Quote "/>
    <n v="9620000083"/>
  </r>
  <r>
    <x v="16"/>
    <s v="Bernard Mechanical_9620000083_RECON.xlsx"/>
    <n v="21359"/>
    <d v="2021-04-16T00:00:00"/>
    <n v="480.69"/>
    <n v="0"/>
    <s v="TBD"/>
    <n v="0"/>
    <n v="9620000083"/>
  </r>
  <r>
    <x v="16"/>
    <s v="Bernard Mechanical_9620000083_RECON.xlsx"/>
    <n v="21364"/>
    <d v="2021-04-16T00:00:00"/>
    <n v="2393.75"/>
    <n v="0"/>
    <s v="TBD"/>
    <n v="0"/>
    <n v="9620000083"/>
  </r>
  <r>
    <x v="16"/>
    <s v="Bernard Mechanical_9620000083_RECON.xlsx"/>
    <n v="21369"/>
    <d v="2021-04-19T00:00:00"/>
    <n v="275"/>
    <n v="0"/>
    <s v="TBD"/>
    <n v="0"/>
    <n v="9620000083"/>
  </r>
  <r>
    <x v="16"/>
    <s v="Bernard Mechanical_9620000083_RECON.xlsx"/>
    <n v="21386"/>
    <d v="2021-04-21T00:00:00"/>
    <n v="1896.59"/>
    <n v="0"/>
    <s v="TBD"/>
    <n v="0"/>
    <n v="9620000083"/>
  </r>
  <r>
    <x v="16"/>
    <s v="Bernard Mechanical_9620000083_RECON.xlsx"/>
    <n v="21391"/>
    <d v="2021-04-21T00:00:00"/>
    <n v="297.5"/>
    <n v="0"/>
    <s v="TBD"/>
    <n v="0"/>
    <n v="9620000083"/>
  </r>
  <r>
    <x v="16"/>
    <s v="Bernard Mechanical_9620000083_RECON.xlsx"/>
    <n v="21411"/>
    <d v="2021-04-22T00:00:00"/>
    <n v="1265.83"/>
    <n v="0"/>
    <s v="TBD"/>
    <n v="0"/>
    <n v="9620000083"/>
  </r>
  <r>
    <x v="16"/>
    <s v="Bernard Mechanical_9620000083_RECON.xlsx"/>
    <n v="21427"/>
    <d v="2021-04-23T00:00:00"/>
    <n v="395"/>
    <n v="0"/>
    <s v="TBD"/>
    <n v="0"/>
    <n v="9620000083"/>
  </r>
  <r>
    <x v="16"/>
    <s v="Bernard Mechanical_9620000083_RECON.xlsx"/>
    <n v="21476"/>
    <d v="2021-04-30T00:00:00"/>
    <n v="340"/>
    <n v="0"/>
    <s v="TBD"/>
    <n v="0"/>
    <n v="9620000083"/>
  </r>
  <r>
    <x v="16"/>
    <s v="Bernard Mechanical_9620000083_RECON.xlsx"/>
    <n v="21521"/>
    <d v="2021-05-07T00:00:00"/>
    <n v="297.5"/>
    <n v="0"/>
    <s v="TBD"/>
    <n v="0"/>
    <n v="9620000083"/>
  </r>
  <r>
    <x v="16"/>
    <s v="Bernard Mechanical_9620000083_RECON.xlsx"/>
    <n v="21537"/>
    <d v="2021-05-12T00:00:00"/>
    <n v="297.5"/>
    <n v="0"/>
    <s v="TBD"/>
    <n v="0"/>
    <n v="9620000083"/>
  </r>
  <r>
    <x v="16"/>
    <s v="Bernard Mechanical_9620000083_RECON.xlsx"/>
    <n v="21586"/>
    <d v="2021-05-19T00:00:00"/>
    <n v="1354.32"/>
    <n v="0"/>
    <s v="TBD"/>
    <n v="0"/>
    <n v="9620000083"/>
  </r>
  <r>
    <x v="16"/>
    <s v="Bernard Mechanical_9620000083_RECON.xlsx"/>
    <n v="21609"/>
    <d v="2021-05-21T00:00:00"/>
    <n v="2359.5"/>
    <n v="0"/>
    <s v="TBD"/>
    <n v="0"/>
    <n v="9620000083"/>
  </r>
  <r>
    <x v="16"/>
    <s v="Bernard Mechanical_9620000083_RECON.xlsx"/>
    <n v="21615"/>
    <d v="2021-05-21T00:00:00"/>
    <n v="1437"/>
    <n v="0"/>
    <s v="TBD"/>
    <n v="0"/>
    <n v="9620000083"/>
  </r>
  <r>
    <x v="16"/>
    <s v="Bernard Mechanical_9620000083_RECON.xlsx"/>
    <n v="21672"/>
    <d v="2021-06-01T00:00:00"/>
    <n v="425"/>
    <n v="0"/>
    <s v="TBD"/>
    <n v="0"/>
    <n v="9620000083"/>
  </r>
  <r>
    <x v="16"/>
    <s v="Bernard Mechanical_9620000083_RECON.xlsx"/>
    <n v="21725"/>
    <d v="2021-06-08T00:00:00"/>
    <n v="395"/>
    <n v="0"/>
    <s v="TBD"/>
    <n v="0"/>
    <n v="9620000083"/>
  </r>
  <r>
    <x v="16"/>
    <s v="Bernard Mechanical_9620000083_RECON.xlsx"/>
    <n v="21726"/>
    <d v="2021-06-08T00:00:00"/>
    <n v="395"/>
    <n v="0"/>
    <s v="TBD"/>
    <n v="0"/>
    <n v="9620000083"/>
  </r>
  <r>
    <x v="16"/>
    <s v="Bernard Mechanical_9620000083_RECON.xlsx"/>
    <n v="21729"/>
    <d v="2021-06-08T00:00:00"/>
    <n v="275"/>
    <n v="0"/>
    <s v="TBD"/>
    <n v="0"/>
    <n v="9620000083"/>
  </r>
  <r>
    <x v="16"/>
    <s v="Bernard Mechanical_9620000083_RECON.xlsx"/>
    <n v="21732"/>
    <d v="2021-06-08T00:00:00"/>
    <n v="381.25"/>
    <n v="0"/>
    <s v="TBD"/>
    <n v="0"/>
    <n v="9620000083"/>
  </r>
  <r>
    <x v="16"/>
    <s v="Bernard Mechanical_9620000083_RECON.xlsx"/>
    <n v="21737"/>
    <d v="2021-06-08T00:00:00"/>
    <n v="175"/>
    <n v="0"/>
    <s v="TBD"/>
    <n v="0"/>
    <n v="9620000083"/>
  </r>
  <r>
    <x v="16"/>
    <s v="Bernard Mechanical_9620000083_RECON.xlsx"/>
    <n v="21769"/>
    <d v="2021-06-10T00:00:00"/>
    <n v="127.5"/>
    <n v="0"/>
    <s v="TBD"/>
    <n v="0"/>
    <n v="9620000083"/>
  </r>
  <r>
    <x v="16"/>
    <s v="Bernard Mechanical_9620000083_RECON.xlsx"/>
    <n v="21770"/>
    <d v="2021-06-10T00:00:00"/>
    <n v="127.5"/>
    <n v="0"/>
    <s v="TBD"/>
    <n v="0"/>
    <n v="9620000083"/>
  </r>
  <r>
    <x v="16"/>
    <s v="Bernard Mechanical_9620000083_RECON.xlsx"/>
    <n v="21771"/>
    <d v="2021-06-10T00:00:00"/>
    <n v="127.5"/>
    <n v="0"/>
    <s v="TBD"/>
    <n v="0"/>
    <n v="9620000083"/>
  </r>
  <r>
    <x v="16"/>
    <s v="Bernard Mechanical_9620000083_RECON.xlsx"/>
    <n v="21772"/>
    <d v="2021-06-10T00:00:00"/>
    <n v="255"/>
    <n v="0"/>
    <s v="TBD"/>
    <n v="0"/>
    <n v="9620000083"/>
  </r>
  <r>
    <x v="16"/>
    <s v="Bernard Mechanical_9620000083_RECON.xlsx"/>
    <n v="21773"/>
    <d v="2021-06-11T00:00:00"/>
    <n v="669.46"/>
    <n v="0"/>
    <s v="TBD"/>
    <n v="0"/>
    <n v="9620000083"/>
  </r>
  <r>
    <x v="16"/>
    <s v="Bernard Mechanical_9620000083_RECON.xlsx"/>
    <n v="21774"/>
    <d v="2021-06-11T00:00:00"/>
    <n v="382.5"/>
    <n v="0"/>
    <s v="TBD"/>
    <n v="0"/>
    <n v="9620000083"/>
  </r>
  <r>
    <x v="16"/>
    <s v="Bernard Mechanical_9620000083_RECON.xlsx"/>
    <n v="21775"/>
    <d v="2021-06-11T00:00:00"/>
    <n v="212.5"/>
    <n v="0"/>
    <s v="TBD"/>
    <n v="0"/>
    <n v="9620000083"/>
  </r>
  <r>
    <x v="16"/>
    <s v="Bernard Mechanical_9620000083_RECON.xlsx"/>
    <n v="21778"/>
    <d v="2021-06-11T00:00:00"/>
    <n v="170"/>
    <n v="0"/>
    <s v="TBD"/>
    <n v="0"/>
    <n v="9620000083"/>
  </r>
  <r>
    <x v="16"/>
    <s v="Bernard Mechanical_9620000083_RECON.xlsx"/>
    <n v="21779"/>
    <d v="2021-06-11T00:00:00"/>
    <n v="387.49"/>
    <n v="0"/>
    <s v="TBD"/>
    <n v="0"/>
    <n v="9620000083"/>
  </r>
  <r>
    <x v="16"/>
    <s v="Bernard Mechanical_9620000083_RECON.xlsx"/>
    <n v="21780"/>
    <d v="2021-06-11T00:00:00"/>
    <n v="302.49"/>
    <n v="0"/>
    <s v="TBD"/>
    <n v="0"/>
    <n v="9620000083"/>
  </r>
  <r>
    <x v="16"/>
    <s v="Bernard Mechanical_9620000083_RECON.xlsx"/>
    <n v="21781"/>
    <d v="2021-06-11T00:00:00"/>
    <n v="565.66999999999996"/>
    <n v="0"/>
    <s v="TBD"/>
    <n v="0"/>
    <n v="9620000083"/>
  </r>
  <r>
    <x v="16"/>
    <s v="Bernard Mechanical_9620000083_RECON.xlsx"/>
    <n v="21782"/>
    <d v="2021-06-11T00:00:00"/>
    <n v="170"/>
    <n v="0"/>
    <s v="TBD"/>
    <n v="0"/>
    <n v="9620000083"/>
  </r>
  <r>
    <x v="16"/>
    <s v="Bernard Mechanical_9620000083_RECON.xlsx"/>
    <n v="21783"/>
    <d v="2021-06-11T00:00:00"/>
    <n v="127.5"/>
    <n v="0"/>
    <s v="TBD"/>
    <n v="0"/>
    <n v="9620000083"/>
  </r>
  <r>
    <x v="16"/>
    <s v="Bernard Mechanical_9620000083_RECON.xlsx"/>
    <n v="21784"/>
    <d v="2021-06-11T00:00:00"/>
    <n v="237.6"/>
    <n v="0"/>
    <s v="TBD"/>
    <n v="0"/>
    <n v="9620000083"/>
  </r>
  <r>
    <x v="16"/>
    <s v="Bernard Mechanical_9620000083_RECON.xlsx"/>
    <n v="21785"/>
    <d v="2021-06-11T00:00:00"/>
    <n v="747.92"/>
    <n v="0"/>
    <s v="TBD"/>
    <n v="0"/>
    <n v="9620000083"/>
  </r>
  <r>
    <x v="16"/>
    <s v="Bernard Mechanical_9620000083_RECON.xlsx"/>
    <n v="21786"/>
    <d v="2021-06-11T00:00:00"/>
    <n v="296.89"/>
    <n v="0"/>
    <s v="TBD"/>
    <n v="0"/>
    <n v="9620000083"/>
  </r>
  <r>
    <x v="16"/>
    <s v="Bernard Mechanical_9620000083_RECON.xlsx"/>
    <n v="21812"/>
    <d v="2021-06-17T00:00:00"/>
    <n v="302.49"/>
    <n v="0"/>
    <s v="TBD"/>
    <n v="0"/>
    <n v="9620000083"/>
  </r>
  <r>
    <x v="16"/>
    <s v="Bernard Mechanical_9620000083_RECON.xlsx"/>
    <n v="21813"/>
    <d v="2021-06-17T00:00:00"/>
    <n v="302.49"/>
    <n v="0"/>
    <s v="TBD"/>
    <n v="0"/>
    <n v="9620000083"/>
  </r>
  <r>
    <x v="16"/>
    <s v="Bernard Mechanical_9620000083_RECON.xlsx"/>
    <n v="21814"/>
    <d v="2021-06-17T00:00:00"/>
    <n v="577.91999999999996"/>
    <n v="0"/>
    <s v="TBD"/>
    <n v="0"/>
    <n v="9620000083"/>
  </r>
  <r>
    <x v="16"/>
    <s v="Bernard Mechanical_9620000083_RECON.xlsx"/>
    <n v="21815"/>
    <d v="2021-06-17T00:00:00"/>
    <n v="255"/>
    <n v="0"/>
    <s v="TBD"/>
    <n v="0"/>
    <n v="9620000083"/>
  </r>
  <r>
    <x v="16"/>
    <s v="Bernard Mechanical_9620000083_RECON.xlsx"/>
    <n v="21816"/>
    <d v="2021-06-17T00:00:00"/>
    <n v="425"/>
    <n v="0"/>
    <s v="TBD"/>
    <n v="0"/>
    <n v="9620000083"/>
  </r>
  <r>
    <x v="16"/>
    <s v="Bernard Mechanical_9620000083_RECON.xlsx"/>
    <n v="21817"/>
    <d v="2021-06-17T00:00:00"/>
    <n v="212.5"/>
    <n v="0"/>
    <s v="TBD"/>
    <n v="0"/>
    <n v="9620000083"/>
  </r>
  <r>
    <x v="16"/>
    <s v="Bernard Mechanical_9620000083_RECON.xlsx"/>
    <n v="21818"/>
    <d v="2021-06-17T00:00:00"/>
    <n v="212.5"/>
    <n v="0"/>
    <s v="TBD"/>
    <n v="0"/>
    <n v="9620000083"/>
  </r>
  <r>
    <x v="16"/>
    <s v="Bernard Mechanical_9620000083_RECON.xlsx"/>
    <n v="21819"/>
    <d v="2021-06-17T00:00:00"/>
    <n v="255"/>
    <n v="0"/>
    <s v="TBD"/>
    <n v="0"/>
    <n v="9620000083"/>
  </r>
  <r>
    <x v="16"/>
    <s v="Bernard Mechanical_9620000083_RECON.xlsx"/>
    <n v="21820"/>
    <d v="2021-06-17T00:00:00"/>
    <n v="127.5"/>
    <n v="0"/>
    <s v="TBD"/>
    <n v="0"/>
    <n v="9620000083"/>
  </r>
  <r>
    <x v="17"/>
    <s v="Best Beverage Equipment Service_9620000084_RECON.xlsx"/>
    <n v="10880"/>
    <d v="2021-03-19T00:00:00"/>
    <n v="655.25"/>
    <n v="0"/>
    <s v="TBD"/>
    <n v="0"/>
    <n v="9620000084"/>
  </r>
  <r>
    <x v="17"/>
    <s v="Best Beverage Equipment Service_9620000084_RECON.xlsx"/>
    <n v="10952"/>
    <d v="2021-03-22T00:00:00"/>
    <n v="968.36"/>
    <n v="0"/>
    <s v="TBD"/>
    <n v="0"/>
    <n v="9620000084"/>
  </r>
  <r>
    <x v="18"/>
    <s v="BEST LLC (Best Equipment Service Technicians)_9620000087_Recon.xlsx"/>
    <n v="9743"/>
    <d v="2021-01-29T00:00:00"/>
    <n v="186.15"/>
    <n v="0"/>
    <s v="TBD"/>
    <n v="0"/>
    <n v="9620000087"/>
  </r>
  <r>
    <x v="18"/>
    <s v="BEST LLC (Best Equipment Service Technicians)_9620000087_Recon.xlsx"/>
    <n v="9747"/>
    <d v="2021-01-29T00:00:00"/>
    <n v="235"/>
    <n v="0"/>
    <s v="TBD"/>
    <n v="0"/>
    <n v="9620000087"/>
  </r>
  <r>
    <x v="19"/>
    <s v="Bev Tek (Albany)_9620000097_RECON.xlsx"/>
    <n v="3793"/>
    <d v="2020-09-16T00:00:00"/>
    <n v="560.25"/>
    <n v="0"/>
    <s v="TBD"/>
    <n v="0"/>
    <n v="9620000097"/>
  </r>
  <r>
    <x v="19"/>
    <s v="Bev Tek (Albany)_9620000097_RECON.xlsx"/>
    <n v="3896"/>
    <d v="2021-01-08T00:00:00"/>
    <n v="216.68"/>
    <n v="0"/>
    <s v="TBD"/>
    <n v="0"/>
    <n v="9620000097"/>
  </r>
  <r>
    <x v="19"/>
    <s v="Bev Tek (Albany)_9620000097_RECON.xlsx"/>
    <n v="3936"/>
    <d v="2021-02-16T00:00:00"/>
    <n v="595.79999999999995"/>
    <n v="0"/>
    <s v="TBD"/>
    <n v="0"/>
    <n v="9620000097"/>
  </r>
  <r>
    <x v="19"/>
    <s v="Bev Tek (Albany)_9620000097_RECON.xlsx"/>
    <n v="3939"/>
    <d v="2021-02-27T00:00:00"/>
    <n v="306.45"/>
    <n v="0"/>
    <s v="TBD"/>
    <n v="0"/>
    <n v="9620000097"/>
  </r>
  <r>
    <x v="19"/>
    <s v="Bev Tek (Albany)_9620000097_RECON.xlsx"/>
    <n v="4014"/>
    <d v="2021-05-24T00:00:00"/>
    <n v="297"/>
    <n v="0"/>
    <s v="TBD"/>
    <n v="0"/>
    <n v="9620000097"/>
  </r>
  <r>
    <x v="19"/>
    <s v="Bev Tek (Albany)_9620000097_RECON.xlsx"/>
    <n v="4015"/>
    <d v="2021-05-24T00:00:00"/>
    <n v="546.26"/>
    <n v="0"/>
    <s v="TBD"/>
    <n v="0"/>
    <n v="9620000097"/>
  </r>
  <r>
    <x v="19"/>
    <s v="Bev Tek (Albany)_9620000097_RECON.xlsx"/>
    <n v="4034"/>
    <d v="2021-06-10T00:00:00"/>
    <n v="216.68"/>
    <n v="0"/>
    <s v="TBD"/>
    <n v="0"/>
    <n v="9620000097"/>
  </r>
  <r>
    <x v="19"/>
    <s v="Bev Tek (Albany)_9620000097_RECON.xlsx"/>
    <n v="4035"/>
    <d v="2021-06-10T00:00:00"/>
    <n v="191.7"/>
    <n v="0"/>
    <s v="TBD"/>
    <n v="0"/>
    <n v="9620000097"/>
  </r>
  <r>
    <x v="19"/>
    <s v="Bev Tek (Albany)_9620000097_RECON.xlsx"/>
    <n v="4038"/>
    <d v="2021-06-14T00:00:00"/>
    <n v="433.35"/>
    <n v="0"/>
    <s v="TBD"/>
    <n v="0"/>
    <n v="9620000097"/>
  </r>
  <r>
    <x v="19"/>
    <s v="Bev Tek (Albany)_9620000097_RECON.xlsx"/>
    <n v="4046"/>
    <d v="2021-06-17T00:00:00"/>
    <n v="168.75"/>
    <n v="0"/>
    <s v="TBD"/>
    <n v="0"/>
    <n v="9620000097"/>
  </r>
  <r>
    <x v="20"/>
    <s v="Beverage Equipment Services, Inc. (Memphis, TN)_9620000090_RECON.xlsx"/>
    <n v="29190"/>
    <d v="2021-05-06T00:00:00"/>
    <n v="384.13"/>
    <n v="0"/>
    <s v="TBD"/>
    <n v="0"/>
    <n v="9620000090"/>
  </r>
  <r>
    <x v="21"/>
    <s v="Beverage Solutions_9620000093_RECON.xlsx"/>
    <n v="28393"/>
    <d v="2020-12-17T00:00:00"/>
    <n v="1890.3"/>
    <s v="ec001-0000097237"/>
    <s v="Install"/>
    <s v="In file"/>
    <n v="9620000093"/>
  </r>
  <r>
    <x v="21"/>
    <s v="Beverage Solutions_9620000093_RECON.xlsx"/>
    <n v="28442"/>
    <d v="2021-01-07T00:00:00"/>
    <n v="150"/>
    <s v="r8232329/00342119"/>
    <s v="Service Call"/>
    <s v="In file"/>
    <n v="9620000093"/>
  </r>
  <r>
    <x v="21"/>
    <s v="Beverage Solutions_9620000093_RECON.xlsx"/>
    <n v="27549"/>
    <d v="2021-01-27T00:00:00"/>
    <n v="789.75"/>
    <n v="2305956"/>
    <s v="TBD"/>
    <s v="In file"/>
    <n v="9620000093"/>
  </r>
  <r>
    <x v="21"/>
    <s v="Beverage Solutions_9620000093_RECON.xlsx"/>
    <n v="27748"/>
    <d v="2021-02-03T00:00:00"/>
    <n v="552"/>
    <s v="12998880/00347926"/>
    <s v="Service Call"/>
    <s v="In file"/>
    <n v="9620000093"/>
  </r>
  <r>
    <x v="21"/>
    <s v="Beverage Solutions_9620000093_RECON.xlsx"/>
    <n v="27981"/>
    <d v="2021-03-16T00:00:00"/>
    <n v="310.14999999999998"/>
    <n v="347726"/>
    <s v="PM"/>
    <s v="In file"/>
    <n v="9620000093"/>
  </r>
  <r>
    <x v="21"/>
    <s v="Beverage Solutions_9620000093_RECON.xlsx"/>
    <n v="27982"/>
    <d v="2021-03-17T00:00:00"/>
    <n v="1199.8599999999999"/>
    <s v="13039570/00360013"/>
    <s v="Service Call"/>
    <s v="In file"/>
    <n v="9620000093"/>
  </r>
  <r>
    <x v="21"/>
    <s v="Beverage Solutions_9620000093_RECON.xlsx"/>
    <n v="28026"/>
    <d v="2021-03-19T00:00:00"/>
    <n v="922.9"/>
    <n v="278591"/>
    <s v="PM"/>
    <s v="In file"/>
    <n v="9620000093"/>
  </r>
  <r>
    <x v="21"/>
    <s v="Beverage Solutions_9620000093_RECON.xlsx"/>
    <n v="28060"/>
    <d v="2021-03-25T00:00:00"/>
    <n v="251.05"/>
    <n v="310361"/>
    <s v="PM"/>
    <s v="In file"/>
    <n v="9620000093"/>
  </r>
  <r>
    <x v="21"/>
    <s v="Beverage Solutions_9620000093_RECON.xlsx"/>
    <n v="28710"/>
    <d v="2021-03-31T00:00:00"/>
    <n v="330.45"/>
    <s v="13053172/00363797"/>
    <s v="Service Call"/>
    <s v="In file"/>
    <n v="9620000093"/>
  </r>
  <r>
    <x v="21"/>
    <s v="Beverage Solutions_9620000093_RECON.xlsx"/>
    <n v="28859"/>
    <d v="2021-04-14T00:00:00"/>
    <n v="385.84"/>
    <s v="r8366900"/>
    <s v="Service Call"/>
    <s v="In file"/>
    <n v="9620000093"/>
  </r>
  <r>
    <x v="21"/>
    <s v="Beverage Solutions_9620000093_RECON.xlsx"/>
    <n v="28870"/>
    <d v="2021-04-19T00:00:00"/>
    <n v="93.75"/>
    <s v="00367452/r8369466 "/>
    <s v="Service Call"/>
    <s v="In file"/>
    <n v="9620000093"/>
  </r>
  <r>
    <x v="21"/>
    <s v="Beverage Solutions_9620000093_RECON.xlsx"/>
    <n v="28861"/>
    <d v="2021-04-21T00:00:00"/>
    <n v="131.25"/>
    <s v="r8371282/0036772"/>
    <s v="Service Call"/>
    <s v="In file"/>
    <n v="9620000093"/>
  </r>
  <r>
    <x v="21"/>
    <s v="Beverage Solutions_9620000093_RECON.xlsx"/>
    <n v="28862"/>
    <d v="2021-04-21T00:00:00"/>
    <n v="131.25"/>
    <s v="r8371282/00367773"/>
    <s v="Service Call"/>
    <s v="In file"/>
    <n v="9620000093"/>
  </r>
  <r>
    <x v="21"/>
    <s v="Beverage Solutions_9620000093_RECON.xlsx"/>
    <n v="28909"/>
    <d v="2021-04-23T00:00:00"/>
    <n v="699"/>
    <s v="r8376429/00370084"/>
    <s v="Service Call"/>
    <s v="In file"/>
    <n v="9620000093"/>
  </r>
  <r>
    <x v="21"/>
    <s v="Beverage Solutions_9620000093_RECON.xlsx"/>
    <n v="28924"/>
    <d v="2021-04-27T00:00:00"/>
    <n v="656.4"/>
    <s v="177042584/00369271"/>
    <s v="Service Call"/>
    <s v="In file"/>
    <n v="9620000093"/>
  </r>
  <r>
    <x v="22"/>
    <s v="Beverage Systems Inc_9620050081_RECON.xlsx"/>
    <n v="47259127"/>
    <d v="2021-01-22T00:00:00"/>
    <n v="395"/>
    <n v="169732"/>
    <s v="PM"/>
    <n v="0"/>
    <n v="9620050081"/>
  </r>
  <r>
    <x v="22"/>
    <s v="Beverage Systems Inc_9620050081_RECON.xlsx"/>
    <n v="47367847"/>
    <d v="2021-01-26T00:00:00"/>
    <n v="173.2"/>
    <n v="346661"/>
    <s v="Service Call"/>
    <n v="0"/>
    <n v="9620050081"/>
  </r>
  <r>
    <x v="22"/>
    <s v="Beverage Systems Inc_9620050081_RECON.xlsx"/>
    <n v="47264424"/>
    <d v="2021-02-02T00:00:00"/>
    <n v="434.61"/>
    <n v="346178"/>
    <s v="Service Call"/>
    <n v="0"/>
    <n v="9620050081"/>
  </r>
  <r>
    <x v="22"/>
    <s v="Beverage Systems Inc_9620050081_RECON.xlsx"/>
    <n v="48263339"/>
    <d v="2021-02-11T00:00:00"/>
    <n v="170.6"/>
    <n v="351602"/>
    <s v="Service Call"/>
    <n v="0"/>
    <n v="9620050081"/>
  </r>
  <r>
    <x v="22"/>
    <s v="Beverage Systems Inc_9620050081_RECON.xlsx"/>
    <n v="48263205"/>
    <d v="2021-02-11T00:00:00"/>
    <n v="421.17"/>
    <n v="351600"/>
    <s v="Service Call"/>
    <n v="0"/>
    <n v="9620050081"/>
  </r>
  <r>
    <x v="22"/>
    <s v="Beverage Systems Inc_9620050081_RECON.xlsx"/>
    <n v="48823195"/>
    <d v="2021-02-23T00:00:00"/>
    <n v="172.8"/>
    <n v="278512"/>
    <s v="PM"/>
    <n v="0"/>
    <n v="9620050081"/>
  </r>
  <r>
    <x v="22"/>
    <s v="Beverage Systems Inc_9620050081_RECON.xlsx"/>
    <n v="46662237"/>
    <d v="2021-03-02T00:00:00"/>
    <n v="294.25"/>
    <n v="167755"/>
    <s v="PM"/>
    <n v="0"/>
    <n v="9620050081"/>
  </r>
  <r>
    <x v="22"/>
    <s v="Beverage Systems Inc_9620050081_RECON.xlsx"/>
    <n v="46662176"/>
    <d v="2021-03-02T00:00:00"/>
    <n v="294.25"/>
    <n v="167173"/>
    <s v="PM"/>
    <n v="0"/>
    <n v="9620050081"/>
  </r>
  <r>
    <x v="22"/>
    <s v="Beverage Systems Inc_9620050081_RECON.xlsx"/>
    <n v="48636632"/>
    <d v="2021-03-02T00:00:00"/>
    <n v="294.25"/>
    <n v="210356"/>
    <s v="PM"/>
    <n v="0"/>
    <n v="9620050081"/>
  </r>
  <r>
    <x v="22"/>
    <s v="Beverage Systems Inc_9620050081_RECON.xlsx"/>
    <n v="46956689"/>
    <d v="2021-03-04T00:00:00"/>
    <n v="297"/>
    <n v="221668"/>
    <s v="PM"/>
    <n v="0"/>
    <n v="9620050081"/>
  </r>
  <r>
    <x v="22"/>
    <s v="Beverage Systems Inc_9620050081_RECON.xlsx"/>
    <n v="48636435"/>
    <d v="2021-03-04T00:00:00"/>
    <n v="297"/>
    <n v="203106"/>
    <s v="PM"/>
    <n v="0"/>
    <n v="9620050081"/>
  </r>
  <r>
    <x v="22"/>
    <s v="Beverage Systems Inc_9620050081_RECON.xlsx"/>
    <n v="47304600"/>
    <d v="2021-03-16T00:00:00"/>
    <n v="297"/>
    <n v="221646"/>
    <s v="PM"/>
    <n v="0"/>
    <n v="9620050081"/>
  </r>
  <r>
    <x v="22"/>
    <s v="Beverage Systems Inc_9620050081_RECON.xlsx"/>
    <n v="49613018"/>
    <d v="2021-03-16T00:00:00"/>
    <n v="293.22000000000003"/>
    <n v="224559"/>
    <s v="PM"/>
    <n v="0"/>
    <n v="9620050081"/>
  </r>
  <r>
    <x v="22"/>
    <s v="Beverage Systems Inc_9620050081_RECON.xlsx"/>
    <n v="46750133"/>
    <d v="2021-03-16T00:00:00"/>
    <n v="297"/>
    <n v="177921"/>
    <s v="PM"/>
    <n v="0"/>
    <n v="9620050081"/>
  </r>
  <r>
    <x v="22"/>
    <s v="Beverage Systems Inc_9620050081_RECON.xlsx"/>
    <n v="50260115"/>
    <d v="2021-03-18T00:00:00"/>
    <n v="172.8"/>
    <n v="360072"/>
    <s v="Service Call"/>
    <n v="0"/>
    <n v="9620050081"/>
  </r>
  <r>
    <x v="22"/>
    <s v="Beverage Systems Inc_9620050081_RECON.xlsx"/>
    <n v="49613057"/>
    <d v="2021-03-19T00:00:00"/>
    <n v="293.22000000000003"/>
    <n v="211545"/>
    <s v="PM"/>
    <n v="0"/>
    <n v="9620050081"/>
  </r>
  <r>
    <x v="22"/>
    <s v="Beverage Systems Inc_9620050081_RECON.xlsx"/>
    <n v="49121771"/>
    <d v="2021-03-19T00:00:00"/>
    <n v="294.25"/>
    <n v="295359"/>
    <s v="PM"/>
    <n v="0"/>
    <n v="9620050081"/>
  </r>
  <r>
    <x v="22"/>
    <s v="Beverage Systems Inc_9620050081_RECON.xlsx"/>
    <n v="48636737"/>
    <d v="2021-03-19T00:00:00"/>
    <n v="297"/>
    <n v="209819"/>
    <s v="PM"/>
    <n v="0"/>
    <n v="9620050081"/>
  </r>
  <r>
    <x v="22"/>
    <s v="Beverage Systems Inc_9620050081_RECON.xlsx"/>
    <n v="50451808"/>
    <d v="2021-04-12T00:00:00"/>
    <n v="1759.32"/>
    <n v="361032"/>
    <s v="Service Call"/>
    <n v="0"/>
    <n v="9620050081"/>
  </r>
  <r>
    <x v="22"/>
    <s v="Beverage Systems Inc_9620050081_RECON.xlsx"/>
    <n v="50653633"/>
    <d v="2021-04-27T00:00:00"/>
    <n v="1574.45"/>
    <s v="360069-F2"/>
    <s v="Service Call"/>
    <n v="0"/>
    <n v="9620050081"/>
  </r>
  <r>
    <x v="22"/>
    <s v="Beverage Systems Inc_9620050081_RECON.xlsx"/>
    <n v="51668898"/>
    <d v="2021-04-30T00:00:00"/>
    <n v="293.22000000000003"/>
    <n v="123258"/>
    <s v="PM"/>
    <n v="0"/>
    <n v="9620050081"/>
  </r>
  <r>
    <x v="22"/>
    <s v="Beverage Systems Inc_9620050081_RECON.xlsx"/>
    <n v="51669037"/>
    <d v="2021-05-01T00:00:00"/>
    <n v="293.22000000000003"/>
    <n v="233671"/>
    <s v="PM"/>
    <n v="0"/>
    <n v="9620050081"/>
  </r>
  <r>
    <x v="22"/>
    <s v="Beverage Systems Inc_9620050081_RECON.xlsx"/>
    <n v="51669193"/>
    <d v="2021-05-01T00:00:00"/>
    <n v="293.22000000000003"/>
    <n v="121138"/>
    <s v="PM"/>
    <n v="0"/>
    <n v="9620050081"/>
  </r>
  <r>
    <x v="22"/>
    <s v="Beverage Systems Inc_9620050081_RECON.xlsx"/>
    <n v="51668950"/>
    <d v="2021-05-10T00:00:00"/>
    <n v="293.22000000000003"/>
    <n v="233862"/>
    <s v="PM"/>
    <n v="0"/>
    <n v="9620050081"/>
  </r>
  <r>
    <x v="22"/>
    <s v="Beverage Systems Inc_9620050081_RECON.xlsx"/>
    <n v="52879333"/>
    <d v="2021-05-24T00:00:00"/>
    <n v="293.22000000000003"/>
    <n v="304453"/>
    <s v="PM"/>
    <n v="0"/>
    <n v="9620050081"/>
  </r>
  <r>
    <x v="23"/>
    <s v="Bildon Appliance_9620000100_RECON.xlsx"/>
    <n v="91981"/>
    <d v="2020-05-08T00:00:00"/>
    <n v="348"/>
    <s v="00287269/966264"/>
    <s v="PM"/>
    <s v="DNP"/>
    <n v="9620000100"/>
  </r>
  <r>
    <x v="23"/>
    <s v="Bildon Appliance_9620000100_RECON.xlsx"/>
    <n v="92066"/>
    <d v="2020-05-15T00:00:00"/>
    <n v="1639.89"/>
    <n v="182206"/>
    <s v="Service Call"/>
    <s v="DNP"/>
    <n v="9620000100"/>
  </r>
  <r>
    <x v="23"/>
    <s v="Bildon Appliance_9620000100_RECON.xlsx"/>
    <n v="94186"/>
    <d v="2020-10-08T00:00:00"/>
    <n v="1652.66"/>
    <n v="312570"/>
    <s v="Service Call"/>
    <s v="Invoice requires further research"/>
    <n v="9620000100"/>
  </r>
  <r>
    <x v="23"/>
    <s v="Bildon Appliance_9620000100_RECON.xlsx"/>
    <n v="94328"/>
    <d v="2020-10-19T00:00:00"/>
    <n v="462"/>
    <n v="314176"/>
    <s v="Service Call"/>
    <s v="Missing invoice"/>
    <n v="9620000100"/>
  </r>
  <r>
    <x v="23"/>
    <s v="Bildon Appliance_9620000100_RECON.xlsx"/>
    <n v="94330"/>
    <d v="2020-10-19T00:00:00"/>
    <n v="324"/>
    <n v="314235"/>
    <s v="Service Call"/>
    <s v="Missing invoice"/>
    <n v="9620000100"/>
  </r>
  <r>
    <x v="23"/>
    <s v="Bildon Appliance_9620000100_RECON.xlsx"/>
    <n v="94540"/>
    <d v="2020-10-30T00:00:00"/>
    <n v="565.5"/>
    <n v="314235"/>
    <s v="Service Call"/>
    <s v="Missing invoice"/>
    <n v="9620000100"/>
  </r>
  <r>
    <x v="23"/>
    <s v="Bildon Appliance_9620000100_RECON.xlsx"/>
    <n v="94762"/>
    <d v="2020-11-17T00:00:00"/>
    <n v="324"/>
    <n v="319178"/>
    <s v="Service Call"/>
    <s v="Invoice requires further research"/>
    <n v="9620000100"/>
  </r>
  <r>
    <x v="23"/>
    <s v="Bildon Appliance_9620000100_RECON.xlsx"/>
    <n v="94778"/>
    <d v="2020-11-18T00:00:00"/>
    <n v="603.16999999999996"/>
    <n v="317059"/>
    <s v="Service Call"/>
    <s v="Invoice requires further research"/>
    <n v="9620000100"/>
  </r>
  <r>
    <x v="23"/>
    <s v="Bildon Appliance_9620000100_RECON.xlsx"/>
    <n v="94897"/>
    <d v="2020-11-30T00:00:00"/>
    <n v="874.18"/>
    <n v="320459"/>
    <s v="Service Call"/>
    <s v="Invoice requires further research"/>
    <n v="9620000100"/>
  </r>
  <r>
    <x v="23"/>
    <s v="Bildon Appliance_9620000100_RECON.xlsx"/>
    <n v="95028"/>
    <d v="2020-12-10T00:00:00"/>
    <n v="508"/>
    <n v="319206"/>
    <s v="Service Call"/>
    <s v="Invoice requires further research"/>
    <n v="9620000100"/>
  </r>
  <r>
    <x v="23"/>
    <s v="Bildon Appliance_9620000100_RECON.xlsx"/>
    <n v="95300"/>
    <d v="2020-12-31T00:00:00"/>
    <n v="508"/>
    <n v="340566"/>
    <s v="Service Call"/>
    <s v="Missing invoice"/>
    <n v="9620000100"/>
  </r>
  <r>
    <x v="23"/>
    <s v="Bildon Appliance_9620000100_RECON.xlsx"/>
    <n v="95626"/>
    <d v="2021-01-30T00:00:00"/>
    <n v="386.02"/>
    <n v="0"/>
    <s v="TBD"/>
    <s v="Invoice requires further research"/>
    <n v="9620000100"/>
  </r>
  <r>
    <x v="23"/>
    <s v="Bildon Appliance_9620000100_RECON.xlsx"/>
    <n v="97211"/>
    <d v="2021-05-18T00:00:00"/>
    <n v="175"/>
    <n v="349220"/>
    <s v="PM"/>
    <n v="0"/>
    <n v="9620000100"/>
  </r>
  <r>
    <x v="23"/>
    <s v="Bildon Appliance_9620000100_RECON.xlsx"/>
    <n v="97329"/>
    <d v="2021-05-26T00:00:00"/>
    <n v="175"/>
    <n v="325928"/>
    <s v="PM"/>
    <n v="0"/>
    <n v="9620000100"/>
  </r>
  <r>
    <x v="23"/>
    <s v="Bildon Appliance_9620000100_RECON.xlsx"/>
    <n v="97330"/>
    <d v="2021-05-26T00:00:00"/>
    <n v="175"/>
    <n v="325927"/>
    <s v="PM"/>
    <n v="0"/>
    <n v="9620000100"/>
  </r>
  <r>
    <x v="23"/>
    <s v="Bildon Appliance_9620000100_RECON.xlsx"/>
    <n v="97440"/>
    <d v="2021-06-03T00:00:00"/>
    <n v="175"/>
    <n v="357275"/>
    <s v="PM"/>
    <n v="0"/>
    <n v="9620000100"/>
  </r>
  <r>
    <x v="24"/>
    <s v="Bush &amp; Ennis_9620000125_RECON.xlsx"/>
    <n v="2008137"/>
    <d v="2020-08-12T00:00:00"/>
    <n v="212.25"/>
    <n v="257196"/>
    <s v="PM"/>
    <n v="0"/>
    <n v="9620000125"/>
  </r>
  <r>
    <x v="24"/>
    <s v="Bush &amp; Ennis_9620000125_RECON.xlsx"/>
    <n v="2008138"/>
    <d v="2020-08-12T00:00:00"/>
    <n v="212.25"/>
    <n v="252979"/>
    <s v="PM"/>
    <n v="0"/>
    <n v="9620000125"/>
  </r>
  <r>
    <x v="24"/>
    <s v="Bush &amp; Ennis_9620000125_RECON.xlsx"/>
    <s v="2008159R"/>
    <d v="2020-08-14T00:00:00"/>
    <n v="187.25"/>
    <n v="256442"/>
    <s v="PM"/>
    <n v="0"/>
    <n v="9620000125"/>
  </r>
  <r>
    <x v="24"/>
    <s v="Bush &amp; Ennis_9620000125_RECON.xlsx"/>
    <n v="2008186"/>
    <d v="2020-09-02T00:00:00"/>
    <n v="539.79999999999995"/>
    <n v="456251099"/>
    <s v="Install"/>
    <n v="0"/>
    <n v="9620000125"/>
  </r>
  <r>
    <x v="24"/>
    <s v="Bush &amp; Ennis_9620000125_RECON.xlsx"/>
    <s v="200938 R"/>
    <d v="2020-09-12T00:00:00"/>
    <n v="145"/>
    <n v="308225"/>
    <s v="Service Call"/>
    <n v="0"/>
    <n v="9620000125"/>
  </r>
  <r>
    <x v="24"/>
    <s v="Bush &amp; Ennis_9620000125_RECON.xlsx"/>
    <n v="201080"/>
    <d v="2020-10-15T00:00:00"/>
    <n v="299.60000000000002"/>
    <n v="4500459734"/>
    <s v="Install"/>
    <n v="0"/>
    <n v="9620000125"/>
  </r>
  <r>
    <x v="24"/>
    <s v="Bush &amp; Ennis_9620000125_RECON.xlsx"/>
    <s v="2010217R"/>
    <d v="2020-10-16T00:00:00"/>
    <n v="185.5"/>
    <s v="PM SVC"/>
    <s v="TBD"/>
    <n v="0"/>
    <n v="9620000125"/>
  </r>
  <r>
    <x v="24"/>
    <s v="Bush &amp; Ennis_9620000125_RECON.xlsx"/>
    <s v="2010164B"/>
    <d v="2020-11-04T00:00:00"/>
    <n v="415.08"/>
    <n v="1020130907"/>
    <s v="TBD"/>
    <n v="0"/>
    <n v="9620000125"/>
  </r>
  <r>
    <x v="24"/>
    <s v="Bush &amp; Ennis_9620000125_RECON.xlsx"/>
    <n v="2010168"/>
    <d v="2020-11-04T00:00:00"/>
    <n v="2574.3000000000002"/>
    <n v="3131086"/>
    <s v="TBD"/>
    <n v="0"/>
    <n v="9620000125"/>
  </r>
  <r>
    <x v="24"/>
    <s v="Bush &amp; Ennis_9620000125_RECON.xlsx"/>
    <n v="201169"/>
    <d v="2020-11-18T00:00:00"/>
    <n v="521.33000000000004"/>
    <n v="318973"/>
    <s v="Service Call"/>
    <n v="0"/>
    <n v="9620000125"/>
  </r>
  <r>
    <x v="24"/>
    <s v="Bush &amp; Ennis_9620000125_RECON.xlsx"/>
    <n v="2012159"/>
    <d v="2020-12-07T00:00:00"/>
    <n v="200"/>
    <n v="290645"/>
    <s v="PM"/>
    <n v="0"/>
    <n v="9620000125"/>
  </r>
  <r>
    <x v="24"/>
    <s v="Bush &amp; Ennis_9620000125_RECON.xlsx"/>
    <n v="2012326"/>
    <d v="2020-12-31T00:00:00"/>
    <n v="440"/>
    <s v="RECALL?  SOFTWARE ISSUE"/>
    <s v="Service Call"/>
    <n v="0"/>
    <n v="9620000125"/>
  </r>
  <r>
    <x v="24"/>
    <s v="Bush &amp; Ennis_9620000125_RECON.xlsx"/>
    <n v="2012206"/>
    <d v="2021-01-04T00:00:00"/>
    <n v="255"/>
    <n v="319663"/>
    <s v="PM"/>
    <n v="0"/>
    <n v="9620000125"/>
  </r>
  <r>
    <x v="24"/>
    <s v="Bush &amp; Ennis_9620000125_RECON.xlsx"/>
    <n v="2012210"/>
    <d v="2021-01-04T00:00:00"/>
    <n v="175"/>
    <n v="319667"/>
    <s v="PM"/>
    <n v="0"/>
    <n v="9620000125"/>
  </r>
  <r>
    <x v="24"/>
    <s v="Bush &amp; Ennis_9620000125_RECON.xlsx"/>
    <n v="2101150"/>
    <d v="2021-01-06T00:00:00"/>
    <n v="275"/>
    <n v="208708"/>
    <s v="PM"/>
    <n v="0"/>
    <n v="9620000125"/>
  </r>
  <r>
    <x v="24"/>
    <s v="Bush &amp; Ennis_9620000125_RECON.xlsx"/>
    <n v="210135"/>
    <d v="2021-01-12T00:00:00"/>
    <n v="678.49"/>
    <s v="1020209609-155"/>
    <s v="Install"/>
    <n v="0"/>
    <n v="9620000125"/>
  </r>
  <r>
    <x v="24"/>
    <s v="Bush &amp; Ennis_9620000125_RECON.xlsx"/>
    <n v="210137"/>
    <d v="2021-01-12T00:00:00"/>
    <n v="557.95000000000005"/>
    <s v="1020209609-137"/>
    <s v="Install"/>
    <n v="0"/>
    <n v="9620000125"/>
  </r>
  <r>
    <x v="24"/>
    <s v="Bush &amp; Ennis_9620000125_RECON.xlsx"/>
    <n v="210149"/>
    <d v="2021-01-14T00:00:00"/>
    <n v="484.66"/>
    <s v="1020209609-204"/>
    <s v="Install"/>
    <n v="0"/>
    <n v="9620000125"/>
  </r>
  <r>
    <x v="24"/>
    <s v="Bush &amp; Ennis_9620000125_RECON.xlsx"/>
    <n v="210164"/>
    <d v="2021-01-18T00:00:00"/>
    <n v="614.29"/>
    <s v="1020209609-138"/>
    <s v="Install"/>
    <n v="0"/>
    <n v="9620000125"/>
  </r>
  <r>
    <x v="24"/>
    <s v="Bush &amp; Ennis_9620000125_RECON.xlsx"/>
    <n v="210163"/>
    <d v="2021-01-18T00:00:00"/>
    <n v="526.91999999999996"/>
    <s v="1020209609-139"/>
    <s v="Install"/>
    <n v="0"/>
    <n v="9620000125"/>
  </r>
  <r>
    <x v="24"/>
    <s v="Bush &amp; Ennis_9620000125_RECON.xlsx"/>
    <n v="2101116"/>
    <d v="2021-01-29T00:00:00"/>
    <n v="807.97"/>
    <n v="347474"/>
    <s v="Service Call"/>
    <n v="0"/>
    <n v="9620000125"/>
  </r>
  <r>
    <x v="24"/>
    <s v="Bush &amp; Ennis_9620000125_RECON.xlsx"/>
    <n v="2101254"/>
    <d v="2021-02-02T00:00:00"/>
    <n v="296.45"/>
    <n v="170846"/>
    <s v="PM"/>
    <n v="0"/>
    <n v="9620000125"/>
  </r>
  <r>
    <x v="24"/>
    <s v="Bush &amp; Ennis_9620000125_RECON.xlsx"/>
    <n v="210259"/>
    <d v="2021-02-12T00:00:00"/>
    <n v="636.42999999999995"/>
    <n v="350681"/>
    <s v="Service Call"/>
    <n v="0"/>
    <n v="9620000125"/>
  </r>
  <r>
    <x v="24"/>
    <s v="Bush &amp; Ennis_9620000125_RECON.xlsx"/>
    <n v="210298"/>
    <d v="2021-02-24T00:00:00"/>
    <n v="714.67"/>
    <n v="353706"/>
    <s v="Service Call"/>
    <n v="0"/>
    <n v="9620000125"/>
  </r>
  <r>
    <x v="24"/>
    <s v="Bush &amp; Ennis_9620000125_RECON.xlsx"/>
    <n v="210320"/>
    <d v="2021-03-05T00:00:00"/>
    <n v="240"/>
    <n v="0"/>
    <s v="TBD"/>
    <n v="0"/>
    <n v="9620000125"/>
  </r>
  <r>
    <x v="24"/>
    <s v="Bush &amp; Ennis_9620000125_RECON.xlsx"/>
    <n v="210324"/>
    <d v="2021-03-08T00:00:00"/>
    <n v="521.52"/>
    <s v="INSTALL"/>
    <s v="Install"/>
    <n v="0"/>
    <n v="9620000125"/>
  </r>
  <r>
    <x v="24"/>
    <s v="Bush &amp; Ennis_9620000125_RECON.xlsx"/>
    <n v="210370"/>
    <d v="2021-03-16T00:00:00"/>
    <n v="337.29"/>
    <n v="359565"/>
    <s v="Service Call"/>
    <n v="0"/>
    <n v="9620000125"/>
  </r>
  <r>
    <x v="24"/>
    <s v="Bush &amp; Ennis_9620000125_RECON.xlsx"/>
    <n v="210382"/>
    <d v="2021-03-18T00:00:00"/>
    <n v="349.9"/>
    <n v="358409"/>
    <s v="Service Call"/>
    <n v="0"/>
    <n v="9620000125"/>
  </r>
  <r>
    <x v="24"/>
    <s v="Bush &amp; Ennis_9620000125_RECON.xlsx"/>
    <n v="210386"/>
    <d v="2021-03-22T00:00:00"/>
    <n v="296.8"/>
    <n v="360798"/>
    <s v="Service Call"/>
    <n v="0"/>
    <n v="9620000125"/>
  </r>
  <r>
    <x v="24"/>
    <s v="Bush &amp; Ennis_9620000125_RECON.xlsx"/>
    <n v="210387"/>
    <d v="2021-03-22T00:00:00"/>
    <n v="256.8"/>
    <n v="360888"/>
    <s v="Service Call"/>
    <n v="0"/>
    <n v="9620000125"/>
  </r>
  <r>
    <x v="24"/>
    <s v="Bush &amp; Ennis_9620000125_RECON.xlsx"/>
    <n v="2103217"/>
    <d v="2021-03-22T00:00:00"/>
    <n v="275"/>
    <n v="304085"/>
    <s v="PM"/>
    <n v="0"/>
    <n v="9620000125"/>
  </r>
  <r>
    <x v="24"/>
    <s v="Bush &amp; Ennis_9620000125_RECON.xlsx"/>
    <n v="210395"/>
    <d v="2021-03-22T00:00:00"/>
    <n v="172.48"/>
    <n v="361335"/>
    <s v="Service Call"/>
    <n v="0"/>
    <n v="9620000125"/>
  </r>
  <r>
    <x v="24"/>
    <s v="Bush &amp; Ennis_9620000125_RECON.xlsx"/>
    <n v="2103110"/>
    <d v="2021-03-24T00:00:00"/>
    <n v="390"/>
    <n v="361923"/>
    <s v="Service Call"/>
    <n v="0"/>
    <n v="9620000125"/>
  </r>
  <r>
    <x v="24"/>
    <s v="Bush &amp; Ennis_9620000125_RECON.xlsx"/>
    <n v="2103220"/>
    <d v="2021-03-24T00:00:00"/>
    <n v="187.69"/>
    <n v="310413"/>
    <s v="PM"/>
    <n v="0"/>
    <n v="9620000125"/>
  </r>
  <r>
    <x v="24"/>
    <s v="Bush &amp; Ennis_9620000125_RECON.xlsx"/>
    <n v="2103221"/>
    <d v="2021-03-24T00:00:00"/>
    <n v="187.69"/>
    <n v="310438"/>
    <s v="PM"/>
    <n v="0"/>
    <n v="9620000125"/>
  </r>
  <r>
    <x v="24"/>
    <s v="Bush &amp; Ennis_9620000125_RECON.xlsx"/>
    <n v="2103224"/>
    <d v="2021-03-26T00:00:00"/>
    <n v="569.22"/>
    <n v="4565591631"/>
    <s v="Install"/>
    <n v="0"/>
    <n v="9620000125"/>
  </r>
  <r>
    <x v="24"/>
    <s v="Bush &amp; Ennis_9620000125_RECON.xlsx"/>
    <n v="2103122"/>
    <d v="2021-03-30T00:00:00"/>
    <n v="240"/>
    <n v="360263"/>
    <s v="Service Call"/>
    <n v="0"/>
    <n v="9620000125"/>
  </r>
  <r>
    <x v="24"/>
    <s v="Bush &amp; Ennis_9620000125_RECON.xlsx"/>
    <n v="2103119"/>
    <d v="2021-03-30T00:00:00"/>
    <n v="190.8"/>
    <n v="361156"/>
    <s v="Service Call"/>
    <n v="0"/>
    <n v="9620000125"/>
  </r>
  <r>
    <x v="24"/>
    <s v="Bush &amp; Ennis_9620000125_RECON.xlsx"/>
    <n v="2103123"/>
    <d v="2021-03-30T00:00:00"/>
    <n v="581.36"/>
    <n v="363563"/>
    <s v="Service Call"/>
    <n v="0"/>
    <n v="9620000125"/>
  </r>
  <r>
    <x v="24"/>
    <s v="Bush &amp; Ennis_9620000125_RECON.xlsx"/>
    <n v="4"/>
    <d v="2021-03-31T00:00:00"/>
    <n v="160"/>
    <n v="278415"/>
    <s v="PM"/>
    <n v="0"/>
    <n v="9620000125"/>
  </r>
  <r>
    <x v="24"/>
    <s v="Bush &amp; Ennis_9620000125_RECON.xlsx"/>
    <n v="2103128"/>
    <d v="2021-04-01T00:00:00"/>
    <n v="420.45"/>
    <n v="363998"/>
    <s v="Service Call"/>
    <n v="0"/>
    <n v="9620000125"/>
  </r>
  <r>
    <x v="24"/>
    <s v="Bush &amp; Ennis_9620000125_RECON.xlsx"/>
    <n v="21046"/>
    <d v="2021-04-01T00:00:00"/>
    <n v="301.83999999999997"/>
    <n v="4500470613"/>
    <s v="Install"/>
    <n v="0"/>
    <n v="9620000125"/>
  </r>
  <r>
    <x v="24"/>
    <s v="Bush &amp; Ennis_9620000125_RECON.xlsx"/>
    <n v="2103135"/>
    <d v="2021-04-01T00:00:00"/>
    <n v="638.98"/>
    <n v="363557"/>
    <s v="Service Call"/>
    <n v="0"/>
    <n v="9620000125"/>
  </r>
  <r>
    <x v="24"/>
    <s v="Bush &amp; Ennis_9620000125_RECON.xlsx"/>
    <n v="2103136"/>
    <d v="2021-04-01T00:00:00"/>
    <n v="190.8"/>
    <n v="363218"/>
    <s v="Service Call"/>
    <n v="0"/>
    <n v="9620000125"/>
  </r>
  <r>
    <x v="24"/>
    <s v="Bush &amp; Ennis_9620000125_RECON.xlsx"/>
    <n v="2103137"/>
    <d v="2021-04-01T00:00:00"/>
    <n v="106"/>
    <n v="363216"/>
    <s v="Service Call"/>
    <n v="0"/>
    <n v="9620000125"/>
  </r>
  <r>
    <x v="24"/>
    <s v="Bush &amp; Ennis_9620000125_RECON.xlsx"/>
    <n v="210411"/>
    <d v="2021-04-05T00:00:00"/>
    <n v="345.34"/>
    <n v="364196"/>
    <s v="Service Call"/>
    <n v="0"/>
    <n v="9620000125"/>
  </r>
  <r>
    <x v="24"/>
    <s v="Bush &amp; Ennis_9620000125_RECON.xlsx"/>
    <n v="210412"/>
    <d v="2021-04-05T00:00:00"/>
    <n v="390.51"/>
    <n v="364848"/>
    <s v="Service Call"/>
    <n v="0"/>
    <n v="9620000125"/>
  </r>
  <r>
    <x v="24"/>
    <s v="Bush &amp; Ennis_9620000125_RECON.xlsx"/>
    <n v="210413"/>
    <d v="2021-04-05T00:00:00"/>
    <n v="360"/>
    <n v="364698"/>
    <s v="Service Call"/>
    <n v="0"/>
    <n v="9620000125"/>
  </r>
  <r>
    <x v="24"/>
    <s v="Bush &amp; Ennis_9620000125_RECON.xlsx"/>
    <n v="210417"/>
    <d v="2021-04-06T00:00:00"/>
    <n v="200"/>
    <n v="365018"/>
    <s v="Service Call"/>
    <n v="0"/>
    <n v="9620000125"/>
  </r>
  <r>
    <x v="24"/>
    <s v="Bush &amp; Ennis_9620000125_RECON.xlsx"/>
    <n v="210429"/>
    <d v="2021-04-09T00:00:00"/>
    <n v="175"/>
    <n v="326356"/>
    <s v="PM"/>
    <n v="0"/>
    <n v="9620000125"/>
  </r>
  <r>
    <x v="24"/>
    <s v="Bush &amp; Ennis_9620000125_RECON.xlsx"/>
    <n v="210430"/>
    <d v="2021-04-09T00:00:00"/>
    <n v="175"/>
    <n v="326355"/>
    <s v="PM"/>
    <n v="0"/>
    <n v="9620000125"/>
  </r>
  <r>
    <x v="24"/>
    <s v="Bush &amp; Ennis_9620000125_RECON.xlsx"/>
    <n v="210434"/>
    <d v="2021-04-12T00:00:00"/>
    <n v="914.03"/>
    <n v="364622"/>
    <s v="Service Call"/>
    <n v="0"/>
    <n v="9620000125"/>
  </r>
  <r>
    <x v="24"/>
    <s v="Bush &amp; Ennis_9620000125_RECON.xlsx"/>
    <n v="210468"/>
    <d v="2021-04-20T00:00:00"/>
    <n v="185.5"/>
    <n v="355026"/>
    <s v="PM"/>
    <n v="0"/>
    <n v="9620000125"/>
  </r>
  <r>
    <x v="24"/>
    <s v="Bush &amp; Ennis_9620000125_RECON.xlsx"/>
    <n v="210480"/>
    <d v="2021-04-22T00:00:00"/>
    <n v="1121.81"/>
    <n v="36891"/>
    <s v="PM"/>
    <n v="0"/>
    <n v="9620000125"/>
  </r>
  <r>
    <x v="24"/>
    <s v="Bush &amp; Ennis_9620000125_RECON.xlsx"/>
    <n v="210482"/>
    <d v="2021-04-22T00:00:00"/>
    <n v="381.6"/>
    <n v="368848"/>
    <s v="Service Call"/>
    <n v="0"/>
    <n v="9620000125"/>
  </r>
  <r>
    <x v="24"/>
    <s v="Bush &amp; Ennis_9620000125_RECON.xlsx"/>
    <n v="210483"/>
    <d v="2021-04-22T00:00:00"/>
    <n v="212"/>
    <n v="365529"/>
    <s v="Service Call"/>
    <n v="0"/>
    <n v="9620000125"/>
  </r>
  <r>
    <x v="24"/>
    <s v="Bush &amp; Ennis_9620000125_RECON.xlsx"/>
    <n v="210489"/>
    <d v="2021-04-28T00:00:00"/>
    <n v="427"/>
    <n v="369250"/>
    <s v="Service Call"/>
    <n v="0"/>
    <n v="9620000125"/>
  </r>
  <r>
    <x v="24"/>
    <s v="Bush &amp; Ennis_9620000125_RECON.xlsx"/>
    <n v="210494"/>
    <d v="2021-04-28T00:00:00"/>
    <n v="216.3"/>
    <n v="369365"/>
    <s v="Service Call"/>
    <n v="0"/>
    <n v="9620000125"/>
  </r>
  <r>
    <x v="24"/>
    <s v="Bush &amp; Ennis_9620000125_RECON.xlsx"/>
    <n v="210491"/>
    <d v="2021-04-28T00:00:00"/>
    <n v="655.73"/>
    <n v="369677"/>
    <s v="Service Call"/>
    <n v="0"/>
    <n v="9620000125"/>
  </r>
  <r>
    <x v="24"/>
    <s v="Bush &amp; Ennis_9620000125_RECON.xlsx"/>
    <n v="2104116"/>
    <d v="2021-05-03T00:00:00"/>
    <n v="409.23"/>
    <n v="371913"/>
    <s v="Service Call"/>
    <n v="0"/>
    <n v="9620000125"/>
  </r>
  <r>
    <x v="24"/>
    <s v="Bush &amp; Ennis_9620000125_RECON.xlsx"/>
    <n v="2104119"/>
    <d v="2021-05-03T00:00:00"/>
    <n v="169.6"/>
    <n v="372313"/>
    <s v="Service Call"/>
    <n v="0"/>
    <n v="9620000125"/>
  </r>
  <r>
    <x v="24"/>
    <s v="Bush &amp; Ennis_9620000125_RECON.xlsx"/>
    <n v="210504"/>
    <d v="2021-05-04T00:00:00"/>
    <n v="916.9"/>
    <s v="INSTALL "/>
    <s v="TBD"/>
    <n v="0"/>
    <n v="9620000125"/>
  </r>
  <r>
    <x v="24"/>
    <s v="Bush &amp; Ennis_9620000125_RECON.xlsx"/>
    <n v="210505"/>
    <d v="2021-05-04T00:00:00"/>
    <n v="194.49"/>
    <n v="372585"/>
    <s v="Service Call"/>
    <n v="0"/>
    <n v="9620000125"/>
  </r>
  <r>
    <x v="24"/>
    <s v="Bush &amp; Ennis_9620000125_RECON.xlsx"/>
    <n v="210506"/>
    <d v="2021-05-04T00:00:00"/>
    <n v="538.84"/>
    <n v="367005"/>
    <s v="Service Call"/>
    <n v="0"/>
    <n v="9620000125"/>
  </r>
  <r>
    <x v="24"/>
    <s v="Bush &amp; Ennis_9620000125_RECON.xlsx"/>
    <n v="210513"/>
    <d v="2021-05-05T00:00:00"/>
    <n v="1113.8599999999999"/>
    <n v="372598"/>
    <s v="Service Call"/>
    <n v="0"/>
    <n v="9620000125"/>
  </r>
  <r>
    <x v="24"/>
    <s v="Bush &amp; Ennis_9620000125_RECON.xlsx"/>
    <n v="210508"/>
    <d v="2021-05-05T00:00:00"/>
    <n v="213.5"/>
    <n v="372182"/>
    <s v="Service Call"/>
    <n v="0"/>
    <n v="9620000125"/>
  </r>
  <r>
    <x v="24"/>
    <s v="Bush &amp; Ennis_9620000125_RECON.xlsx"/>
    <n v="210509"/>
    <d v="2021-05-05T00:00:00"/>
    <n v="128.1"/>
    <n v="372183"/>
    <s v="Service Call"/>
    <n v="0"/>
    <n v="9620000125"/>
  </r>
  <r>
    <x v="24"/>
    <s v="Bush &amp; Ennis_9620000125_RECON.xlsx"/>
    <n v="210510"/>
    <d v="2021-05-05T00:00:00"/>
    <n v="128.1"/>
    <n v="372184"/>
    <s v="Service Call"/>
    <n v="0"/>
    <n v="9620000125"/>
  </r>
  <r>
    <x v="24"/>
    <s v="Bush &amp; Ennis_9620000125_RECON.xlsx"/>
    <n v="210511"/>
    <d v="2021-05-05T00:00:00"/>
    <n v="171.2"/>
    <n v="372184"/>
    <s v="Service Call"/>
    <n v="0"/>
    <n v="9620000125"/>
  </r>
  <r>
    <x v="24"/>
    <s v="Bush &amp; Ennis_9620000125_RECON.xlsx"/>
    <s v="210529 REV"/>
    <d v="2021-05-07T00:00:00"/>
    <n v="1272.43"/>
    <n v="373530"/>
    <s v="Service Call"/>
    <n v="0"/>
    <n v="9620000125"/>
  </r>
  <r>
    <x v="24"/>
    <s v="Bush &amp; Ennis_9620000125_RECON.xlsx"/>
    <n v="210584"/>
    <d v="2021-05-20T00:00:00"/>
    <n v="298.89999999999998"/>
    <n v="377420"/>
    <s v="Service Call"/>
    <n v="0"/>
    <n v="9620000125"/>
  </r>
  <r>
    <x v="24"/>
    <s v="Bush &amp; Ennis_9620000125_RECON.xlsx"/>
    <n v="2105110"/>
    <d v="2021-05-28T00:00:00"/>
    <n v="1169.21"/>
    <n v="378928"/>
    <s v="Service Call"/>
    <n v="0"/>
    <n v="9620000125"/>
  </r>
  <r>
    <x v="24"/>
    <s v="Bush &amp; Ennis_9620000125_RECON.xlsx"/>
    <n v="210608"/>
    <d v="2021-06-03T00:00:00"/>
    <n v="380"/>
    <n v="377737"/>
    <s v="Service Call"/>
    <n v="0"/>
    <n v="9620000125"/>
  </r>
  <r>
    <x v="24"/>
    <s v="Bush &amp; Ennis_9620000125_RECON.xlsx"/>
    <n v="210621"/>
    <d v="2021-06-04T00:00:00"/>
    <n v="280"/>
    <n v="380056"/>
    <s v="Service Call"/>
    <n v="0"/>
    <n v="9620000125"/>
  </r>
  <r>
    <x v="24"/>
    <s v="Bush &amp; Ennis_9620000125_RECON.xlsx"/>
    <n v="210626"/>
    <d v="2021-06-04T00:00:00"/>
    <n v="254.4"/>
    <n v="380742"/>
    <s v="Service Call"/>
    <n v="0"/>
    <n v="9620000125"/>
  </r>
  <r>
    <x v="24"/>
    <s v="Bush &amp; Ennis_9620000125_RECON.xlsx"/>
    <n v="210628"/>
    <d v="2021-06-04T00:00:00"/>
    <n v="936.2"/>
    <n v="380087"/>
    <s v="Service Call"/>
    <n v="0"/>
    <n v="9620000125"/>
  </r>
  <r>
    <x v="24"/>
    <s v="Bush &amp; Ennis_9620000125_RECON.xlsx"/>
    <n v="210633"/>
    <d v="2021-06-08T00:00:00"/>
    <n v="318"/>
    <n v="379850"/>
    <s v="Service Call"/>
    <n v="0"/>
    <n v="9620000125"/>
  </r>
  <r>
    <x v="24"/>
    <s v="Bush &amp; Ennis_9620000125_RECON.xlsx"/>
    <n v="210634"/>
    <d v="2021-06-08T00:00:00"/>
    <n v="2533.0300000000002"/>
    <n v="379998"/>
    <s v="Service Call"/>
    <n v="0"/>
    <n v="9620000125"/>
  </r>
  <r>
    <x v="24"/>
    <s v="Bush &amp; Ennis_9620000125_RECON.xlsx"/>
    <n v="210635"/>
    <d v="2021-06-08T00:00:00"/>
    <n v="169.6"/>
    <n v="380810"/>
    <s v="Service Call"/>
    <n v="0"/>
    <n v="9620000125"/>
  </r>
  <r>
    <x v="24"/>
    <s v="Bush &amp; Ennis_9620000125_RECON.xlsx"/>
    <n v="210636"/>
    <d v="2021-06-08T00:00:00"/>
    <n v="175"/>
    <n v="368034"/>
    <s v="PM"/>
    <n v="0"/>
    <n v="9620000125"/>
  </r>
  <r>
    <x v="24"/>
    <s v="Bush &amp; Ennis_9620000125_RECON.xlsx"/>
    <s v="210638 R"/>
    <d v="2021-06-08T00:00:00"/>
    <n v="508.8"/>
    <n v="380984"/>
    <s v="TBD"/>
    <n v="0"/>
    <n v="9620000125"/>
  </r>
  <r>
    <x v="24"/>
    <s v="Bush &amp; Ennis_9620000125_RECON.xlsx"/>
    <n v="210639"/>
    <d v="2021-06-08T00:00:00"/>
    <n v="732.85"/>
    <n v="380549"/>
    <s v="Service Call"/>
    <n v="0"/>
    <n v="9620000125"/>
  </r>
  <r>
    <x v="24"/>
    <s v="Bush &amp; Ennis_9620000125_RECON.xlsx"/>
    <n v="210640"/>
    <d v="2021-06-09T00:00:00"/>
    <n v="208.4"/>
    <n v="381038"/>
    <s v="TBD"/>
    <n v="0"/>
    <n v="9620000125"/>
  </r>
  <r>
    <x v="24"/>
    <s v="Bush &amp; Ennis_9620000125_RECON.xlsx"/>
    <n v="210647"/>
    <d v="2021-06-09T00:00:00"/>
    <n v="301"/>
    <n v="380953"/>
    <s v="TBD"/>
    <n v="0"/>
    <n v="9620000125"/>
  </r>
  <r>
    <x v="24"/>
    <s v="Bush &amp; Ennis_9620000125_RECON.xlsx"/>
    <n v="210651"/>
    <d v="2021-06-10T00:00:00"/>
    <n v="276.89999999999998"/>
    <n v="382526"/>
    <s v="TBD"/>
    <n v="0"/>
    <n v="9620000125"/>
  </r>
  <r>
    <x v="24"/>
    <s v="Bush &amp; Ennis_9620000125_RECON.xlsx"/>
    <n v="210653"/>
    <d v="2021-06-10T00:00:00"/>
    <n v="280"/>
    <n v="318206"/>
    <s v="Service Call"/>
    <n v="0"/>
    <n v="9620000125"/>
  </r>
  <r>
    <x v="24"/>
    <s v="Bush &amp; Ennis_9620000125_RECON.xlsx"/>
    <n v="210654"/>
    <d v="2021-06-10T00:00:00"/>
    <n v="190.8"/>
    <n v="382566"/>
    <s v="TBD"/>
    <n v="0"/>
    <n v="9620000125"/>
  </r>
  <r>
    <x v="24"/>
    <s v="Bush &amp; Ennis_9620000125_RECON.xlsx"/>
    <n v="210655"/>
    <d v="2021-06-10T00:00:00"/>
    <n v="296.45"/>
    <n v="211586"/>
    <s v="PM"/>
    <n v="0"/>
    <n v="9620000125"/>
  </r>
  <r>
    <x v="24"/>
    <s v="Bush &amp; Ennis_9620000125_RECON.xlsx"/>
    <n v="210656"/>
    <d v="2021-06-10T00:00:00"/>
    <n v="180"/>
    <n v="382630"/>
    <s v="TBD"/>
    <n v="0"/>
    <n v="9620000125"/>
  </r>
  <r>
    <x v="24"/>
    <s v="Bush &amp; Ennis_9620000125_RECON.xlsx"/>
    <n v="210657"/>
    <d v="2021-06-10T00:00:00"/>
    <n v="318.36"/>
    <n v="382678"/>
    <s v="TBD"/>
    <n v="0"/>
    <n v="9620000125"/>
  </r>
  <r>
    <x v="24"/>
    <s v="Bush &amp; Ennis_9620000125_RECON.xlsx"/>
    <n v="210666"/>
    <d v="2021-06-14T00:00:00"/>
    <n v="2632.78"/>
    <n v="382673"/>
    <s v="TBD"/>
    <n v="0"/>
    <n v="9620000125"/>
  </r>
  <r>
    <x v="24"/>
    <s v="Bush &amp; Ennis_9620000125_RECON.xlsx"/>
    <n v="210667"/>
    <d v="2021-06-14T00:00:00"/>
    <n v="432.03"/>
    <n v="383284"/>
    <s v="TBD"/>
    <n v="0"/>
    <n v="9620000125"/>
  </r>
  <r>
    <x v="24"/>
    <s v="Bush &amp; Ennis_9620000125_RECON.xlsx"/>
    <n v="210668"/>
    <d v="2021-06-14T00:00:00"/>
    <n v="296.8"/>
    <n v="383108"/>
    <s v="TBD"/>
    <n v="0"/>
    <n v="9620000125"/>
  </r>
  <r>
    <x v="25"/>
    <s v="C &amp; S Coffee Equipment_9620000127_RECON.xlsx"/>
    <n v="16689"/>
    <d v="2021-03-08T00:00:00"/>
    <n v="1127.33"/>
    <n v="356603"/>
    <s v="Service Call"/>
    <n v="0"/>
    <n v="9620000127"/>
  </r>
  <r>
    <x v="25"/>
    <s v="C &amp; S Coffee Equipment_9620000127_RECON.xlsx"/>
    <n v="16691"/>
    <d v="2021-03-18T00:00:00"/>
    <n v="513.14"/>
    <s v="JFH"/>
    <s v="Install"/>
    <n v="0"/>
    <n v="9620000127"/>
  </r>
  <r>
    <x v="25"/>
    <s v="C &amp; S Coffee Equipment_9620000127_RECON.xlsx"/>
    <n v="16692"/>
    <d v="2021-03-18T00:00:00"/>
    <n v="533.48"/>
    <n v="361368"/>
    <s v="Service Call"/>
    <n v="0"/>
    <n v="9620000127"/>
  </r>
  <r>
    <x v="25"/>
    <s v="C &amp; S Coffee Equipment_9620000127_RECON.xlsx"/>
    <n v="16697"/>
    <d v="2021-03-31T00:00:00"/>
    <n v="275"/>
    <n v="308090"/>
    <s v="PM"/>
    <n v="0"/>
    <n v="9620000127"/>
  </r>
  <r>
    <x v="25"/>
    <s v="C &amp; S Coffee Equipment_9620000127_RECON.xlsx"/>
    <n v="16698"/>
    <d v="2021-04-07T00:00:00"/>
    <n v="747.08"/>
    <n v="364876"/>
    <s v="Service Call"/>
    <n v="0"/>
    <n v="9620000127"/>
  </r>
  <r>
    <x v="25"/>
    <s v="C &amp; S Coffee Equipment_9620000127_RECON.xlsx"/>
    <n v="16703"/>
    <d v="2021-04-09T00:00:00"/>
    <n v="285.08"/>
    <n v="366105"/>
    <s v="Service Call"/>
    <n v="0"/>
    <n v="9620000127"/>
  </r>
  <r>
    <x v="25"/>
    <s v="C &amp; S Coffee Equipment_9620000127_RECON.xlsx"/>
    <n v="16704"/>
    <d v="2021-04-10T00:00:00"/>
    <n v="879.86"/>
    <n v="366247"/>
    <s v="Service Call"/>
    <n v="0"/>
    <n v="9620000127"/>
  </r>
  <r>
    <x v="25"/>
    <s v="C &amp; S Coffee Equipment_9620000127_RECON.xlsx"/>
    <n v="16706"/>
    <d v="2021-04-20T00:00:00"/>
    <n v="275"/>
    <n v="233776"/>
    <s v="PM"/>
    <n v="0"/>
    <n v="9620000127"/>
  </r>
  <r>
    <x v="25"/>
    <s v="C &amp; S Coffee Equipment_9620000127_RECON.xlsx"/>
    <n v="16707"/>
    <d v="2021-04-20T00:00:00"/>
    <n v="350"/>
    <n v="132752"/>
    <s v="PM"/>
    <n v="0"/>
    <n v="9620000127"/>
  </r>
  <r>
    <x v="26"/>
    <s v="Caftec_9620000131_RECON.xlsx"/>
    <n v="29658"/>
    <d v="2021-06-03T00:00:00"/>
    <n v="260"/>
    <n v="378728"/>
    <s v="TBD"/>
    <s v="In file"/>
    <n v="9620000131"/>
  </r>
  <r>
    <x v="26"/>
    <s v="Caftec_9620000131_RECON.xlsx"/>
    <n v="29659"/>
    <d v="2021-06-03T00:00:00"/>
    <n v="156"/>
    <n v="378729"/>
    <s v="TBD"/>
    <s v="In file"/>
    <n v="9620000131"/>
  </r>
  <r>
    <x v="26"/>
    <s v="Caftec_9620000131_RECON.xlsx"/>
    <n v="29660"/>
    <d v="2021-06-03T00:00:00"/>
    <n v="234"/>
    <n v="378828"/>
    <s v="TBD"/>
    <s v="In file"/>
    <n v="9620000131"/>
  </r>
  <r>
    <x v="26"/>
    <s v="Caftec_9620000131_RECON.xlsx"/>
    <n v="29562"/>
    <d v="2021-04-23T00:00:00"/>
    <n v="104"/>
    <n v="312158"/>
    <s v="TBD"/>
    <s v="In file"/>
    <n v="9620000131"/>
  </r>
  <r>
    <x v="26"/>
    <s v="Caftec_9620000131_RECON.xlsx"/>
    <n v="29342"/>
    <d v="2021-02-05T00:00:00"/>
    <n v="208"/>
    <n v="349506"/>
    <s v="TBD"/>
    <s v="In file"/>
    <n v="9620000131"/>
  </r>
  <r>
    <x v="26"/>
    <s v="Caftec_9620000131_RECON.xlsx"/>
    <n v="28910"/>
    <d v="2020-08-10T00:00:00"/>
    <n v="1200"/>
    <n v="0"/>
    <s v="Install"/>
    <s v="In file - No case #"/>
    <n v="9620000131"/>
  </r>
  <r>
    <x v="26"/>
    <s v="Caftec_9620000131_RECON.xlsx"/>
    <n v="29012"/>
    <d v="2020-09-23T00:00:00"/>
    <n v="481.01"/>
    <n v="310672"/>
    <s v="TBD"/>
    <s v="In file"/>
    <n v="9620000131"/>
  </r>
  <r>
    <x v="26"/>
    <s v="Caftec_9620000131_RECON.xlsx"/>
    <n v="29061"/>
    <d v="2020-10-09T00:00:00"/>
    <n v="550"/>
    <n v="310411"/>
    <s v="TBD"/>
    <s v="In file"/>
    <n v="9620000131"/>
  </r>
  <r>
    <x v="26"/>
    <s v="Caftec_9620000131_RECON.xlsx"/>
    <n v="29062"/>
    <d v="2020-10-09T00:00:00"/>
    <n v="550"/>
    <n v="278580"/>
    <s v="TBD"/>
    <s v="In file"/>
    <n v="9620000131"/>
  </r>
  <r>
    <x v="26"/>
    <s v="Caftec_9620000131_RECON.xlsx"/>
    <n v="29556"/>
    <d v="2021-04-23T00:00:00"/>
    <n v="468"/>
    <n v="366904"/>
    <s v="TBD"/>
    <s v="In file"/>
    <n v="9620000131"/>
  </r>
  <r>
    <x v="26"/>
    <s v="Caftec_9620000131_RECON.xlsx"/>
    <n v="28790"/>
    <d v="2020-06-02T00:00:00"/>
    <n v="600"/>
    <n v="0"/>
    <s v="Install"/>
    <s v="In file - No case #"/>
    <n v="9620000131"/>
  </r>
  <r>
    <x v="26"/>
    <s v="Caftec_9620000131_RECON.xlsx"/>
    <n v="29049"/>
    <d v="2020-10-09T00:00:00"/>
    <n v="600"/>
    <n v="268898"/>
    <s v="TBD"/>
    <s v="In file"/>
    <n v="9620000131"/>
  </r>
  <r>
    <x v="26"/>
    <s v="Caftec_9620000131_RECON.xlsx"/>
    <n v="29050"/>
    <d v="2020-10-09T00:00:00"/>
    <n v="600"/>
    <n v="268897"/>
    <s v="TBD"/>
    <s v="In file"/>
    <n v="9620000131"/>
  </r>
  <r>
    <x v="26"/>
    <s v="Caftec_9620000131_RECON.xlsx"/>
    <n v="29244"/>
    <d v="2020-12-28T00:00:00"/>
    <n v="550"/>
    <n v="349162"/>
    <s v="TBD"/>
    <s v="In file"/>
    <n v="9620000131"/>
  </r>
  <r>
    <x v="27"/>
    <s v="Camp Service &amp; Parts, Inc_9620000133_RECON.xlsx"/>
    <s v="43904A"/>
    <d v="2021-06-02T00:00:00"/>
    <n v="1111.3599999999999"/>
    <n v="1020244473"/>
    <s v="Install"/>
    <n v="0"/>
    <n v="9620000133"/>
  </r>
  <r>
    <x v="27"/>
    <s v="Camp Service &amp; Parts, Inc_9620000133_RECON.xlsx"/>
    <n v="43912"/>
    <d v="2021-06-08T00:00:00"/>
    <n v="609.15"/>
    <n v="1020244473"/>
    <s v="Install"/>
    <n v="0"/>
    <n v="9620000133"/>
  </r>
  <r>
    <x v="28"/>
    <s v="Cappuccino Connection_9620000136, 9620000667, 9620000893, 9620000894_RECON.xlsx"/>
    <s v="0202290-IN"/>
    <d v="2020-07-10T00:00:00"/>
    <n v="371.06"/>
    <n v="180999"/>
    <s v="PM"/>
    <s v="PM not in SAP - In File"/>
    <n v="9620000667"/>
  </r>
  <r>
    <x v="28"/>
    <s v="Cappuccino Connection_9620000136, 9620000667, 9620000893, 9620000894_RECON.xlsx"/>
    <s v="0203107-IN"/>
    <d v="2020-08-20T00:00:00"/>
    <n v="68.900000000000006"/>
    <n v="133231"/>
    <s v="PM"/>
    <s v="Invoice Requires Further Research - Shows case was canceled"/>
    <n v="9620000667"/>
  </r>
  <r>
    <x v="28"/>
    <s v="Cappuccino Connection_9620000136, 9620000667, 9620000893, 9620000894_RECON.xlsx"/>
    <s v="0203162-IN"/>
    <d v="2020-08-24T00:00:00"/>
    <n v="421.17"/>
    <n v="181525"/>
    <s v="PM"/>
    <s v="Invoice Requires Further Research - In File"/>
    <n v="9620000667"/>
  </r>
  <r>
    <x v="28"/>
    <s v="Cappuccino Connection_9620000136, 9620000667, 9620000893, 9620000894_RECON.xlsx"/>
    <s v="0203352-IN"/>
    <d v="2020-09-01T00:00:00"/>
    <n v="418.7"/>
    <n v="212879"/>
    <s v="PM"/>
    <s v="Invoice Requires Further Research - Shows case was canceled"/>
    <n v="9620000667"/>
  </r>
  <r>
    <x v="28"/>
    <s v="Cappuccino Connection_9620000136, 9620000667, 9620000893, 9620000894_RECON.xlsx"/>
    <s v="0203353-IN"/>
    <d v="2020-09-01T00:00:00"/>
    <n v="418.7"/>
    <n v="213028"/>
    <s v="PM"/>
    <s v="Invoice Requires Further Research - In File"/>
    <n v="9620000667"/>
  </r>
  <r>
    <x v="28"/>
    <s v="Cappuccino Connection_9620000136, 9620000667, 9620000893, 9620000894_RECON.xlsx"/>
    <s v="0203424-IN"/>
    <d v="2020-09-03T00:00:00"/>
    <n v="418.7"/>
    <n v="213901"/>
    <s v="PM"/>
    <s v="Invoice Requires Further Research - In File"/>
    <n v="9620000667"/>
  </r>
  <r>
    <x v="28"/>
    <s v="Cappuccino Connection_9620000136, 9620000667, 9620000893, 9620000894_RECON.xlsx"/>
    <s v="0203450-IN"/>
    <d v="2020-09-04T00:00:00"/>
    <n v="418.7"/>
    <n v="206896"/>
    <s v="PM"/>
    <s v="Invoice Requires Further Research - In File"/>
    <n v="9620000667"/>
  </r>
  <r>
    <x v="28"/>
    <s v="Cappuccino Connection_9620000136, 9620000667, 9620000893, 9620000894_RECON.xlsx"/>
    <s v="0203466-IN"/>
    <d v="2020-09-08T00:00:00"/>
    <n v="421.17"/>
    <n v="135922"/>
    <s v="PM"/>
    <s v="Invoice Requires Further Research - In File"/>
    <n v="9620000667"/>
  </r>
  <r>
    <x v="28"/>
    <s v="Cappuccino Connection_9620000136, 9620000667, 9620000893, 9620000894_RECON.xlsx"/>
    <s v="0204004-IN"/>
    <d v="2020-09-29T00:00:00"/>
    <n v="418.7"/>
    <n v="213629"/>
    <s v="TBD"/>
    <s v="Need invoice and Checklist In File"/>
    <n v="9620000667"/>
  </r>
  <r>
    <x v="28"/>
    <s v="Cappuccino Connection_9620000136, 9620000667, 9620000893, 9620000894_RECON.xlsx"/>
    <s v="0204005-IN"/>
    <d v="2020-09-29T00:00:00"/>
    <n v="418.7"/>
    <n v="213087"/>
    <s v="PM"/>
    <s v="Invoice Requires Further Research - In File"/>
    <n v="9620000667"/>
  </r>
  <r>
    <x v="28"/>
    <s v="Cappuccino Connection_9620000136, 9620000667, 9620000893, 9620000894_RECON.xlsx"/>
    <s v="0204009-IN"/>
    <d v="2020-09-29T00:00:00"/>
    <n v="418.7"/>
    <n v="213748"/>
    <s v="PM"/>
    <s v="Invoice Requires Further Research - In File"/>
    <n v="9620000667"/>
  </r>
  <r>
    <x v="28"/>
    <s v="Cappuccino Connection_9620000136, 9620000667, 9620000893, 9620000894_RECON.xlsx"/>
    <s v="0204012-IN"/>
    <d v="2020-09-29T00:00:00"/>
    <n v="418.7"/>
    <n v="133995"/>
    <s v="PM"/>
    <s v="Invoice Requires Further Research - Not correct case number - Need invoice and checklist  In File"/>
    <n v="9620000667"/>
  </r>
  <r>
    <x v="28"/>
    <s v="Cappuccino Connection_9620000136, 9620000667, 9620000893, 9620000894_RECON.xlsx"/>
    <s v="0204014-IN"/>
    <d v="2020-09-29T00:00:00"/>
    <n v="68.900000000000006"/>
    <n v="170758"/>
    <s v="PM"/>
    <s v="Invoice Requires Further Research - In File"/>
    <n v="9620000667"/>
  </r>
  <r>
    <x v="28"/>
    <s v="Cappuccino Connection_9620000136, 9620000667, 9620000893, 9620000894_RECON.xlsx"/>
    <s v="0204049-IN"/>
    <d v="2020-09-30T00:00:00"/>
    <n v="216"/>
    <n v="0"/>
    <s v="TBD"/>
    <s v="In file"/>
    <n v="9620000667"/>
  </r>
  <r>
    <x v="28"/>
    <s v="Cappuccino Connection_9620000136, 9620000667, 9620000893, 9620000894_RECON.xlsx"/>
    <s v="0204322-IN"/>
    <d v="2020-10-13T00:00:00"/>
    <n v="418.7"/>
    <n v="172738"/>
    <s v="TBD"/>
    <s v="In file"/>
    <n v="9620000667"/>
  </r>
  <r>
    <x v="28"/>
    <s v="Cappuccino Connection_9620000136, 9620000667, 9620000893, 9620000894_RECON.xlsx"/>
    <s v="0204386-IN"/>
    <d v="2020-10-15T00:00:00"/>
    <n v="418.7"/>
    <n v="132772"/>
    <s v="TBD"/>
    <s v="In file"/>
    <n v="9620000667"/>
  </r>
  <r>
    <x v="28"/>
    <s v="Cappuccino Connection_9620000136, 9620000667, 9620000893, 9620000894_RECON.xlsx"/>
    <s v="0204388-IN"/>
    <d v="2020-10-15T00:00:00"/>
    <n v="418.7"/>
    <n v="213001"/>
    <s v="TBD"/>
    <s v="In file"/>
    <n v="9620000667"/>
  </r>
  <r>
    <x v="28"/>
    <s v="Cappuccino Connection_9620000136, 9620000667, 9620000893, 9620000894_RECON.xlsx"/>
    <s v="0204553-IN"/>
    <d v="2020-10-22T00:00:00"/>
    <n v="534.47"/>
    <n v="314938"/>
    <s v="TBD"/>
    <s v="In file"/>
    <n v="9620000667"/>
  </r>
  <r>
    <x v="28"/>
    <s v="Cappuccino Connection_9620000136, 9620000667, 9620000893, 9620000894_RECON.xlsx"/>
    <s v="0204560-IN"/>
    <d v="2020-10-22T00:00:00"/>
    <n v="534.35"/>
    <n v="314914"/>
    <s v="TBD"/>
    <s v="In file"/>
    <n v="9620000667"/>
  </r>
  <r>
    <x v="28"/>
    <s v="Cappuccino Connection_9620000136, 9620000667, 9620000893, 9620000894_RECON.xlsx"/>
    <s v="0204562-IN"/>
    <d v="2020-10-22T00:00:00"/>
    <n v="462.11"/>
    <n v="314244"/>
    <s v="TBD"/>
    <s v="In file"/>
    <n v="9620000667"/>
  </r>
  <r>
    <x v="28"/>
    <s v="Cappuccino Connection_9620000136, 9620000667, 9620000893, 9620000894_RECON.xlsx"/>
    <s v="0204674-IN"/>
    <d v="2020-10-27T00:00:00"/>
    <n v="68.900000000000006"/>
    <n v="170521"/>
    <s v="Service Call"/>
    <s v="Invoice Requires Further Research - In File"/>
    <n v="9620000667"/>
  </r>
  <r>
    <x v="28"/>
    <s v="Cappuccino Connection_9620000136, 9620000667, 9620000893, 9620000894_RECON.xlsx"/>
    <s v="0204676-IN"/>
    <d v="2020-10-27T00:00:00"/>
    <n v="395"/>
    <n v="105415"/>
    <s v="PM"/>
    <s v="Invoice Requires Further Research - In File"/>
    <n v="9620000667"/>
  </r>
  <r>
    <x v="28"/>
    <s v="Cappuccino Connection_9620000136, 9620000667, 9620000893, 9620000894_RECON.xlsx"/>
    <s v="0204928-IN"/>
    <d v="2020-11-09T00:00:00"/>
    <n v="301.45"/>
    <n v="317724"/>
    <s v="TBD"/>
    <s v="In file"/>
    <n v="9620000667"/>
  </r>
  <r>
    <x v="28"/>
    <s v="Cappuccino Connection_9620000136, 9620000667, 9620000893, 9620000894_RECON.xlsx"/>
    <s v="0205311-IN"/>
    <d v="2020-11-25T00:00:00"/>
    <n v="418.7"/>
    <n v="161616"/>
    <s v="PM"/>
    <s v="Invoice Requires Further Research - In File"/>
    <n v="9620000667"/>
  </r>
  <r>
    <x v="28"/>
    <s v="Cappuccino Connection_9620000136, 9620000667, 9620000893, 9620000894_RECON.xlsx"/>
    <s v="0205313-IN"/>
    <d v="2020-11-25T00:00:00"/>
    <n v="426.6"/>
    <n v="133602"/>
    <s v="PM"/>
    <s v="Invoice Requires Further Research - In File"/>
    <n v="9620000667"/>
  </r>
  <r>
    <x v="28"/>
    <s v="Cappuccino Connection_9620000136, 9620000667, 9620000893, 9620000894_RECON.xlsx"/>
    <s v="0205315-IN"/>
    <d v="2020-11-25T00:00:00"/>
    <n v="418.7"/>
    <n v="213004"/>
    <s v="PM"/>
    <s v="Invoice Requires Further Research - In File"/>
    <n v="9620000667"/>
  </r>
  <r>
    <x v="28"/>
    <s v="Cappuccino Connection_9620000136, 9620000667, 9620000893, 9620000894_RECON.xlsx"/>
    <s v="0205429-IN"/>
    <d v="2020-12-01T00:00:00"/>
    <n v="68.900000000000006"/>
    <n v="213719"/>
    <s v="PM"/>
    <s v="Invoice Requires Further Research - Shows case was canceled"/>
    <n v="9620000667"/>
  </r>
  <r>
    <x v="28"/>
    <s v="Cappuccino Connection_9620000136, 9620000667, 9620000893, 9620000894_RECON.xlsx"/>
    <s v="0205625-IN"/>
    <d v="2020-12-10T00:00:00"/>
    <n v="418.7"/>
    <n v="134147"/>
    <s v="TBD"/>
    <s v="In file"/>
    <n v="9620000667"/>
  </r>
  <r>
    <x v="28"/>
    <s v="Cappuccino Connection_9620000136, 9620000667, 9620000893, 9620000894_RECON.xlsx"/>
    <s v="0205704-IN"/>
    <d v="2020-12-15T00:00:00"/>
    <n v="426.6"/>
    <n v="167599"/>
    <s v="TBD"/>
    <s v="In file"/>
    <n v="9620000667"/>
  </r>
  <r>
    <x v="28"/>
    <s v="Cappuccino Connection_9620000136, 9620000667, 9620000893, 9620000894_RECON.xlsx"/>
    <s v="0205705-IN"/>
    <d v="2020-12-15T00:00:00"/>
    <n v="421.17"/>
    <n v="136348"/>
    <s v="TBD"/>
    <s v="In file"/>
    <n v="9620000667"/>
  </r>
  <r>
    <x v="28"/>
    <s v="Cappuccino Connection_9620000136, 9620000667, 9620000893, 9620000894_RECON.xlsx"/>
    <s v="0205764-IN"/>
    <d v="2020-12-18T00:00:00"/>
    <n v="350.27"/>
    <n v="327048"/>
    <s v="TBD"/>
    <s v="In file"/>
    <n v="9620000667"/>
  </r>
  <r>
    <x v="28"/>
    <s v="Cappuccino Connection_9620000136, 9620000667, 9620000893, 9620000894_RECON.xlsx"/>
    <s v="0205767-IN"/>
    <d v="2020-12-18T00:00:00"/>
    <n v="291.5"/>
    <n v="131545"/>
    <s v="TBD"/>
    <s v="In file"/>
    <n v="9620000667"/>
  </r>
  <r>
    <x v="28"/>
    <s v="Cappuccino Connection_9620000136, 9620000667, 9620000893, 9620000894_RECON.xlsx"/>
    <s v="0205961-IN"/>
    <d v="2020-12-30T00:00:00"/>
    <n v="421.17"/>
    <n v="136329"/>
    <s v="TBD"/>
    <s v="In file"/>
    <n v="9620000667"/>
  </r>
  <r>
    <x v="28"/>
    <s v="Cappuccino Connection_9620000136, 9620000667, 9620000893, 9620000894_RECON.xlsx"/>
    <s v="0206176-IN"/>
    <d v="2021-01-11T00:00:00"/>
    <n v="69.31"/>
    <n v="278460"/>
    <s v="TBD"/>
    <s v="In file"/>
    <n v="9620000667"/>
  </r>
  <r>
    <x v="28"/>
    <s v="Cappuccino Connection_9620000136, 9620000667, 9620000893, 9620000894_RECON.xlsx"/>
    <s v="0206489-IN"/>
    <d v="2021-01-27T00:00:00"/>
    <n v="396.04"/>
    <n v="346458"/>
    <s v="TBD"/>
    <s v="In file"/>
    <n v="9620000667"/>
  </r>
  <r>
    <x v="28"/>
    <s v="Cappuccino Connection_9620000136, 9620000667, 9620000893, 9620000894_RECON.xlsx"/>
    <s v="0206552-IN"/>
    <d v="2021-01-28T00:00:00"/>
    <n v="291.5"/>
    <n v="175306"/>
    <s v="TBD"/>
    <s v="In file"/>
    <n v="9620000667"/>
  </r>
  <r>
    <x v="28"/>
    <s v="Cappuccino Connection_9620000136, 9620000667, 9620000893, 9620000894_RECON.xlsx"/>
    <s v="0206565-IN"/>
    <d v="2021-01-29T00:00:00"/>
    <n v="304.10000000000002"/>
    <n v="346640"/>
    <s v="TBD"/>
    <s v="In file"/>
    <n v="9620000667"/>
  </r>
  <r>
    <x v="28"/>
    <s v="Cappuccino Connection_9620000136, 9620000667, 9620000893, 9620000894_RECON.xlsx"/>
    <s v="0206569-IN"/>
    <d v="2021-01-29T00:00:00"/>
    <n v="118.8"/>
    <n v="209318"/>
    <s v="TBD"/>
    <s v="In file"/>
    <n v="9620000667"/>
  </r>
  <r>
    <x v="28"/>
    <s v="Cappuccino Connection_9620000136, 9620000667, 9620000893, 9620000894_RECON.xlsx"/>
    <s v="0206718-IN"/>
    <d v="2021-02-08T00:00:00"/>
    <n v="297"/>
    <n v="223043"/>
    <s v="TBD"/>
    <s v="In file"/>
    <n v="9620000667"/>
  </r>
  <r>
    <x v="28"/>
    <s v="Cappuccino Connection_9620000136, 9620000667, 9620000893, 9620000894_RECON.xlsx"/>
    <s v="0206779-IN"/>
    <d v="2021-02-10T00:00:00"/>
    <n v="418.7"/>
    <n v="206921"/>
    <s v="TBD"/>
    <s v="In file"/>
    <n v="9620000667"/>
  </r>
  <r>
    <x v="28"/>
    <s v="Cappuccino Connection_9620000136, 9620000667, 9620000893, 9620000894_RECON.xlsx"/>
    <s v="0206902-IN"/>
    <d v="2021-02-17T00:00:00"/>
    <n v="245"/>
    <n v="362238"/>
    <s v="TBD"/>
    <s v="In file"/>
    <n v="9620000667"/>
  </r>
  <r>
    <x v="28"/>
    <s v="Cappuccino Connection_9620000136, 9620000667, 9620000893, 9620000894_RECON.xlsx"/>
    <s v="0206937-IN"/>
    <d v="2021-02-19T00:00:00"/>
    <n v="164.3"/>
    <n v="353516"/>
    <s v="TBD"/>
    <s v="In file"/>
    <n v="9620000667"/>
  </r>
  <r>
    <x v="28"/>
    <s v="Cappuccino Connection_9620000136, 9620000667, 9620000893, 9620000894_RECON.xlsx"/>
    <s v="0206949-IN"/>
    <d v="2021-02-19T00:00:00"/>
    <n v="418.7"/>
    <n v="221103"/>
    <s v="TBD"/>
    <s v="In file"/>
    <n v="9620000667"/>
  </r>
  <r>
    <x v="28"/>
    <s v="Cappuccino Connection_9620000136, 9620000667, 9620000893, 9620000894_RECON.xlsx"/>
    <s v="0206951-IN"/>
    <d v="2021-02-19T00:00:00"/>
    <n v="418.7"/>
    <n v="213886"/>
    <s v="TBD"/>
    <s v="In file"/>
    <n v="9620000667"/>
  </r>
  <r>
    <x v="28"/>
    <s v="Cappuccino Connection_9620000136, 9620000667, 9620000893, 9620000894_RECON.xlsx"/>
    <s v="0207240-IN"/>
    <d v="2021-03-05T00:00:00"/>
    <n v="293.22000000000003"/>
    <n v="224638"/>
    <s v="TBD"/>
    <s v="In file"/>
    <n v="9620000667"/>
  </r>
  <r>
    <x v="28"/>
    <s v="Cappuccino Connection_9620000136, 9620000667, 9620000893, 9620000894_RECON.xlsx"/>
    <s v="0207444-IN"/>
    <d v="2021-03-16T00:00:00"/>
    <n v="142.5"/>
    <n v="304409"/>
    <s v="TBD"/>
    <s v="In file"/>
    <n v="9620000667"/>
  </r>
  <r>
    <x v="28"/>
    <s v="Cappuccino Connection_9620000136, 9620000667, 9620000893, 9620000894_RECON.xlsx"/>
    <s v="0207992-IN"/>
    <d v="2021-04-07T00:00:00"/>
    <n v="164.3"/>
    <n v="364815"/>
    <s v="TBD"/>
    <s v="In file"/>
    <n v="9620000667"/>
  </r>
  <r>
    <x v="28"/>
    <s v="Cappuccino Connection_9620000136, 9620000667, 9620000893, 9620000894_RECON.xlsx"/>
    <s v="0208028-IN"/>
    <d v="2021-04-08T00:00:00"/>
    <n v="362.53"/>
    <n v="187242"/>
    <s v="TBD"/>
    <s v="In file"/>
    <n v="9620000667"/>
  </r>
  <r>
    <x v="28"/>
    <s v="Cappuccino Connection_9620000136, 9620000667, 9620000893, 9620000894_RECON.xlsx"/>
    <s v="0208036-IN"/>
    <d v="2021-04-08T00:00:00"/>
    <n v="69.31"/>
    <n v="172587"/>
    <s v="TBD"/>
    <s v="In file"/>
    <n v="9620000667"/>
  </r>
  <r>
    <x v="28"/>
    <s v="Cappuccino Connection_9620000136, 9620000667, 9620000893, 9620000894_RECON.xlsx"/>
    <s v="0208501-IN"/>
    <d v="2021-04-28T00:00:00"/>
    <n v="426.6"/>
    <n v="133715"/>
    <s v="TBD"/>
    <s v="In file"/>
    <n v="9620000667"/>
  </r>
  <r>
    <x v="28"/>
    <s v="Cappuccino Connection_9620000136, 9620000667, 9620000893, 9620000894_RECON.xlsx"/>
    <s v="0208505-IN"/>
    <d v="2021-04-28T00:00:00"/>
    <n v="418.7"/>
    <n v="136060"/>
    <s v="TBD"/>
    <s v="In file"/>
    <n v="9620000667"/>
  </r>
  <r>
    <x v="28"/>
    <s v="Cappuccino Connection_9620000136, 9620000667, 9620000893, 9620000894_RECON.xlsx"/>
    <s v="0208713-IN"/>
    <d v="2021-05-05T00:00:00"/>
    <n v="487.6"/>
    <n v="213214"/>
    <s v="TBD"/>
    <s v="In file"/>
    <n v="9620000667"/>
  </r>
  <r>
    <x v="28"/>
    <s v="Cappuccino Connection_9620000136, 9620000667, 9620000893, 9620000894_RECON.xlsx"/>
    <s v="0208732-IN"/>
    <d v="2021-05-06T00:00:00"/>
    <n v="168.07"/>
    <n v="373587"/>
    <s v="TBD"/>
    <s v="In file"/>
    <n v="9620000667"/>
  </r>
  <r>
    <x v="28"/>
    <s v="Cappuccino Connection_9620000136, 9620000667, 9620000893, 9620000894_RECON.xlsx"/>
    <s v="0209062-IN"/>
    <d v="2021-05-19T00:00:00"/>
    <n v="490.48"/>
    <n v="178904"/>
    <s v="TBD"/>
    <s v="In file"/>
    <n v="9620000667"/>
  </r>
  <r>
    <x v="28"/>
    <s v="Cappuccino Connection_9620000136, 9620000667, 9620000893, 9620000894_RECON.xlsx"/>
    <s v="0209063-IN"/>
    <d v="2021-05-19T00:00:00"/>
    <n v="487.6"/>
    <n v="136050"/>
    <s v="TBD"/>
    <s v="In file"/>
    <n v="9620000667"/>
  </r>
  <r>
    <x v="28"/>
    <s v="Cappuccino Connection_9620000136, 9620000667, 9620000893, 9620000894_RECON.xlsx"/>
    <s v="0209452-IN"/>
    <d v="2021-06-04T00:00:00"/>
    <n v="402.8"/>
    <n v="377522"/>
    <s v="TBD"/>
    <s v="In file"/>
    <n v="9620000667"/>
  </r>
  <r>
    <x v="28"/>
    <s v="Cappuccino Connection_9620000136, 9620000667, 9620000893, 9620000894_RECON.xlsx"/>
    <s v="0209463-IN"/>
    <d v="2021-06-04T00:00:00"/>
    <n v="464.66"/>
    <n v="380057"/>
    <s v="TBD"/>
    <s v="In file"/>
    <n v="9620000667"/>
  </r>
  <r>
    <x v="28"/>
    <s v="Cappuccino Connection_9620000136, 9620000667, 9620000893, 9620000894_RECON.xlsx"/>
    <s v="0209478-IN"/>
    <d v="2021-06-07T00:00:00"/>
    <n v="170.24"/>
    <n v="379317"/>
    <s v="TBD"/>
    <s v="In file"/>
    <n v="9620000667"/>
  </r>
  <r>
    <x v="28"/>
    <s v="Cappuccino Connection_9620000136, 9620000667, 9620000893, 9620000894_RECON.xlsx"/>
    <s v="0209480-IN"/>
    <d v="2021-06-07T00:00:00"/>
    <n v="307.39999999999998"/>
    <n v="379388"/>
    <s v="TBD"/>
    <s v="In file"/>
    <n v="9620000667"/>
  </r>
  <r>
    <x v="28"/>
    <s v="Cappuccino Connection_9620000136, 9620000667, 9620000893, 9620000894_RECON.xlsx"/>
    <s v="0209500-IN"/>
    <d v="2021-06-07T00:00:00"/>
    <n v="241.29"/>
    <n v="379323"/>
    <s v="TBD"/>
    <s v="In file"/>
    <n v="9620000667"/>
  </r>
  <r>
    <x v="28"/>
    <s v="Cappuccino Connection_9620000136, 9620000667, 9620000893, 9620000894_RECON.xlsx"/>
    <s v="0209501-IN"/>
    <d v="2021-06-07T00:00:00"/>
    <n v="201.54"/>
    <n v="380286"/>
    <s v="TBD"/>
    <s v="In file"/>
    <n v="9620000667"/>
  </r>
  <r>
    <x v="28"/>
    <s v="Cappuccino Connection_9620000136, 9620000667, 9620000893, 9620000894_RECON.xlsx"/>
    <s v="0209502-IN"/>
    <d v="2021-06-07T00:00:00"/>
    <n v="198.02"/>
    <n v="378365"/>
    <s v="TBD"/>
    <s v="In file"/>
    <n v="9620000667"/>
  </r>
  <r>
    <x v="28"/>
    <s v="Cappuccino Connection_9620000136, 9620000667, 9620000893, 9620000894_RECON.xlsx"/>
    <s v="0209514-IN"/>
    <d v="2021-06-07T00:00:00"/>
    <n v="198.02"/>
    <n v="378364"/>
    <s v="TBD"/>
    <s v="In file"/>
    <n v="9620000667"/>
  </r>
  <r>
    <x v="28"/>
    <s v="Cappuccino Connection_9620000136, 9620000667, 9620000893, 9620000894_RECON.xlsx"/>
    <s v="0209521-IN"/>
    <d v="2021-06-08T00:00:00"/>
    <n v="231.78"/>
    <n v="378492"/>
    <s v="TBD"/>
    <s v="In file"/>
    <n v="9620000667"/>
  </r>
  <r>
    <x v="28"/>
    <s v="Cappuccino Connection_9620000136, 9620000667, 9620000893, 9620000894_RECON.xlsx"/>
    <s v="0209522-IN"/>
    <d v="2021-06-08T00:00:00"/>
    <n v="357.1"/>
    <n v="380574"/>
    <s v="TBD"/>
    <s v="In file"/>
    <n v="9620000667"/>
  </r>
  <r>
    <x v="28"/>
    <s v="Cappuccino Connection_9620000136, 9620000667, 9620000893, 9620000894_RECON.xlsx"/>
    <s v="0209524-IN"/>
    <d v="2021-06-08T00:00:00"/>
    <n v="552.29"/>
    <n v="380857"/>
    <s v="TBD"/>
    <s v="In file"/>
    <n v="9620000667"/>
  </r>
  <r>
    <x v="28"/>
    <s v="Cappuccino Connection_9620000136, 9620000667, 9620000893, 9620000894_RECON.xlsx"/>
    <s v="0209525-IN"/>
    <d v="2021-06-08T00:00:00"/>
    <n v="174.17"/>
    <n v="380896"/>
    <s v="TBD"/>
    <s v="In file"/>
    <n v="9620000667"/>
  </r>
  <r>
    <x v="28"/>
    <s v="Cappuccino Connection_9620000136, 9620000667, 9620000893, 9620000894_RECON.xlsx"/>
    <s v="0209526-IN"/>
    <d v="2021-06-08T00:00:00"/>
    <n v="334.14"/>
    <n v="380796"/>
    <s v="TBD"/>
    <s v="In file"/>
    <n v="9620000667"/>
  </r>
  <r>
    <x v="28"/>
    <s v="Cappuccino Connection_9620000136, 9620000667, 9620000893, 9620000894_RECON.xlsx"/>
    <s v="0209554-IN"/>
    <d v="2021-06-09T00:00:00"/>
    <n v="137.80000000000001"/>
    <n v="203386"/>
    <s v="TBD"/>
    <s v="In file"/>
    <n v="9620000667"/>
  </r>
  <r>
    <x v="28"/>
    <s v="Cappuccino Connection_9620000136, 9620000667, 9620000893, 9620000894_RECON.xlsx"/>
    <s v="0209558-IN"/>
    <d v="2021-06-09T00:00:00"/>
    <n v="418.7"/>
    <n v="214073"/>
    <s v="TBD"/>
    <s v="In file"/>
    <n v="9620000667"/>
  </r>
  <r>
    <x v="28"/>
    <s v="Cappuccino Connection_9620000136, 9620000667, 9620000893, 9620000894_RECON.xlsx"/>
    <s v="0209559-IN"/>
    <d v="2021-06-09T00:00:00"/>
    <n v="426.6"/>
    <n v="133954"/>
    <s v="TBD"/>
    <s v="In file"/>
    <n v="9620000667"/>
  </r>
  <r>
    <x v="28"/>
    <s v="Cappuccino Connection_9620000136, 9620000667, 9620000893, 9620000894_RECON.xlsx"/>
    <s v="0209560-IN"/>
    <d v="2021-06-09T00:00:00"/>
    <n v="418.7"/>
    <n v="213084"/>
    <s v="TBD"/>
    <s v="In file"/>
    <n v="9620000667"/>
  </r>
  <r>
    <x v="28"/>
    <s v="Cappuccino Connection_9620000136, 9620000667, 9620000893, 9620000894_RECON.xlsx"/>
    <s v="0209561-IN"/>
    <d v="2021-06-09T00:00:00"/>
    <n v="426.6"/>
    <n v="133708"/>
    <s v="TBD"/>
    <s v="In file"/>
    <n v="9620000667"/>
  </r>
  <r>
    <x v="28"/>
    <s v="Cappuccino Connection_9620000136, 9620000667, 9620000893, 9620000894_RECON.xlsx"/>
    <s v="0209567-IN"/>
    <d v="2021-06-09T00:00:00"/>
    <n v="415.24"/>
    <n v="379342"/>
    <s v="TBD"/>
    <s v="In file"/>
    <n v="9620000667"/>
  </r>
  <r>
    <x v="28"/>
    <s v="Cappuccino Connection_9620000136, 9620000667, 9620000893, 9620000894_RECON.xlsx"/>
    <s v="0209571-IN"/>
    <d v="2021-06-09T00:00:00"/>
    <n v="542.99"/>
    <n v="381197"/>
    <s v="TBD"/>
    <s v="In file"/>
    <n v="9620000667"/>
  </r>
  <r>
    <x v="28"/>
    <s v="Cappuccino Connection_9620000136, 9620000667, 9620000893, 9620000894_RECON.xlsx"/>
    <s v="0209578-IN"/>
    <d v="2021-06-09T00:00:00"/>
    <n v="212"/>
    <n v="378979"/>
    <s v="TBD"/>
    <s v="In file"/>
    <n v="9620000667"/>
  </r>
  <r>
    <x v="28"/>
    <s v="Cappuccino Connection_9620000136, 9620000667, 9620000893, 9620000894_RECON.xlsx"/>
    <s v="0209579-IN"/>
    <d v="2021-06-09T00:00:00"/>
    <n v="426.6"/>
    <n v="133357"/>
    <s v="TBD"/>
    <s v="In file"/>
    <n v="9620000667"/>
  </r>
  <r>
    <x v="28"/>
    <s v="Cappuccino Connection_9620000136, 9620000667, 9620000893, 9620000894_RECON.xlsx"/>
    <s v="0209637-IN"/>
    <d v="2021-06-14T00:00:00"/>
    <n v="232.66"/>
    <n v="0"/>
    <s v="TBD"/>
    <n v="0"/>
    <n v="9620000667"/>
  </r>
  <r>
    <x v="28"/>
    <s v="Cappuccino Connection_9620000136, 9620000667, 9620000893, 9620000894_RECON.xlsx"/>
    <s v="0209686-IN"/>
    <d v="2021-06-15T00:00:00"/>
    <n v="167.4"/>
    <n v="0"/>
    <s v="TBD"/>
    <n v="0"/>
    <n v="9620000667"/>
  </r>
  <r>
    <x v="28"/>
    <s v="Cappuccino Connection_9620000136, 9620000667, 9620000893, 9620000894_RECON.xlsx"/>
    <s v="0209710-IN"/>
    <d v="2021-06-16T00:00:00"/>
    <n v="601.84"/>
    <n v="0"/>
    <s v="TBD"/>
    <n v="0"/>
    <n v="9620000667"/>
  </r>
  <r>
    <x v="28"/>
    <s v="Cappuccino Connection_9620000136, 9620000667, 9620000893, 9620000894_RECON.xlsx"/>
    <s v="0209712-IN"/>
    <d v="2021-06-16T00:00:00"/>
    <n v="379.95"/>
    <n v="0"/>
    <s v="TBD"/>
    <n v="0"/>
    <n v="9620000667"/>
  </r>
  <r>
    <x v="28"/>
    <s v="Cappuccino Connection_9620000136, 9620000667, 9620000893, 9620000894_RECON.xlsx"/>
    <s v="0209713-IN"/>
    <d v="2021-06-16T00:00:00"/>
    <n v="401.18"/>
    <n v="0"/>
    <s v="TBD"/>
    <n v="0"/>
    <n v="9620000667"/>
  </r>
  <r>
    <x v="28"/>
    <s v="Cappuccino Connection_9620000136, 9620000667, 9620000893, 9620000894_RECON.xlsx"/>
    <s v="0209724-IN"/>
    <d v="2021-06-16T00:00:00"/>
    <n v="338.2"/>
    <n v="0"/>
    <s v="TBD"/>
    <n v="0"/>
    <n v="9620000667"/>
  </r>
  <r>
    <x v="28"/>
    <s v="Cappuccino Connection_9620000136, 9620000667, 9620000893, 9620000894_RECON.xlsx"/>
    <s v="0209743-IN"/>
    <d v="2021-06-17T00:00:00"/>
    <n v="285.52999999999997"/>
    <n v="0"/>
    <s v="TBD"/>
    <n v="0"/>
    <n v="9620000667"/>
  </r>
  <r>
    <x v="28"/>
    <s v="Cappuccino Connection_9620000136, 9620000667, 9620000893, 9620000894_RECON.xlsx"/>
    <s v="0209744-IN"/>
    <d v="2021-06-17T00:00:00"/>
    <n v="164.3"/>
    <n v="0"/>
    <s v="TBD"/>
    <n v="0"/>
    <n v="9620000667"/>
  </r>
  <r>
    <x v="28"/>
    <s v="Cappuccino Connection_9620000136, 9620000667, 9620000893, 9620000894_RECON.xlsx"/>
    <s v="0209747-IN"/>
    <d v="2021-06-17T00:00:00"/>
    <n v="280.14"/>
    <n v="0"/>
    <s v="TBD"/>
    <n v="0"/>
    <n v="9620000667"/>
  </r>
  <r>
    <x v="28"/>
    <s v="Cappuccino Connection_9620000136, 9620000667, 9620000893, 9620000894_RECON.xlsx"/>
    <s v="0209748-IN"/>
    <d v="2021-06-17T00:00:00"/>
    <n v="1716.14"/>
    <n v="0"/>
    <s v="TBD"/>
    <n v="0"/>
    <n v="9620000667"/>
  </r>
  <r>
    <x v="28"/>
    <s v="Cappuccino Connection_9620000136, 9620000667, 9620000893, 9620000894_RECON.xlsx"/>
    <s v="0209749-IN"/>
    <d v="2021-06-17T00:00:00"/>
    <n v="170.05"/>
    <n v="0"/>
    <s v="TBD"/>
    <n v="0"/>
    <n v="9620000667"/>
  </r>
  <r>
    <x v="28"/>
    <s v="Cappuccino Connection_9620000136, 9620000667, 9620000893, 9620000894_RECON.xlsx"/>
    <s v="0209750-IN"/>
    <d v="2021-06-17T00:00:00"/>
    <n v="926.33"/>
    <n v="0"/>
    <s v="TBD"/>
    <n v="0"/>
    <n v="9620000667"/>
  </r>
  <r>
    <x v="28"/>
    <s v="Cappuccino Connection_9620000136, 9620000667, 9620000893, 9620000894_RECON.xlsx"/>
    <s v="0209758-IN"/>
    <d v="2021-06-17T00:00:00"/>
    <n v="170.24"/>
    <n v="0"/>
    <s v="TBD"/>
    <n v="0"/>
    <n v="9620000667"/>
  </r>
  <r>
    <x v="28"/>
    <s v="Cappuccino Connection_9620000136, 9620000667, 9620000893, 9620000894_RECON.xlsx"/>
    <s v="0209761-IN"/>
    <d v="2021-06-17T00:00:00"/>
    <n v="164.3"/>
    <n v="0"/>
    <s v="TBD"/>
    <n v="0"/>
    <n v="9620000667"/>
  </r>
  <r>
    <x v="29"/>
    <s v="Carolina Beverage Solutions_9620000139_Recon.xlsx"/>
    <n v="268582"/>
    <d v="2021-03-29T00:00:00"/>
    <n v="97.5"/>
    <n v="342503"/>
    <s v="PM"/>
    <n v="0"/>
    <n v="9620000139"/>
  </r>
  <r>
    <x v="29"/>
    <s v="Carolina Beverage Solutions_9620000139_Recon.xlsx"/>
    <n v="268898"/>
    <d v="2021-04-19T00:00:00"/>
    <n v="307.5"/>
    <n v="4500491727"/>
    <s v="Install"/>
    <n v="0"/>
    <n v="9620000139"/>
  </r>
  <r>
    <x v="29"/>
    <s v="Carolina Beverage Solutions_9620000139_Recon.xlsx"/>
    <n v="269009"/>
    <d v="2021-04-12T00:00:00"/>
    <n v="162.5"/>
    <n v="363849"/>
    <s v="Service Call"/>
    <n v="0"/>
    <n v="9620000139"/>
  </r>
  <r>
    <x v="29"/>
    <s v="Carolina Beverage Solutions_9620000139_Recon.xlsx"/>
    <n v="269019"/>
    <d v="2021-04-23T00:00:00"/>
    <n v="405"/>
    <n v="4500504467"/>
    <s v="Install"/>
    <n v="0"/>
    <n v="9620000139"/>
  </r>
  <r>
    <x v="29"/>
    <s v="Carolina Beverage Solutions_9620000139_Recon.xlsx"/>
    <n v="269032"/>
    <d v="2021-04-12T00:00:00"/>
    <n v="203.05"/>
    <n v="364153"/>
    <s v="Service Call"/>
    <n v="0"/>
    <n v="9620000139"/>
  </r>
  <r>
    <x v="29"/>
    <s v="Carolina Beverage Solutions_9620000139_Recon.xlsx"/>
    <n v="269833"/>
    <d v="2021-05-27T00:00:00"/>
    <n v="195"/>
    <n v="4500520003"/>
    <s v="Install"/>
    <n v="0"/>
    <n v="9620000139"/>
  </r>
  <r>
    <x v="29"/>
    <s v="Carolina Beverage Solutions_9620000139_Recon.xlsx"/>
    <n v="269842"/>
    <d v="2021-05-25T00:00:00"/>
    <n v="227.5"/>
    <n v="375360"/>
    <s v="Service Call"/>
    <n v="0"/>
    <n v="9620000139"/>
  </r>
  <r>
    <x v="29"/>
    <s v="Carolina Beverage Solutions_9620000139_Recon.xlsx"/>
    <n v="269875"/>
    <d v="2021-06-01T00:00:00"/>
    <n v="340"/>
    <n v="4566288813"/>
    <s v="Install"/>
    <n v="0"/>
    <n v="9620000139"/>
  </r>
  <r>
    <x v="29"/>
    <s v="Carolina Beverage Solutions_9620000139_Recon.xlsx"/>
    <n v="269924"/>
    <d v="2021-05-25T00:00:00"/>
    <n v="234.93"/>
    <n v="375360"/>
    <s v="Service Call"/>
    <n v="0"/>
    <n v="9620000139"/>
  </r>
  <r>
    <x v="29"/>
    <s v="Carolina Beverage Solutions_9620000139_Recon.xlsx"/>
    <n v="270216"/>
    <d v="2021-06-07T00:00:00"/>
    <n v="130"/>
    <n v="380067"/>
    <s v="Service Call"/>
    <n v="0"/>
    <n v="9620000139"/>
  </r>
  <r>
    <x v="30"/>
    <s v="CDS Repairs_9620000145_Recon.xlsx"/>
    <n v="6685"/>
    <d v="2021-05-17T00:00:00"/>
    <n v="189.22"/>
    <n v="0"/>
    <s v="TBD"/>
    <n v="0"/>
    <n v="9620000145"/>
  </r>
  <r>
    <x v="30"/>
    <s v="CDS Repairs_9620000145_Recon.xlsx"/>
    <n v="6688"/>
    <d v="2021-05-19T00:00:00"/>
    <n v="189"/>
    <n v="0"/>
    <s v="TBD"/>
    <n v="0"/>
    <n v="9620000145"/>
  </r>
  <r>
    <x v="30"/>
    <s v="CDS Repairs_9620000145_Recon.xlsx"/>
    <n v="6702"/>
    <d v="2021-05-20T00:00:00"/>
    <n v="1490"/>
    <n v="0"/>
    <s v="TBD"/>
    <n v="0"/>
    <n v="9620000145"/>
  </r>
  <r>
    <x v="30"/>
    <s v="CDS Repairs_9620000145_Recon.xlsx"/>
    <n v="6816"/>
    <d v="2021-06-07T00:00:00"/>
    <n v="361.14"/>
    <n v="0"/>
    <s v="TBD"/>
    <n v="0"/>
    <n v="9620000145"/>
  </r>
  <r>
    <x v="30"/>
    <s v="CDS Repairs_9620000145_Recon.xlsx"/>
    <n v="6824"/>
    <d v="2021-06-09T00:00:00"/>
    <n v="432.71"/>
    <n v="0"/>
    <s v="TBD"/>
    <n v="0"/>
    <n v="9620000145"/>
  </r>
  <r>
    <x v="30"/>
    <s v="CDS Repairs_9620000145_Recon.xlsx"/>
    <n v="6825"/>
    <d v="2021-06-09T00:00:00"/>
    <n v="1479.96"/>
    <n v="0"/>
    <s v="TBD"/>
    <n v="0"/>
    <n v="9620000145"/>
  </r>
  <r>
    <x v="31"/>
    <s v="Coda Coffee Company dba 9 Bar Tech Co_9620044379, 9620045801_RECON.xlsx"/>
    <n v="141424"/>
    <d v="2021-01-04T00:00:00"/>
    <n v="570.20000000000005"/>
    <n v="1020178526"/>
    <s v="Install"/>
    <n v="0"/>
    <n v="9620044379"/>
  </r>
  <r>
    <x v="31"/>
    <s v="Coda Coffee Company dba 9 Bar Tech Co_9620044379, 9620045801_RECON.xlsx"/>
    <n v="142992"/>
    <d v="2021-02-02T00:00:00"/>
    <n v="275"/>
    <n v="224763"/>
    <s v="PM"/>
    <n v="0"/>
    <n v="9620044379"/>
  </r>
  <r>
    <x v="31"/>
    <s v="Coda Coffee Company dba 9 Bar Tech Co_9620044379, 9620045801_RECON.xlsx"/>
    <n v="142987"/>
    <d v="2021-02-03T00:00:00"/>
    <n v="790"/>
    <n v="349859"/>
    <s v="Service Call"/>
    <n v="0"/>
    <n v="9620044379"/>
  </r>
  <r>
    <x v="31"/>
    <s v="Coda Coffee Company dba 9 Bar Tech Co_9620044379, 9620045801_RECON.xlsx"/>
    <n v="143012"/>
    <d v="2021-02-10T00:00:00"/>
    <n v="963.92"/>
    <n v="351441"/>
    <s v="Service Call"/>
    <n v="0"/>
    <n v="9620044379"/>
  </r>
  <r>
    <x v="31"/>
    <s v="Coda Coffee Company dba 9 Bar Tech Co_9620044379, 9620045801_RECON.xlsx"/>
    <n v="143346"/>
    <d v="2021-03-02T00:00:00"/>
    <n v="342.22"/>
    <n v="356232"/>
    <s v="Service Call"/>
    <n v="0"/>
    <n v="9620044379"/>
  </r>
  <r>
    <x v="31"/>
    <s v="Coda Coffee Company dba 9 Bar Tech Co_9620044379, 9620045801_RECON.xlsx"/>
    <n v="143305"/>
    <d v="2021-03-04T00:00:00"/>
    <n v="85"/>
    <n v="354990"/>
    <s v="Service Call"/>
    <n v="0"/>
    <n v="9620044379"/>
  </r>
  <r>
    <x v="31"/>
    <s v="Coda Coffee Company dba 9 Bar Tech Co_9620044379, 9620045801_RECON.xlsx"/>
    <n v="143483"/>
    <d v="2021-03-11T00:00:00"/>
    <n v="657.38"/>
    <n v="350717"/>
    <s v="Service Call"/>
    <n v="0"/>
    <n v="9620044379"/>
  </r>
  <r>
    <x v="31"/>
    <s v="Coda Coffee Company dba 9 Bar Tech Co_9620044379, 9620045801_RECON.xlsx"/>
    <n v="143534"/>
    <d v="2021-03-12T00:00:00"/>
    <n v="197.5"/>
    <n v="357603"/>
    <s v="Service Call"/>
    <n v="0"/>
    <n v="9620044379"/>
  </r>
  <r>
    <x v="31"/>
    <s v="Coda Coffee Company dba 9 Bar Tech Co_9620044379, 9620045801_RECON.xlsx"/>
    <n v="143555"/>
    <d v="2021-03-12T00:00:00"/>
    <n v="202.5"/>
    <n v="355927"/>
    <s v="Service Call"/>
    <n v="0"/>
    <n v="9620044379"/>
  </r>
  <r>
    <x v="31"/>
    <s v="Coda Coffee Company dba 9 Bar Tech Co_9620044379, 9620045801_RECON.xlsx"/>
    <n v="143588"/>
    <d v="2021-03-15T00:00:00"/>
    <n v="575.49"/>
    <n v="357707"/>
    <s v="Service Call"/>
    <n v="0"/>
    <n v="9620044379"/>
  </r>
  <r>
    <x v="31"/>
    <s v="Coda Coffee Company dba 9 Bar Tech Co_9620044379, 9620045801_RECON.xlsx"/>
    <n v="143592"/>
    <d v="2021-03-15T00:00:00"/>
    <n v="630.24"/>
    <n v="233620"/>
    <s v="PM"/>
    <n v="0"/>
    <n v="9620044379"/>
  </r>
  <r>
    <x v="31"/>
    <s v="Coda Coffee Company dba 9 Bar Tech Co_9620044379, 9620045801_RECON.xlsx"/>
    <n v="143691"/>
    <d v="2021-03-19T00:00:00"/>
    <n v="222.93"/>
    <s v="358526B"/>
    <s v="TBD"/>
    <n v="0"/>
    <n v="9620044379"/>
  </r>
  <r>
    <x v="31"/>
    <s v="Coda Coffee Company dba 9 Bar Tech Co_9620044379, 9620045801_RECON.xlsx"/>
    <n v="143995"/>
    <d v="2021-03-30T00:00:00"/>
    <n v="160"/>
    <n v="361558"/>
    <s v="Service Call"/>
    <n v="0"/>
    <n v="9620044379"/>
  </r>
  <r>
    <x v="31"/>
    <s v="Coda Coffee Company dba 9 Bar Tech Co_9620044379, 9620045801_RECON.xlsx"/>
    <n v="144168"/>
    <d v="2021-04-08T00:00:00"/>
    <n v="160"/>
    <n v="310419"/>
    <s v="PM"/>
    <n v="0"/>
    <n v="9620044379"/>
  </r>
  <r>
    <x v="31"/>
    <s v="Coda Coffee Company dba 9 Bar Tech Co_9620044379, 9620045801_RECON.xlsx"/>
    <n v="144301"/>
    <d v="2021-04-14T00:00:00"/>
    <n v="250"/>
    <n v="342469"/>
    <s v="PM"/>
    <n v="0"/>
    <n v="9620044379"/>
  </r>
  <r>
    <x v="31"/>
    <s v="Coda Coffee Company dba 9 Bar Tech Co_9620044379, 9620045801_RECON.xlsx"/>
    <n v="144395"/>
    <d v="2021-04-15T00:00:00"/>
    <n v="160"/>
    <n v="340601"/>
    <s v="Service Call"/>
    <n v="0"/>
    <n v="9620044379"/>
  </r>
  <r>
    <x v="31"/>
    <s v="Coda Coffee Company dba 9 Bar Tech Co_9620044379, 9620045801_RECON.xlsx"/>
    <n v="144500"/>
    <d v="2021-04-20T00:00:00"/>
    <n v="127.5"/>
    <n v="366465"/>
    <s v="Service Call"/>
    <n v="0"/>
    <n v="9620044379"/>
  </r>
  <r>
    <x v="31"/>
    <s v="Coda Coffee Company dba 9 Bar Tech Co_9620044379, 9620045801_RECON.xlsx"/>
    <n v="144512"/>
    <d v="2021-04-20T00:00:00"/>
    <n v="175"/>
    <n v="326223"/>
    <s v="PM"/>
    <n v="0"/>
    <n v="9620044379"/>
  </r>
  <r>
    <x v="31"/>
    <s v="Coda Coffee Company dba 9 Bar Tech Co_9620044379, 9620045801_RECON.xlsx"/>
    <n v="144610"/>
    <d v="2021-04-21T00:00:00"/>
    <n v="175"/>
    <n v="289166"/>
    <s v="PM"/>
    <n v="0"/>
    <n v="9620044379"/>
  </r>
  <r>
    <x v="31"/>
    <s v="Coda Coffee Company dba 9 Bar Tech Co_9620044379, 9620045801_RECON.xlsx"/>
    <n v="144616"/>
    <d v="2021-04-21T00:00:00"/>
    <n v="175"/>
    <n v="289167"/>
    <s v="PM"/>
    <n v="0"/>
    <n v="9620044379"/>
  </r>
  <r>
    <x v="31"/>
    <s v="Coda Coffee Company dba 9 Bar Tech Co_9620044379, 9620045801_RECON.xlsx"/>
    <n v="144682"/>
    <d v="2021-04-23T00:00:00"/>
    <n v="489.43"/>
    <n v="207260"/>
    <s v="PM"/>
    <n v="0"/>
    <n v="9620044379"/>
  </r>
  <r>
    <x v="31"/>
    <s v="Coda Coffee Company dba 9 Bar Tech Co_9620044379, 9620045801_RECON.xlsx"/>
    <n v="144683"/>
    <d v="2021-04-23T00:00:00"/>
    <n v="357.5"/>
    <n v="607859"/>
    <s v="TBD"/>
    <n v="0"/>
    <n v="9620044379"/>
  </r>
  <r>
    <x v="31"/>
    <s v="Coda Coffee Company dba 9 Bar Tech Co_9620044379, 9620045801_RECON.xlsx"/>
    <n v="144726"/>
    <d v="2021-04-27T00:00:00"/>
    <n v="1043.75"/>
    <n v="4565963384"/>
    <s v="Install"/>
    <n v="0"/>
    <n v="9620044379"/>
  </r>
  <r>
    <x v="31"/>
    <s v="Coda Coffee Company dba 9 Bar Tech Co_9620044379, 9620045801_RECON.xlsx"/>
    <n v="144744"/>
    <d v="2021-04-27T00:00:00"/>
    <n v="175"/>
    <n v="342464"/>
    <s v="PM"/>
    <n v="0"/>
    <n v="9620044379"/>
  </r>
  <r>
    <x v="31"/>
    <s v="Coda Coffee Company dba 9 Bar Tech Co_9620044379, 9620045801_RECON.xlsx"/>
    <n v="144746"/>
    <d v="2021-04-27T00:00:00"/>
    <n v="564.37"/>
    <n v="342463"/>
    <s v="PM"/>
    <n v="0"/>
    <n v="9620044379"/>
  </r>
  <r>
    <x v="31"/>
    <s v="Coda Coffee Company dba 9 Bar Tech Co_9620044379, 9620045801_RECON.xlsx"/>
    <n v="144747"/>
    <d v="2021-04-27T00:00:00"/>
    <n v="189.37"/>
    <n v="342464"/>
    <s v="PM"/>
    <n v="0"/>
    <n v="9620044379"/>
  </r>
  <r>
    <x v="31"/>
    <s v="Coda Coffee Company dba 9 Bar Tech Co_9620044379, 9620045801_RECON.xlsx"/>
    <n v="144751"/>
    <d v="2021-04-27T00:00:00"/>
    <n v="189.37"/>
    <n v="342466"/>
    <s v="PM"/>
    <n v="0"/>
    <n v="9620044379"/>
  </r>
  <r>
    <x v="31"/>
    <s v="Coda Coffee Company dba 9 Bar Tech Co_9620044379, 9620045801_RECON.xlsx"/>
    <n v="144851"/>
    <d v="2021-04-29T00:00:00"/>
    <n v="1166.25"/>
    <s v="345142 345412"/>
    <s v="Service Call"/>
    <n v="0"/>
    <n v="9620044379"/>
  </r>
  <r>
    <x v="31"/>
    <s v="Coda Coffee Company dba 9 Bar Tech Co_9620044379, 9620045801_RECON.xlsx"/>
    <n v="144893"/>
    <d v="2021-04-30T00:00:00"/>
    <n v="443.18"/>
    <n v="365015"/>
    <s v="Service Call"/>
    <n v="0"/>
    <n v="9620044379"/>
  </r>
  <r>
    <x v="31"/>
    <s v="Coda Coffee Company dba 9 Bar Tech Co_9620044379, 9620045801_RECON.xlsx"/>
    <n v="144930"/>
    <d v="2021-05-03T00:00:00"/>
    <n v="85"/>
    <n v="371858"/>
    <s v="Service Call"/>
    <n v="0"/>
    <n v="9620044379"/>
  </r>
  <r>
    <x v="31"/>
    <s v="Coda Coffee Company dba 9 Bar Tech Co_9620044379, 9620045801_RECON.xlsx"/>
    <n v="144933"/>
    <d v="2021-05-03T00:00:00"/>
    <n v="761.43"/>
    <n v="371859"/>
    <s v="Service Call"/>
    <n v="0"/>
    <n v="9620044379"/>
  </r>
  <r>
    <x v="31"/>
    <s v="Coda Coffee Company dba 9 Bar Tech Co_9620044379, 9620045801_RECON.xlsx"/>
    <n v="144936"/>
    <d v="2021-05-03T00:00:00"/>
    <n v="85"/>
    <n v="371860"/>
    <s v="Service Call"/>
    <n v="0"/>
    <n v="9620044379"/>
  </r>
  <r>
    <x v="31"/>
    <s v="Coda Coffee Company dba 9 Bar Tech Co_9620044379, 9620045801_RECON.xlsx"/>
    <n v="144939"/>
    <d v="2021-05-03T00:00:00"/>
    <n v="545"/>
    <n v="371626"/>
    <s v="Service Call"/>
    <n v="0"/>
    <n v="9620044379"/>
  </r>
  <r>
    <x v="31"/>
    <s v="Coda Coffee Company dba 9 Bar Tech Co_9620044379, 9620045801_RECON.xlsx"/>
    <n v="144941"/>
    <d v="2021-05-03T00:00:00"/>
    <n v="212.23"/>
    <n v="371627"/>
    <s v="Service Call"/>
    <n v="0"/>
    <n v="9620044379"/>
  </r>
  <r>
    <x v="31"/>
    <s v="Coda Coffee Company dba 9 Bar Tech Co_9620044379, 9620045801_RECON.xlsx"/>
    <n v="144945"/>
    <d v="2021-05-03T00:00:00"/>
    <n v="298.45"/>
    <n v="4566126807"/>
    <s v="Install"/>
    <n v="0"/>
    <n v="9620044379"/>
  </r>
  <r>
    <x v="31"/>
    <s v="Coda Coffee Company dba 9 Bar Tech Co_9620044379, 9620045801_RECON.xlsx"/>
    <n v="144946"/>
    <d v="2021-05-03T00:00:00"/>
    <n v="250.33"/>
    <n v="371857"/>
    <s v="Service Call"/>
    <n v="0"/>
    <n v="9620044379"/>
  </r>
  <r>
    <x v="31"/>
    <s v="Coda Coffee Company dba 9 Bar Tech Co_9620044379, 9620045801_RECON.xlsx"/>
    <n v="144949"/>
    <d v="2021-05-03T00:00:00"/>
    <n v="160"/>
    <n v="372721"/>
    <s v="Service Call"/>
    <n v="0"/>
    <n v="9620044379"/>
  </r>
  <r>
    <x v="31"/>
    <s v="Coda Coffee Company dba 9 Bar Tech Co_9620044379, 9620045801_RECON.xlsx"/>
    <n v="144952"/>
    <d v="2021-05-03T00:00:00"/>
    <n v="160"/>
    <n v="373087"/>
    <s v="Service Call"/>
    <n v="0"/>
    <n v="9620044379"/>
  </r>
  <r>
    <x v="31"/>
    <s v="Coda Coffee Company dba 9 Bar Tech Co_9620044379, 9620045801_RECON.xlsx"/>
    <n v="144953"/>
    <d v="2021-05-03T00:00:00"/>
    <n v="300.83"/>
    <n v="373028"/>
    <s v="Service Call"/>
    <n v="0"/>
    <n v="9620044379"/>
  </r>
  <r>
    <x v="31"/>
    <s v="Coda Coffee Company dba 9 Bar Tech Co_9620044379, 9620045801_RECON.xlsx"/>
    <n v="144954"/>
    <d v="2021-05-03T00:00:00"/>
    <n v="197.5"/>
    <n v="373099"/>
    <s v="Service Call"/>
    <n v="0"/>
    <n v="9620044379"/>
  </r>
  <r>
    <x v="31"/>
    <s v="Coda Coffee Company dba 9 Bar Tech Co_9620044379, 9620045801_RECON.xlsx"/>
    <n v="144955"/>
    <d v="2021-05-03T00:00:00"/>
    <n v="85"/>
    <n v="373100"/>
    <s v="Service Call"/>
    <n v="0"/>
    <n v="9620044379"/>
  </r>
  <r>
    <x v="31"/>
    <s v="Coda Coffee Company dba 9 Bar Tech Co_9620044379, 9620045801_RECON.xlsx"/>
    <n v="145017"/>
    <d v="2021-05-07T00:00:00"/>
    <n v="789.18"/>
    <n v="368827"/>
    <s v="Service Call"/>
    <n v="0"/>
    <n v="9620044379"/>
  </r>
  <r>
    <x v="31"/>
    <s v="Coda Coffee Company dba 9 Bar Tech Co_9620044379, 9620045801_RECON.xlsx"/>
    <n v="145088"/>
    <d v="2021-05-10T00:00:00"/>
    <n v="670"/>
    <n v="121625"/>
    <s v="PM"/>
    <n v="0"/>
    <n v="9620044379"/>
  </r>
  <r>
    <x v="31"/>
    <s v="Coda Coffee Company dba 9 Bar Tech Co_9620044379, 9620045801_RECON.xlsx"/>
    <n v="145272"/>
    <d v="2021-05-19T00:00:00"/>
    <n v="385"/>
    <n v="374234"/>
    <s v="Service Call"/>
    <n v="0"/>
    <n v="9620044379"/>
  </r>
  <r>
    <x v="31"/>
    <s v="Coda Coffee Company dba 9 Bar Tech Co_9620044379, 9620045801_RECON.xlsx"/>
    <n v="145279"/>
    <d v="2021-05-19T00:00:00"/>
    <n v="409.07"/>
    <n v="374884"/>
    <s v="Service Call"/>
    <n v="0"/>
    <n v="9620044379"/>
  </r>
  <r>
    <x v="31"/>
    <s v="Coda Coffee Company dba 9 Bar Tech Co_9620044379, 9620045801_RECON.xlsx"/>
    <n v="145284"/>
    <d v="2021-05-19T00:00:00"/>
    <n v="2.4700000000000002"/>
    <n v="365808"/>
    <s v="Service Call"/>
    <n v="0"/>
    <n v="9620044379"/>
  </r>
  <r>
    <x v="31"/>
    <s v="Coda Coffee Company dba 9 Bar Tech Co_9620044379, 9620045801_RECON.xlsx"/>
    <n v="145325"/>
    <d v="2021-05-20T00:00:00"/>
    <n v="387.42"/>
    <n v="367286"/>
    <s v="Service Call"/>
    <n v="0"/>
    <n v="9620044379"/>
  </r>
  <r>
    <x v="31"/>
    <s v="Coda Coffee Company dba 9 Bar Tech Co_9620044379, 9620045801_RECON.xlsx"/>
    <n v="145345"/>
    <d v="2021-05-21T00:00:00"/>
    <n v="1267.1099999999999"/>
    <n v="375215"/>
    <s v="Service Call"/>
    <n v="0"/>
    <n v="9620044379"/>
  </r>
  <r>
    <x v="31"/>
    <s v="Coda Coffee Company dba 9 Bar Tech Co_9620044379, 9620045801_RECON.xlsx"/>
    <n v="145348"/>
    <d v="2021-05-21T00:00:00"/>
    <n v="264.37"/>
    <n v="375225"/>
    <s v="Service Call"/>
    <n v="0"/>
    <n v="9620044379"/>
  </r>
  <r>
    <x v="31"/>
    <s v="Coda Coffee Company dba 9 Bar Tech Co_9620044379, 9620045801_RECON.xlsx"/>
    <n v="145368"/>
    <d v="2021-05-21T00:00:00"/>
    <n v="175"/>
    <n v="326286"/>
    <s v="PM"/>
    <n v="0"/>
    <n v="9620044379"/>
  </r>
  <r>
    <x v="31"/>
    <s v="Coda Coffee Company dba 9 Bar Tech Co_9620044379, 9620045801_RECON.xlsx"/>
    <n v="145369"/>
    <d v="2021-05-21T00:00:00"/>
    <n v="175"/>
    <n v="326291"/>
    <s v="PM"/>
    <n v="0"/>
    <n v="9620044379"/>
  </r>
  <r>
    <x v="31"/>
    <s v="Coda Coffee Company dba 9 Bar Tech Co_9620044379, 9620045801_RECON.xlsx"/>
    <n v="145370"/>
    <d v="2021-05-21T00:00:00"/>
    <n v="175"/>
    <n v="326289"/>
    <s v="PM"/>
    <n v="0"/>
    <n v="9620044379"/>
  </r>
  <r>
    <x v="31"/>
    <s v="Coda Coffee Company dba 9 Bar Tech Co_9620044379, 9620045801_RECON.xlsx"/>
    <n v="145371"/>
    <d v="2021-05-21T00:00:00"/>
    <n v="271.69"/>
    <n v="376172"/>
    <s v="Service Call"/>
    <n v="0"/>
    <n v="9620044379"/>
  </r>
  <r>
    <x v="31"/>
    <s v="Coda Coffee Company dba 9 Bar Tech Co_9620044379, 9620045801_RECON.xlsx"/>
    <n v="145374"/>
    <d v="2021-05-24T00:00:00"/>
    <n v="175"/>
    <n v="326265"/>
    <s v="PM"/>
    <n v="0"/>
    <n v="9620044379"/>
  </r>
  <r>
    <x v="31"/>
    <s v="Coda Coffee Company dba 9 Bar Tech Co_9620044379, 9620045801_RECON.xlsx"/>
    <n v="145376"/>
    <d v="2021-05-24T00:00:00"/>
    <n v="175"/>
    <n v="326268"/>
    <s v="PM"/>
    <n v="0"/>
    <n v="9620044379"/>
  </r>
  <r>
    <x v="31"/>
    <s v="Coda Coffee Company dba 9 Bar Tech Co_9620044379, 9620045801_RECON.xlsx"/>
    <n v="145377"/>
    <d v="2021-05-24T00:00:00"/>
    <n v="175"/>
    <n v="326269"/>
    <s v="PM"/>
    <n v="0"/>
    <n v="9620044379"/>
  </r>
  <r>
    <x v="31"/>
    <s v="Coda Coffee Company dba 9 Bar Tech Co_9620044379, 9620045801_RECON.xlsx"/>
    <n v="145378"/>
    <d v="2021-05-24T00:00:00"/>
    <n v="175"/>
    <n v="326195"/>
    <s v="PM"/>
    <n v="0"/>
    <n v="9620044379"/>
  </r>
  <r>
    <x v="31"/>
    <s v="Coda Coffee Company dba 9 Bar Tech Co_9620044379, 9620045801_RECON.xlsx"/>
    <n v="145379"/>
    <d v="2021-05-24T00:00:00"/>
    <n v="175"/>
    <n v="326196"/>
    <s v="PM"/>
    <n v="0"/>
    <n v="9620044379"/>
  </r>
  <r>
    <x v="31"/>
    <s v="Coda Coffee Company dba 9 Bar Tech Co_9620044379, 9620045801_RECON.xlsx"/>
    <n v="145399"/>
    <d v="2021-05-24T00:00:00"/>
    <n v="175"/>
    <n v="326197"/>
    <s v="PM"/>
    <n v="0"/>
    <n v="9620044379"/>
  </r>
  <r>
    <x v="31"/>
    <s v="Coda Coffee Company dba 9 Bar Tech Co_9620044379, 9620045801_RECON.xlsx"/>
    <n v="145457"/>
    <d v="2021-05-26T00:00:00"/>
    <n v="575.72"/>
    <n v="376808"/>
    <s v="Service Call"/>
    <n v="0"/>
    <n v="9620044379"/>
  </r>
  <r>
    <x v="31"/>
    <s v="Coda Coffee Company dba 9 Bar Tech Co_9620044379, 9620045801_RECON.xlsx"/>
    <n v="145474"/>
    <d v="2021-05-26T00:00:00"/>
    <n v="175"/>
    <n v="326202"/>
    <s v="PM"/>
    <n v="0"/>
    <n v="9620044379"/>
  </r>
  <r>
    <x v="31"/>
    <s v="Coda Coffee Company dba 9 Bar Tech Co_9620044379, 9620045801_RECON.xlsx"/>
    <n v="145476"/>
    <d v="2021-05-26T00:00:00"/>
    <n v="175"/>
    <n v="326205"/>
    <s v="PM"/>
    <n v="0"/>
    <n v="9620044379"/>
  </r>
  <r>
    <x v="31"/>
    <s v="Coda Coffee Company dba 9 Bar Tech Co_9620044379, 9620045801_RECON.xlsx"/>
    <n v="145477"/>
    <d v="2021-05-26T00:00:00"/>
    <n v="175"/>
    <n v="326206"/>
    <s v="PM"/>
    <n v="0"/>
    <n v="9620044379"/>
  </r>
  <r>
    <x v="31"/>
    <s v="Coda Coffee Company dba 9 Bar Tech Co_9620044379, 9620045801_RECON.xlsx"/>
    <n v="145514"/>
    <d v="2021-05-27T00:00:00"/>
    <n v="460"/>
    <n v="376807"/>
    <s v="Service Call"/>
    <n v="0"/>
    <n v="9620044379"/>
  </r>
  <r>
    <x v="31"/>
    <s v="Coda Coffee Company dba 9 Bar Tech Co_9620044379, 9620045801_RECON.xlsx"/>
    <n v="145539"/>
    <d v="2021-05-27T00:00:00"/>
    <n v="460"/>
    <n v="320006"/>
    <s v="PM"/>
    <n v="0"/>
    <n v="9620044379"/>
  </r>
  <r>
    <x v="31"/>
    <s v="Coda Coffee Company dba 9 Bar Tech Co_9620044379, 9620045801_RECON.xlsx"/>
    <n v="145540"/>
    <d v="2021-05-27T00:00:00"/>
    <n v="173.99"/>
    <n v="320006"/>
    <s v="PM"/>
    <n v="0"/>
    <n v="9620044379"/>
  </r>
  <r>
    <x v="31"/>
    <s v="Coda Coffee Company dba 9 Bar Tech Co_9620044379, 9620045801_RECON.xlsx"/>
    <n v="145549"/>
    <d v="2021-05-27T00:00:00"/>
    <n v="331.25"/>
    <n v="378265"/>
    <s v="Service Call"/>
    <n v="0"/>
    <n v="9620044379"/>
  </r>
  <r>
    <x v="31"/>
    <s v="Coda Coffee Company dba 9 Bar Tech Co_9620044379, 9620045801_RECON.xlsx"/>
    <n v="145558"/>
    <d v="2021-05-27T00:00:00"/>
    <n v="752.99"/>
    <n v="1020244446"/>
    <s v="Install"/>
    <n v="0"/>
    <n v="9620044379"/>
  </r>
  <r>
    <x v="31"/>
    <s v="Coda Coffee Company dba 9 Bar Tech Co_9620044379, 9620045801_RECON.xlsx"/>
    <n v="145562"/>
    <d v="2021-05-28T00:00:00"/>
    <n v="20.55"/>
    <n v="308948"/>
    <s v="Service Call"/>
    <n v="0"/>
    <n v="9620044379"/>
  </r>
  <r>
    <x v="31"/>
    <s v="Coda Coffee Company dba 9 Bar Tech Co_9620044379, 9620045801_RECON.xlsx"/>
    <n v="145659"/>
    <d v="2021-06-02T00:00:00"/>
    <n v="315.43"/>
    <n v="378651"/>
    <s v="Service Call"/>
    <n v="0"/>
    <n v="9620044379"/>
  </r>
  <r>
    <x v="31"/>
    <s v="Coda Coffee Company dba 9 Bar Tech Co_9620044379, 9620045801_RECON.xlsx"/>
    <n v="145661"/>
    <d v="2021-06-02T00:00:00"/>
    <n v="460"/>
    <n v="378977"/>
    <s v="Service Call"/>
    <n v="0"/>
    <n v="9620044379"/>
  </r>
  <r>
    <x v="31"/>
    <s v="Coda Coffee Company dba 9 Bar Tech Co_9620044379, 9620045801_RECON.xlsx"/>
    <n v="145774"/>
    <d v="2021-06-08T00:00:00"/>
    <n v="890.89"/>
    <n v="376635"/>
    <s v="Service Call"/>
    <n v="0"/>
    <n v="9620044379"/>
  </r>
  <r>
    <x v="31"/>
    <s v="Coda Coffee Company dba 9 Bar Tech Co_9620044379, 9620045801_RECON.xlsx"/>
    <n v="145780"/>
    <d v="2021-06-08T00:00:00"/>
    <n v="235"/>
    <n v="378853"/>
    <s v="Service Call"/>
    <n v="0"/>
    <n v="9620044379"/>
  </r>
  <r>
    <x v="31"/>
    <s v="Coda Coffee Company dba 9 Bar Tech Co_9620044379, 9620045801_RECON.xlsx"/>
    <n v="145784"/>
    <d v="2021-06-08T00:00:00"/>
    <n v="85"/>
    <n v="378854"/>
    <s v="Service Call"/>
    <n v="0"/>
    <n v="9620044379"/>
  </r>
  <r>
    <x v="31"/>
    <s v="Coda Coffee Company dba 9 Bar Tech Co_9620044379, 9620045801_RECON.xlsx"/>
    <n v="145785"/>
    <d v="2021-06-08T00:00:00"/>
    <n v="85"/>
    <n v="378855"/>
    <s v="Service Call"/>
    <n v="0"/>
    <n v="9620044379"/>
  </r>
  <r>
    <x v="31"/>
    <s v="Coda Coffee Company dba 9 Bar Tech Co_9620044379, 9620045801_RECON.xlsx"/>
    <n v="145787"/>
    <d v="2021-06-08T00:00:00"/>
    <n v="160"/>
    <n v="380008"/>
    <s v="Service Call"/>
    <n v="0"/>
    <n v="9620044379"/>
  </r>
  <r>
    <x v="31"/>
    <s v="Coda Coffee Company dba 9 Bar Tech Co_9620044379, 9620045801_RECON.xlsx"/>
    <n v="145789"/>
    <d v="2021-06-08T00:00:00"/>
    <n v="264.37"/>
    <n v="380035"/>
    <s v="Service Call"/>
    <n v="0"/>
    <n v="9620044379"/>
  </r>
  <r>
    <x v="31"/>
    <s v="Coda Coffee Company dba 9 Bar Tech Co_9620044379, 9620045801_RECON.xlsx"/>
    <n v="145793"/>
    <d v="2021-06-08T00:00:00"/>
    <n v="545.38"/>
    <n v="419480"/>
    <s v="TBD"/>
    <n v="0"/>
    <n v="9620044379"/>
  </r>
  <r>
    <x v="31"/>
    <s v="Coda Coffee Company dba 9 Bar Tech Co_9620044379, 9620045801_RECON.xlsx"/>
    <n v="145796"/>
    <d v="2021-06-08T00:00:00"/>
    <n v="189.37"/>
    <n v="375226"/>
    <s v="Service Call"/>
    <n v="0"/>
    <n v="9620044379"/>
  </r>
  <r>
    <x v="31"/>
    <s v="Coda Coffee Company dba 9 Bar Tech Co_9620044379, 9620045801_RECON.xlsx"/>
    <n v="145797"/>
    <d v="2021-06-08T00:00:00"/>
    <n v="160"/>
    <n v="380040"/>
    <s v="Service Call"/>
    <n v="0"/>
    <n v="9620044379"/>
  </r>
  <r>
    <x v="31"/>
    <s v="Coda Coffee Company dba 9 Bar Tech Co_9620044379, 9620045801_RECON.xlsx"/>
    <n v="145799"/>
    <d v="2021-06-08T00:00:00"/>
    <n v="577.12"/>
    <n v="380003"/>
    <s v="Service Call"/>
    <n v="0"/>
    <n v="9620044379"/>
  </r>
  <r>
    <x v="31"/>
    <s v="Coda Coffee Company dba 9 Bar Tech Co_9620044379, 9620045801_RECON.xlsx"/>
    <n v="145801"/>
    <d v="2021-06-08T00:00:00"/>
    <n v="250.33"/>
    <n v="380261"/>
    <s v="Service Call"/>
    <n v="0"/>
    <n v="9620044379"/>
  </r>
  <r>
    <x v="31"/>
    <s v="Coda Coffee Company dba 9 Bar Tech Co_9620044379, 9620045801_RECON.xlsx"/>
    <n v="145802"/>
    <d v="2021-06-08T00:00:00"/>
    <n v="545"/>
    <n v="379999"/>
    <s v="Service Call"/>
    <n v="0"/>
    <n v="9620044379"/>
  </r>
  <r>
    <x v="31"/>
    <s v="Coda Coffee Company dba 9 Bar Tech Co_9620044379, 9620045801_RECON.xlsx"/>
    <n v="145803"/>
    <d v="2021-06-08T00:00:00"/>
    <n v="170"/>
    <n v="380000"/>
    <s v="Service Call"/>
    <n v="0"/>
    <n v="9620044379"/>
  </r>
  <r>
    <x v="31"/>
    <s v="Coda Coffee Company dba 9 Bar Tech Co_9620044379, 9620045801_RECON.xlsx"/>
    <n v="145804"/>
    <d v="2021-06-08T00:00:00"/>
    <n v="170"/>
    <n v="380001"/>
    <s v="Service Call"/>
    <n v="0"/>
    <n v="9620044379"/>
  </r>
  <r>
    <x v="31"/>
    <s v="Coda Coffee Company dba 9 Bar Tech Co_9620044379, 9620045801_RECON.xlsx"/>
    <n v="145805"/>
    <d v="2021-06-08T00:00:00"/>
    <n v="301.87"/>
    <n v="380184"/>
    <s v="Service Call"/>
    <n v="0"/>
    <n v="9620044379"/>
  </r>
  <r>
    <x v="31"/>
    <s v="Coda Coffee Company dba 9 Bar Tech Co_9620044379, 9620045801_RECON.xlsx"/>
    <n v="145806"/>
    <d v="2021-06-08T00:00:00"/>
    <n v="189.37"/>
    <n v="380185"/>
    <s v="Service Call"/>
    <n v="0"/>
    <n v="9620044379"/>
  </r>
  <r>
    <x v="31"/>
    <s v="Coda Coffee Company dba 9 Bar Tech Co_9620044379, 9620045801_RECON.xlsx"/>
    <n v="145807"/>
    <d v="2021-06-08T00:00:00"/>
    <n v="554.47"/>
    <n v="380255"/>
    <s v="Service Call"/>
    <n v="0"/>
    <n v="9620044379"/>
  </r>
  <r>
    <x v="32"/>
    <s v="Coffee &amp; Tea Works_9620046790_RECON.xlsx"/>
    <n v="8272"/>
    <d v="2020-09-30T00:00:00"/>
    <n v="207.22"/>
    <n v="0"/>
    <s v="Install"/>
    <n v="0"/>
    <n v="9620046790"/>
  </r>
  <r>
    <x v="32"/>
    <s v="Coffee &amp; Tea Works_9620046790_RECON.xlsx"/>
    <n v="8688"/>
    <d v="2021-01-28T00:00:00"/>
    <n v="420"/>
    <n v="0"/>
    <s v="Install"/>
    <n v="0"/>
    <n v="9620046790"/>
  </r>
  <r>
    <x v="33"/>
    <s v="Coffee Break Service dba BevTechs Fresno_9620000096, 9620000745_RECON.xlsx"/>
    <s v="BT95698"/>
    <d v="2021-02-15T00:00:00"/>
    <n v="426.33"/>
    <n v="353148"/>
    <s v="Service Call"/>
    <n v="0"/>
    <n v="9620000745"/>
  </r>
  <r>
    <x v="33"/>
    <s v="Coffee Break Service dba BevTechs Fresno_9620000096, 9620000745_RECON.xlsx"/>
    <s v="BT96201"/>
    <d v="2021-04-19T00:00:00"/>
    <n v="172.5"/>
    <n v="1020242934"/>
    <s v="Install"/>
    <n v="0"/>
    <n v="9620000745"/>
  </r>
  <r>
    <x v="34"/>
    <s v="Coffee Doctors Inc._9620000167_RECON.xlsx"/>
    <n v="12158"/>
    <d v="2021-03-16T00:00:00"/>
    <n v="682"/>
    <s v="SEB-084-JS"/>
    <s v="Install"/>
    <s v="In file"/>
    <n v="9620000167"/>
  </r>
  <r>
    <x v="34"/>
    <s v="Coffee Doctors Inc._9620000167_RECON.xlsx"/>
    <n v="12191"/>
    <d v="2021-05-11T00:00:00"/>
    <n v="330"/>
    <s v="M15697"/>
    <s v="Install"/>
    <s v="In file"/>
    <n v="9620000167"/>
  </r>
  <r>
    <x v="35"/>
    <s v="Coffee Express Inc. (WI)_9620000168_RECON.xlsx"/>
    <n v="20523"/>
    <d v="2021-05-11T00:00:00"/>
    <n v="979.07"/>
    <n v="0"/>
    <s v="TBD"/>
    <n v="0"/>
    <n v="9620000168"/>
  </r>
  <r>
    <x v="36"/>
    <s v="Coffee Express Sales &amp; Services_9620005091_RECON.xlsx"/>
    <n v="43400"/>
    <d v="2021-02-08T00:00:00"/>
    <n v="301.83999999999997"/>
    <s v="00350480*"/>
    <s v="Service Call"/>
    <n v="0"/>
    <n v="9620005091"/>
  </r>
  <r>
    <x v="36"/>
    <s v="Coffee Express Sales &amp; Services_9620005091_RECON.xlsx"/>
    <n v="44192"/>
    <d v="2021-05-27T00:00:00"/>
    <n v="230.27"/>
    <n v="1020217034"/>
    <s v="Install"/>
    <n v="0"/>
    <n v="9620005091"/>
  </r>
  <r>
    <x v="36"/>
    <s v="Coffee Express Sales &amp; Services_9620005091_RECON.xlsx"/>
    <n v="44193"/>
    <d v="2021-05-27T00:00:00"/>
    <n v="230.27"/>
    <n v="1020217034"/>
    <s v="Install"/>
    <n v="0"/>
    <n v="9620005091"/>
  </r>
  <r>
    <x v="37"/>
    <s v="Coffey Refrigeration_9620000174_RECON.xlsx"/>
    <n v="90907"/>
    <d v="2020-10-26T00:00:00"/>
    <n v="151.1"/>
    <n v="278442"/>
    <s v="PM"/>
    <n v="0"/>
    <n v="9620000174"/>
  </r>
  <r>
    <x v="38"/>
    <s v="Commercial Beverage Equipment, Inc_9620000182_RECON.xlsx"/>
    <n v="35727"/>
    <d v="2021-03-05T00:00:00"/>
    <n v="503.07"/>
    <n v="380229"/>
    <s v="Install"/>
    <s v="In file"/>
    <n v="9620000182"/>
  </r>
  <r>
    <x v="38"/>
    <s v="Commercial Beverage Equipment, Inc_9620000182_RECON.xlsx"/>
    <n v="35901"/>
    <d v="2021-04-23T00:00:00"/>
    <n v="216.48"/>
    <n v="369437"/>
    <s v="Service Call"/>
    <s v="In file"/>
    <n v="9620000182"/>
  </r>
  <r>
    <x v="38"/>
    <s v="Commercial Beverage Equipment, Inc_9620000182_RECON.xlsx"/>
    <n v="40014"/>
    <d v="2021-05-06T00:00:00"/>
    <n v="232.88"/>
    <n v="329131"/>
    <s v="PM"/>
    <s v="In file"/>
    <n v="9620000182"/>
  </r>
  <r>
    <x v="38"/>
    <s v="Commercial Beverage Equipment, Inc_9620000182_RECON.xlsx"/>
    <n v="40015"/>
    <d v="2021-05-06T00:00:00"/>
    <n v="232.87"/>
    <n v="333539"/>
    <s v="PM"/>
    <s v="In file"/>
    <n v="9620000182"/>
  </r>
  <r>
    <x v="38"/>
    <s v="Commercial Beverage Equipment, Inc_9620000182_RECON.xlsx"/>
    <n v="40016"/>
    <d v="2021-05-06T00:00:00"/>
    <n v="227.21"/>
    <n v="329264"/>
    <s v="PM"/>
    <s v="In file"/>
    <n v="9620000182"/>
  </r>
  <r>
    <x v="38"/>
    <s v="Commercial Beverage Equipment, Inc_9620000182_RECON.xlsx"/>
    <n v="40017"/>
    <d v="2021-05-06T00:00:00"/>
    <n v="227.21"/>
    <n v="328771"/>
    <s v="PM"/>
    <s v="In file"/>
    <n v="9620000182"/>
  </r>
  <r>
    <x v="39"/>
    <s v="Commercial Coffee Repairs_9620000183_RECON.xlsx"/>
    <s v="Q8181"/>
    <d v="2020-09-14T00:00:00"/>
    <n v="478.13"/>
    <n v="309261"/>
    <s v="Service Call"/>
    <n v="0"/>
    <n v="9620000183"/>
  </r>
  <r>
    <x v="39"/>
    <s v="Commercial Coffee Repairs_9620000183_RECON.xlsx"/>
    <s v="Q8182"/>
    <d v="2020-09-14T00:00:00"/>
    <n v="461.33"/>
    <n v="308840"/>
    <s v="Service Call"/>
    <n v="0"/>
    <n v="9620000183"/>
  </r>
  <r>
    <x v="39"/>
    <s v="Commercial Coffee Repairs_9620000183_RECON.xlsx"/>
    <s v="Q8183"/>
    <d v="2020-09-14T00:00:00"/>
    <n v="337.32"/>
    <n v="309251"/>
    <s v="Service Call"/>
    <n v="0"/>
    <n v="9620000183"/>
  </r>
  <r>
    <x v="39"/>
    <s v="Commercial Coffee Repairs_9620000183_RECON.xlsx"/>
    <s v="Q8185"/>
    <d v="2020-09-15T00:00:00"/>
    <n v="225"/>
    <n v="309497"/>
    <s v="Service Call"/>
    <n v="0"/>
    <n v="9620000183"/>
  </r>
  <r>
    <x v="39"/>
    <s v="Commercial Coffee Repairs_9620000183_RECON.xlsx"/>
    <s v="Q8188"/>
    <d v="2020-09-15T00:00:00"/>
    <n v="582"/>
    <n v="309531"/>
    <s v="Service Call"/>
    <n v="0"/>
    <n v="9620000183"/>
  </r>
  <r>
    <x v="39"/>
    <s v="Commercial Coffee Repairs_9620000183_RECON.xlsx"/>
    <s v="Q8202"/>
    <d v="2020-09-17T00:00:00"/>
    <n v="512.25"/>
    <n v="309732"/>
    <s v="Service Call"/>
    <n v="0"/>
    <n v="9620000183"/>
  </r>
  <r>
    <x v="39"/>
    <s v="Commercial Coffee Repairs_9620000183_RECON.xlsx"/>
    <s v="Q8211"/>
    <d v="2020-09-17T00:00:00"/>
    <n v="939.87"/>
    <n v="309705"/>
    <s v="Service Call"/>
    <n v="0"/>
    <n v="9620000183"/>
  </r>
  <r>
    <x v="39"/>
    <s v="Commercial Coffee Repairs_9620000183_RECON.xlsx"/>
    <s v="Q8207"/>
    <d v="2020-09-18T00:00:00"/>
    <n v="436.75"/>
    <n v="309637"/>
    <s v="Service Call"/>
    <n v="0"/>
    <n v="9620000183"/>
  </r>
  <r>
    <x v="39"/>
    <s v="Commercial Coffee Repairs_9620000183_RECON.xlsx"/>
    <s v="Q8184"/>
    <d v="2020-09-19T00:00:00"/>
    <n v="499.77"/>
    <n v="309548"/>
    <s v="Service Call"/>
    <n v="0"/>
    <n v="9620000183"/>
  </r>
  <r>
    <x v="39"/>
    <s v="Commercial Coffee Repairs_9620000183_RECON.xlsx"/>
    <s v="Q8250"/>
    <d v="2020-09-21T00:00:00"/>
    <n v="150"/>
    <n v="310001"/>
    <s v="Service Call"/>
    <n v="0"/>
    <n v="9620000183"/>
  </r>
  <r>
    <x v="39"/>
    <s v="Commercial Coffee Repairs_9620000183_RECON.xlsx"/>
    <s v="Q8251"/>
    <d v="2020-09-24T00:00:00"/>
    <n v="244.7"/>
    <n v="309801"/>
    <s v="Service Call"/>
    <n v="0"/>
    <n v="9620000183"/>
  </r>
  <r>
    <x v="39"/>
    <s v="Commercial Coffee Repairs_9620000183_RECON.xlsx"/>
    <s v="Q8319"/>
    <d v="2020-09-24T00:00:00"/>
    <n v="150"/>
    <n v="309400"/>
    <s v="Service Call"/>
    <n v="0"/>
    <n v="9620000183"/>
  </r>
  <r>
    <x v="39"/>
    <s v="Commercial Coffee Repairs_9620000183_RECON.xlsx"/>
    <s v="Q8262"/>
    <d v="2020-09-26T00:00:00"/>
    <n v="225"/>
    <n v="311278"/>
    <s v="Service Call"/>
    <n v="0"/>
    <n v="9620000183"/>
  </r>
  <r>
    <x v="39"/>
    <s v="Commercial Coffee Repairs_9620000183_RECON.xlsx"/>
    <s v="Q8263"/>
    <d v="2020-09-26T00:00:00"/>
    <n v="498.82"/>
    <n v="311322"/>
    <s v="Service Call"/>
    <n v="0"/>
    <n v="9620000183"/>
  </r>
  <r>
    <x v="39"/>
    <s v="Commercial Coffee Repairs_9620000183_RECON.xlsx"/>
    <s v="Q8268"/>
    <d v="2020-09-28T00:00:00"/>
    <n v="225"/>
    <n v="310919"/>
    <s v="Service Call"/>
    <n v="0"/>
    <n v="9620000183"/>
  </r>
  <r>
    <x v="39"/>
    <s v="Commercial Coffee Repairs_9620000183_RECON.xlsx"/>
    <s v="Q8275"/>
    <d v="2020-09-29T00:00:00"/>
    <n v="459.83"/>
    <n v="311413"/>
    <s v="Service Call"/>
    <n v="0"/>
    <n v="9620000183"/>
  </r>
  <r>
    <x v="39"/>
    <s v="Commercial Coffee Repairs_9620000183_RECON.xlsx"/>
    <s v="Q8277"/>
    <d v="2020-09-29T00:00:00"/>
    <n v="497.25"/>
    <n v="311531"/>
    <s v="Service Call"/>
    <n v="0"/>
    <n v="9620000183"/>
  </r>
  <r>
    <x v="39"/>
    <s v="Commercial Coffee Repairs_9620000183_RECON.xlsx"/>
    <s v="Q8280"/>
    <d v="2020-09-29T00:00:00"/>
    <n v="225"/>
    <n v="311536"/>
    <s v="Service Call"/>
    <n v="0"/>
    <n v="9620000183"/>
  </r>
  <r>
    <x v="39"/>
    <s v="Commercial Coffee Repairs_9620000183_RECON.xlsx"/>
    <s v="Q8231"/>
    <d v="2020-10-03T00:00:00"/>
    <n v="777.48"/>
    <n v="310249"/>
    <s v="Service Call"/>
    <n v="0"/>
    <n v="9620000183"/>
  </r>
  <r>
    <x v="39"/>
    <s v="Commercial Coffee Repairs_9620000183_RECON.xlsx"/>
    <s v="Q8370"/>
    <d v="2020-10-09T00:00:00"/>
    <n v="225"/>
    <n v="313321"/>
    <s v="Service Call"/>
    <n v="0"/>
    <n v="9620000183"/>
  </r>
  <r>
    <x v="39"/>
    <s v="Commercial Coffee Repairs_9620000183_RECON.xlsx"/>
    <s v="Q8484"/>
    <d v="2020-10-23T00:00:00"/>
    <n v="1191.3800000000001"/>
    <n v="315239"/>
    <s v="Service Call"/>
    <n v="0"/>
    <n v="9620000183"/>
  </r>
  <r>
    <x v="39"/>
    <s v="Commercial Coffee Repairs_9620000183_RECON.xlsx"/>
    <s v="Q8502"/>
    <d v="2020-10-29T00:00:00"/>
    <n v="187.5"/>
    <n v="315389"/>
    <s v="Service Call"/>
    <n v="0"/>
    <n v="9620000183"/>
  </r>
  <r>
    <x v="39"/>
    <s v="Commercial Coffee Repairs_9620000183_RECON.xlsx"/>
    <s v="Q8541"/>
    <d v="2020-11-03T00:00:00"/>
    <n v="225"/>
    <n v="316964"/>
    <s v="Service Call"/>
    <n v="0"/>
    <n v="9620000183"/>
  </r>
  <r>
    <x v="39"/>
    <s v="Commercial Coffee Repairs_9620000183_RECON.xlsx"/>
    <s v="Q8595"/>
    <d v="2020-11-03T00:00:00"/>
    <n v="645.38"/>
    <n v="317129"/>
    <s v="Service Call"/>
    <n v="0"/>
    <n v="9620000183"/>
  </r>
  <r>
    <x v="39"/>
    <s v="Commercial Coffee Repairs_9620000183_RECON.xlsx"/>
    <s v="Q8552"/>
    <d v="2020-11-04T00:00:00"/>
    <n v="556.12"/>
    <n v="317259"/>
    <s v="Service Call"/>
    <n v="0"/>
    <n v="9620000183"/>
  </r>
  <r>
    <x v="39"/>
    <s v="Commercial Coffee Repairs_9620000183_RECON.xlsx"/>
    <s v="Q8554"/>
    <d v="2020-11-04T00:00:00"/>
    <n v="316.16000000000003"/>
    <n v="317211"/>
    <s v="Service Call"/>
    <n v="0"/>
    <n v="9620000183"/>
  </r>
  <r>
    <x v="39"/>
    <s v="Commercial Coffee Repairs_9620000183_RECON.xlsx"/>
    <s v="Q8556"/>
    <d v="2020-11-04T00:00:00"/>
    <n v="150"/>
    <n v="317015"/>
    <s v="Service Call"/>
    <n v="0"/>
    <n v="9620000183"/>
  </r>
  <r>
    <x v="39"/>
    <s v="Commercial Coffee Repairs_9620000183_RECON.xlsx"/>
    <s v="Q8557"/>
    <d v="2020-11-04T00:00:00"/>
    <n v="225"/>
    <n v="317550"/>
    <s v="Service Call"/>
    <n v="0"/>
    <n v="9620000183"/>
  </r>
  <r>
    <x v="39"/>
    <s v="Commercial Coffee Repairs_9620000183_RECON.xlsx"/>
    <s v="Q8558"/>
    <d v="2020-11-04T00:00:00"/>
    <n v="443.11"/>
    <n v="317528"/>
    <s v="Service Call"/>
    <n v="0"/>
    <n v="9620000183"/>
  </r>
  <r>
    <x v="39"/>
    <s v="Commercial Coffee Repairs_9620000183_RECON.xlsx"/>
    <s v="Q8560"/>
    <d v="2020-11-04T00:00:00"/>
    <n v="586.24"/>
    <n v="317296"/>
    <s v="Service Call"/>
    <n v="0"/>
    <n v="9620000183"/>
  </r>
  <r>
    <x v="39"/>
    <s v="Commercial Coffee Repairs_9620000183_RECON.xlsx"/>
    <s v="Q8562"/>
    <d v="2020-11-05T00:00:00"/>
    <n v="340.69"/>
    <n v="317638"/>
    <s v="Service Call"/>
    <n v="0"/>
    <n v="9620000183"/>
  </r>
  <r>
    <x v="39"/>
    <s v="Commercial Coffee Repairs_9620000183_RECON.xlsx"/>
    <s v="Q8563"/>
    <d v="2020-11-05T00:00:00"/>
    <n v="443.11"/>
    <n v="317631"/>
    <s v="Service Call"/>
    <n v="0"/>
    <n v="9620000183"/>
  </r>
  <r>
    <x v="39"/>
    <s v="Commercial Coffee Repairs_9620000183_RECON.xlsx"/>
    <s v="Q8564"/>
    <d v="2020-11-05T00:00:00"/>
    <n v="225"/>
    <n v="317142"/>
    <s v="Service Call"/>
    <n v="0"/>
    <n v="9620000183"/>
  </r>
  <r>
    <x v="39"/>
    <s v="Commercial Coffee Repairs_9620000183_RECON.xlsx"/>
    <s v="Q8567"/>
    <d v="2020-11-05T00:00:00"/>
    <n v="225"/>
    <n v="317576"/>
    <s v="Service Call"/>
    <n v="0"/>
    <n v="9620000183"/>
  </r>
  <r>
    <x v="39"/>
    <s v="Commercial Coffee Repairs_9620000183_RECON.xlsx"/>
    <s v="Q8574"/>
    <d v="2020-11-07T00:00:00"/>
    <n v="337.5"/>
    <n v="317908"/>
    <s v="Service Call"/>
    <n v="0"/>
    <n v="9620000183"/>
  </r>
  <r>
    <x v="39"/>
    <s v="Commercial Coffee Repairs_9620000183_RECON.xlsx"/>
    <s v="Q8575"/>
    <d v="2020-11-07T00:00:00"/>
    <n v="421.89"/>
    <n v="317891"/>
    <s v="Service Call"/>
    <n v="0"/>
    <n v="9620000183"/>
  </r>
  <r>
    <x v="39"/>
    <s v="Commercial Coffee Repairs_9620000183_RECON.xlsx"/>
    <s v="Q8576"/>
    <d v="2020-11-07T00:00:00"/>
    <n v="705.21"/>
    <n v="318146"/>
    <s v="Service Call"/>
    <n v="0"/>
    <n v="9620000183"/>
  </r>
  <r>
    <x v="39"/>
    <s v="Commercial Coffee Repairs_9620000183_RECON.xlsx"/>
    <s v="Q8582"/>
    <d v="2020-11-09T00:00:00"/>
    <n v="225"/>
    <n v="318162"/>
    <s v="Service Call"/>
    <n v="0"/>
    <n v="9620000183"/>
  </r>
  <r>
    <x v="39"/>
    <s v="Commercial Coffee Repairs_9620000183_RECON.xlsx"/>
    <s v="Q8598"/>
    <d v="2020-11-10T00:00:00"/>
    <n v="470.55"/>
    <n v="318281"/>
    <s v="Service Call"/>
    <n v="0"/>
    <n v="9620000183"/>
  </r>
  <r>
    <x v="39"/>
    <s v="Commercial Coffee Repairs_9620000183_RECON.xlsx"/>
    <s v="Q8599"/>
    <d v="2020-11-10T00:00:00"/>
    <n v="688.66"/>
    <n v="318220"/>
    <s v="Service Call"/>
    <n v="0"/>
    <n v="9620000183"/>
  </r>
  <r>
    <x v="39"/>
    <s v="Commercial Coffee Repairs_9620000183_RECON.xlsx"/>
    <s v="Q8602"/>
    <d v="2020-11-11T00:00:00"/>
    <n v="500.01"/>
    <n v="318339"/>
    <s v="Service Call"/>
    <n v="0"/>
    <n v="9620000183"/>
  </r>
  <r>
    <x v="39"/>
    <s v="Commercial Coffee Repairs_9620000183_RECON.xlsx"/>
    <s v="Q8658"/>
    <d v="2020-11-19T00:00:00"/>
    <n v="443.11"/>
    <n v="320233"/>
    <s v="Service Call"/>
    <n v="0"/>
    <n v="9620000183"/>
  </r>
  <r>
    <x v="39"/>
    <s v="Commercial Coffee Repairs_9620000183_RECON.xlsx"/>
    <s v="Q8706"/>
    <d v="2020-11-28T00:00:00"/>
    <n v="443.62"/>
    <n v="321563"/>
    <s v="Service Call"/>
    <n v="0"/>
    <n v="9620000183"/>
  </r>
  <r>
    <x v="39"/>
    <s v="Commercial Coffee Repairs_9620000183_RECON.xlsx"/>
    <s v="Q8717"/>
    <d v="2020-12-01T00:00:00"/>
    <n v="470.55"/>
    <n v="321827"/>
    <s v="Service Call"/>
    <n v="0"/>
    <n v="9620000183"/>
  </r>
  <r>
    <x v="39"/>
    <s v="Commercial Coffee Repairs_9620000183_RECON.xlsx"/>
    <s v="Q8798"/>
    <d v="2020-12-11T00:00:00"/>
    <n v="395"/>
    <n v="120571"/>
    <s v="PM"/>
    <n v="0"/>
    <n v="9620000183"/>
  </r>
  <r>
    <x v="39"/>
    <s v="Commercial Coffee Repairs_9620000183_RECON.xlsx"/>
    <s v="Q8868"/>
    <d v="2020-12-28T00:00:00"/>
    <n v="150"/>
    <n v="0"/>
    <s v="TBD"/>
    <n v="0"/>
    <n v="9620000183"/>
  </r>
  <r>
    <x v="39"/>
    <s v="Commercial Coffee Repairs_9620000183_RECON.xlsx"/>
    <s v="Q9103"/>
    <d v="2021-02-10T00:00:00"/>
    <n v="453.66"/>
    <n v="0"/>
    <s v="TBD"/>
    <n v="0"/>
    <n v="9620000183"/>
  </r>
  <r>
    <x v="39"/>
    <s v="Commercial Coffee Repairs_9620000183_RECON.xlsx"/>
    <s v="Q9104"/>
    <d v="2021-02-10T00:00:00"/>
    <n v="281.56"/>
    <n v="0"/>
    <s v="TBD"/>
    <n v="0"/>
    <n v="9620000183"/>
  </r>
  <r>
    <x v="39"/>
    <s v="Commercial Coffee Repairs_9620000183_RECON.xlsx"/>
    <s v="Q9058"/>
    <d v="2021-02-16T00:00:00"/>
    <n v="150"/>
    <n v="0"/>
    <s v="TBD"/>
    <n v="0"/>
    <n v="9620000183"/>
  </r>
  <r>
    <x v="39"/>
    <s v="Commercial Coffee Repairs_9620000183_RECON.xlsx"/>
    <s v="Q9043"/>
    <d v="2021-02-17T00:00:00"/>
    <n v="309.39"/>
    <n v="0"/>
    <s v="TBD"/>
    <n v="0"/>
    <n v="9620000183"/>
  </r>
  <r>
    <x v="39"/>
    <s v="Commercial Coffee Repairs_9620000183_RECON.xlsx"/>
    <s v="Q9047"/>
    <d v="2021-02-19T00:00:00"/>
    <n v="950.49"/>
    <n v="0"/>
    <s v="TBD"/>
    <n v="0"/>
    <n v="9620000183"/>
  </r>
  <r>
    <x v="39"/>
    <s v="Commercial Coffee Repairs_9620000183_RECON.xlsx"/>
    <s v="Q9121"/>
    <d v="2021-03-16T00:00:00"/>
    <n v="187.5"/>
    <n v="0"/>
    <s v="TBD"/>
    <n v="0"/>
    <n v="9620000183"/>
  </r>
  <r>
    <x v="39"/>
    <s v="Commercial Coffee Repairs_9620000183_RECON.xlsx"/>
    <s v="Q9159"/>
    <d v="2021-03-18T00:00:00"/>
    <n v="150"/>
    <n v="0"/>
    <s v="TBD"/>
    <n v="0"/>
    <n v="9620000183"/>
  </r>
  <r>
    <x v="39"/>
    <s v="Commercial Coffee Repairs_9620000183_RECON.xlsx"/>
    <s v="Q9109"/>
    <d v="2021-04-05T00:00:00"/>
    <n v="225"/>
    <n v="0"/>
    <s v="TBD"/>
    <n v="0"/>
    <n v="9620000183"/>
  </r>
  <r>
    <x v="39"/>
    <s v="Commercial Coffee Repairs_9620000183_RECON.xlsx"/>
    <s v="Q9101"/>
    <d v="2021-04-07T00:00:00"/>
    <n v="343.19"/>
    <n v="0"/>
    <s v="TBD"/>
    <n v="0"/>
    <n v="9620000183"/>
  </r>
  <r>
    <x v="39"/>
    <s v="Commercial Coffee Repairs_9620000183_RECON.xlsx"/>
    <s v="Q9154"/>
    <d v="2021-04-19T00:00:00"/>
    <n v="343.19"/>
    <n v="0"/>
    <s v="TBD"/>
    <n v="0"/>
    <n v="9620000183"/>
  </r>
  <r>
    <x v="39"/>
    <s v="Commercial Coffee Repairs_9620000183_RECON.xlsx"/>
    <s v="Q9172"/>
    <d v="2021-04-29T00:00:00"/>
    <n v="159.38999999999999"/>
    <n v="0"/>
    <s v="TBD"/>
    <n v="0"/>
    <n v="9620000183"/>
  </r>
  <r>
    <x v="39"/>
    <s v="Commercial Coffee Repairs_9620000183_RECON.xlsx"/>
    <s v="Q9174"/>
    <d v="2021-04-30T00:00:00"/>
    <n v="315.52999999999997"/>
    <n v="0"/>
    <s v="TBD"/>
    <n v="0"/>
    <n v="9620000183"/>
  </r>
  <r>
    <x v="40"/>
    <s v="Commercial Cooking Equipment_9620051785_RECON.xlsx"/>
    <s v="A00894"/>
    <d v="2021-01-27T00:00:00"/>
    <n v="335.8"/>
    <n v="0"/>
    <s v="TBD"/>
    <n v="0"/>
    <n v="9620051785"/>
  </r>
  <r>
    <x v="40"/>
    <s v="Commercial Cooking Equipment_9620051785_RECON.xlsx"/>
    <s v="A00942"/>
    <d v="2021-02-08T00:00:00"/>
    <n v="195"/>
    <n v="0"/>
    <s v="TBD"/>
    <n v="0"/>
    <n v="9620051785"/>
  </r>
  <r>
    <x v="40"/>
    <s v="Commercial Cooking Equipment_9620051785_RECON.xlsx"/>
    <s v="A00947"/>
    <d v="2021-02-08T00:00:00"/>
    <n v="195"/>
    <n v="0"/>
    <s v="TBD"/>
    <n v="0"/>
    <n v="9620051785"/>
  </r>
  <r>
    <x v="40"/>
    <s v="Commercial Cooking Equipment_9620051785_RECON.xlsx"/>
    <s v="A00990"/>
    <d v="2021-03-02T00:00:00"/>
    <n v="1342.6"/>
    <n v="0"/>
    <s v="TBD"/>
    <n v="0"/>
    <n v="9620051785"/>
  </r>
  <r>
    <x v="41"/>
    <s v="Commercial Equipment Services_9620000184_RECON.xlsx"/>
    <n v="100602"/>
    <d v="2021-05-13T00:00:00"/>
    <n v="757.68"/>
    <n v="377189"/>
    <s v="TBD"/>
    <s v="In file"/>
    <n v="9620000184"/>
  </r>
  <r>
    <x v="41"/>
    <s v="Commercial Equipment Services_9620000184_RECON.xlsx"/>
    <n v="100606"/>
    <d v="2021-05-18T00:00:00"/>
    <n v="300.2"/>
    <s v="Not found"/>
    <s v="TBD"/>
    <s v="Requested 6/15/2021"/>
    <n v="9620000184"/>
  </r>
  <r>
    <x v="41"/>
    <s v="Commercial Equipment Services_9620000184_RECON.xlsx"/>
    <n v="100611"/>
    <d v="2021-05-21T00:00:00"/>
    <n v="571.5"/>
    <s v="Not found"/>
    <s v="TBD"/>
    <s v="Requested 6/15/2021"/>
    <n v="9620000184"/>
  </r>
  <r>
    <x v="42"/>
    <s v="Condaxis_9620000186_RECON.xlsx"/>
    <n v="163052"/>
    <d v="2020-05-01T00:00:00"/>
    <n v="405"/>
    <n v="281933"/>
    <s v="Service Call"/>
    <s v=" PAID "/>
    <n v="9620000186"/>
  </r>
  <r>
    <x v="42"/>
    <s v="Condaxis_9620000186_RECON.xlsx"/>
    <n v="163483"/>
    <d v="2020-11-30T00:00:00"/>
    <n v="123.5"/>
    <n v="321768"/>
    <s v="Service Call"/>
    <s v="Case Closed"/>
    <n v="9620000186"/>
  </r>
  <r>
    <x v="42"/>
    <s v="Condaxis_9620000186_RECON.xlsx"/>
    <n v="163343"/>
    <d v="2020-11-30T00:00:00"/>
    <n v="148.19999999999999"/>
    <n v="321768"/>
    <s v="Service Call"/>
    <s v="Case Closed"/>
    <n v="9620000186"/>
  </r>
  <r>
    <x v="43"/>
    <s v="Decatur Espresso_9620000208_RECON.xlsx"/>
    <n v="105309"/>
    <d v="2020-08-13T00:00:00"/>
    <n v="111.09"/>
    <n v="302168"/>
    <s v="Service Call"/>
    <s v="AP posting"/>
    <n v="9620000208"/>
  </r>
  <r>
    <x v="43"/>
    <s v="Decatur Espresso_9620000208_RECON.xlsx"/>
    <n v="105747"/>
    <d v="2020-09-03T00:00:00"/>
    <n v="2724.34"/>
    <n v="307557"/>
    <s v="Service Call"/>
    <n v="0"/>
    <n v="9620000208"/>
  </r>
  <r>
    <x v="43"/>
    <s v="Decatur Espresso_9620000208_RECON.xlsx"/>
    <n v="105818"/>
    <d v="2020-09-08T00:00:00"/>
    <n v="999.18"/>
    <n v="303406"/>
    <s v="Service Call"/>
    <n v="0"/>
    <n v="9620000208"/>
  </r>
  <r>
    <x v="43"/>
    <s v="Decatur Espresso_9620000208_RECON.xlsx"/>
    <n v="105819"/>
    <d v="2020-09-08T00:00:00"/>
    <n v="316.19"/>
    <n v="307911"/>
    <s v="Service Call"/>
    <n v="0"/>
    <n v="9620000208"/>
  </r>
  <r>
    <x v="43"/>
    <s v="Decatur Espresso_9620000208_RECON.xlsx"/>
    <n v="106169"/>
    <d v="2020-09-25T00:00:00"/>
    <n v="134.62"/>
    <n v="0"/>
    <s v="TBD"/>
    <s v="Missing invoice"/>
    <n v="9620000208"/>
  </r>
  <r>
    <x v="43"/>
    <s v="Decatur Espresso_9620000208_RECON.xlsx"/>
    <n v="106956"/>
    <d v="2020-11-05T00:00:00"/>
    <n v="271.61"/>
    <n v="0"/>
    <s v="TBD"/>
    <n v="0"/>
    <n v="9620000208"/>
  </r>
  <r>
    <x v="43"/>
    <s v="Decatur Espresso_9620000208_RECON.xlsx"/>
    <n v="106986"/>
    <d v="2020-11-06T00:00:00"/>
    <n v="406.26"/>
    <n v="0"/>
    <s v="TBD"/>
    <n v="0"/>
    <n v="9620000208"/>
  </r>
  <r>
    <x v="43"/>
    <s v="Decatur Espresso_9620000208_RECON.xlsx"/>
    <n v="107856"/>
    <d v="2020-12-18T00:00:00"/>
    <n v="236.69"/>
    <n v="0"/>
    <s v="TBD"/>
    <n v="0"/>
    <n v="9620000208"/>
  </r>
  <r>
    <x v="43"/>
    <s v="Decatur Espresso_9620000208_RECON.xlsx"/>
    <n v="108175"/>
    <d v="2021-01-05T00:00:00"/>
    <n v="299.25"/>
    <n v="0"/>
    <s v="TBD"/>
    <n v="0"/>
    <n v="9620000208"/>
  </r>
  <r>
    <x v="43"/>
    <s v="Decatur Espresso_9620000208_RECON.xlsx"/>
    <n v="108418"/>
    <d v="2021-01-17T00:00:00"/>
    <n v="2075.17"/>
    <n v="0"/>
    <s v="TBD"/>
    <n v="0"/>
    <n v="9620000208"/>
  </r>
  <r>
    <x v="43"/>
    <s v="Decatur Espresso_9620000208_RECON.xlsx"/>
    <n v="108945"/>
    <d v="2021-02-09T00:00:00"/>
    <n v="619.66"/>
    <n v="0"/>
    <s v="TBD"/>
    <n v="0"/>
    <n v="9620000208"/>
  </r>
  <r>
    <x v="43"/>
    <s v="Decatur Espresso_9620000208_RECON.xlsx"/>
    <n v="110433"/>
    <d v="2021-04-16T00:00:00"/>
    <n v="0"/>
    <n v="0"/>
    <s v="TBD"/>
    <n v="0"/>
    <n v="9620000208"/>
  </r>
  <r>
    <x v="43"/>
    <s v="Decatur Espresso_9620000208_RECON.xlsx"/>
    <n v="111220"/>
    <d v="2021-05-19T00:00:00"/>
    <n v="251.07"/>
    <n v="0"/>
    <s v="TBD"/>
    <n v="0"/>
    <n v="9620000208"/>
  </r>
  <r>
    <x v="43"/>
    <s v="Decatur Espresso_9620000208_RECON.xlsx"/>
    <n v="111228"/>
    <d v="2021-05-19T00:00:00"/>
    <n v="503.26"/>
    <n v="0"/>
    <s v="TBD"/>
    <n v="0"/>
    <n v="9620000208"/>
  </r>
  <r>
    <x v="43"/>
    <s v="Decatur Espresso_9620000208_RECON.xlsx"/>
    <n v="111350"/>
    <d v="2021-05-24T00:00:00"/>
    <n v="252.69"/>
    <n v="0"/>
    <s v="TBD"/>
    <n v="0"/>
    <n v="9620000208"/>
  </r>
  <r>
    <x v="44"/>
    <s v="Diebold Nixdorf_9620056474, 9620054022_RECON.xlsx"/>
    <n v="502293125"/>
    <d v="2020-07-31T00:00:00"/>
    <n v="175"/>
    <n v="0"/>
    <s v="TBD"/>
    <n v="0"/>
    <n v="9620054022"/>
  </r>
  <r>
    <x v="44"/>
    <s v="Diebold Nixdorf_9620056474, 9620054022_RECON.xlsx"/>
    <n v="502300934"/>
    <d v="2020-08-07T00:00:00"/>
    <n v="187.25"/>
    <s v="00257197*"/>
    <s v="PM"/>
    <n v="0"/>
    <n v="9620054022"/>
  </r>
  <r>
    <x v="44"/>
    <s v="Diebold Nixdorf_9620056474, 9620054022_RECON.xlsx"/>
    <n v="502301061"/>
    <d v="2020-08-07T00:00:00"/>
    <n v="175"/>
    <n v="0"/>
    <s v="PM"/>
    <n v="0"/>
    <n v="9620054022"/>
  </r>
  <r>
    <x v="44"/>
    <s v="Diebold Nixdorf_9620056474, 9620054022_RECON.xlsx"/>
    <n v="502303891"/>
    <d v="2020-08-11T00:00:00"/>
    <n v="175"/>
    <n v="0"/>
    <s v="PM"/>
    <n v="0"/>
    <n v="9620054022"/>
  </r>
  <r>
    <x v="44"/>
    <s v="Diebold Nixdorf_9620056474, 9620054022_RECON.xlsx"/>
    <n v="502303888"/>
    <d v="2020-08-11T00:00:00"/>
    <n v="175"/>
    <n v="0"/>
    <s v="PM"/>
    <n v="0"/>
    <n v="9620054022"/>
  </r>
  <r>
    <x v="44"/>
    <s v="Diebold Nixdorf_9620056474, 9620054022_RECON.xlsx"/>
    <n v="502369072"/>
    <d v="2020-10-12T00:00:00"/>
    <n v="608"/>
    <s v="5092303-ENG"/>
    <s v="Install"/>
    <n v="0"/>
    <n v="9620054022"/>
  </r>
  <r>
    <x v="44"/>
    <s v="Diebold Nixdorf_9620056474, 9620054022_RECON.xlsx"/>
    <n v="502369082"/>
    <d v="2020-10-12T00:00:00"/>
    <n v="768"/>
    <n v="0"/>
    <s v="Install"/>
    <n v="0"/>
    <n v="9620054022"/>
  </r>
  <r>
    <x v="44"/>
    <s v="Diebold Nixdorf_9620056474, 9620054022_RECON.xlsx"/>
    <n v="502376693"/>
    <d v="2020-10-20T00:00:00"/>
    <n v="383"/>
    <n v="0"/>
    <s v="Service Call"/>
    <n v="0"/>
    <n v="9620054022"/>
  </r>
  <r>
    <x v="44"/>
    <s v="Diebold Nixdorf_9620056474, 9620054022_RECON.xlsx"/>
    <n v="502376867"/>
    <d v="2020-10-20T00:00:00"/>
    <n v="525.5"/>
    <n v="0"/>
    <s v="Install"/>
    <n v="0"/>
    <n v="9620054022"/>
  </r>
  <r>
    <x v="44"/>
    <s v="Diebold Nixdorf_9620056474, 9620054022_RECON.xlsx"/>
    <n v="502376710"/>
    <d v="2020-10-20T00:00:00"/>
    <n v="616.70000000000005"/>
    <n v="0"/>
    <s v="Service Call"/>
    <n v="0"/>
    <n v="9620054022"/>
  </r>
  <r>
    <x v="44"/>
    <s v="Diebold Nixdorf_9620056474, 9620054022_RECON.xlsx"/>
    <n v="502376881"/>
    <d v="2020-10-20T00:00:00"/>
    <n v="962.5"/>
    <n v="0"/>
    <s v="Install"/>
    <n v="0"/>
    <n v="9620054022"/>
  </r>
  <r>
    <x v="44"/>
    <s v="Diebold Nixdorf_9620056474, 9620054022_RECON.xlsx"/>
    <n v="502378513"/>
    <d v="2020-10-21T00:00:00"/>
    <n v="1128"/>
    <n v="0"/>
    <s v="Install"/>
    <n v="0"/>
    <n v="9620054022"/>
  </r>
  <r>
    <x v="44"/>
    <s v="Diebold Nixdorf_9620056474, 9620054022_RECON.xlsx"/>
    <n v="502378515"/>
    <d v="2020-10-21T00:00:00"/>
    <n v="1308"/>
    <n v="0"/>
    <s v="Install"/>
    <n v="0"/>
    <n v="9620054022"/>
  </r>
  <r>
    <x v="44"/>
    <s v="Diebold Nixdorf_9620056474, 9620054022_RECON.xlsx"/>
    <n v="502378516"/>
    <d v="2020-10-21T00:00:00"/>
    <n v="950"/>
    <n v="0"/>
    <s v="Install"/>
    <n v="0"/>
    <n v="9620054022"/>
  </r>
  <r>
    <x v="44"/>
    <s v="Diebold Nixdorf_9620056474, 9620054022_RECON.xlsx"/>
    <n v="502378518"/>
    <d v="2020-10-21T00:00:00"/>
    <n v="1457.4"/>
    <n v="0"/>
    <s v="Install"/>
    <n v="0"/>
    <n v="9620054022"/>
  </r>
  <r>
    <x v="44"/>
    <s v="Diebold Nixdorf_9620056474, 9620054022_RECON.xlsx"/>
    <n v="502378564"/>
    <d v="2020-10-21T00:00:00"/>
    <n v="1090.2"/>
    <n v="0"/>
    <s v="Install"/>
    <n v="0"/>
    <n v="9620054022"/>
  </r>
  <r>
    <x v="44"/>
    <s v="Diebold Nixdorf_9620056474, 9620054022_RECON.xlsx"/>
    <n v="502389693"/>
    <d v="2020-10-30T00:00:00"/>
    <n v="608"/>
    <n v="0"/>
    <s v="Install"/>
    <n v="0"/>
    <n v="9620054022"/>
  </r>
  <r>
    <x v="44"/>
    <s v="Diebold Nixdorf_9620056474, 9620054022_RECON.xlsx"/>
    <n v="502389694"/>
    <d v="2020-10-30T00:00:00"/>
    <n v="1413"/>
    <n v="0"/>
    <s v="Install"/>
    <n v="0"/>
    <n v="9620054022"/>
  </r>
  <r>
    <x v="44"/>
    <s v="Diebold Nixdorf_9620056474, 9620054022_RECON.xlsx"/>
    <n v="502420509"/>
    <d v="2020-12-02T00:00:00"/>
    <n v="175"/>
    <n v="0"/>
    <s v="PM"/>
    <n v="0"/>
    <n v="9620054022"/>
  </r>
  <r>
    <x v="44"/>
    <s v="Diebold Nixdorf_9620056474, 9620054022_RECON.xlsx"/>
    <n v="502437608"/>
    <d v="2020-12-21T00:00:00"/>
    <n v="5159.84"/>
    <n v="0"/>
    <s v="Install"/>
    <n v="0"/>
    <n v="9620054022"/>
  </r>
  <r>
    <x v="44"/>
    <s v="Diebold Nixdorf_9620056474, 9620054022_RECON.xlsx"/>
    <n v="502455454"/>
    <d v="2021-01-11T00:00:00"/>
    <n v="245.4"/>
    <n v="0"/>
    <s v="TBD"/>
    <n v="0"/>
    <n v="9620054022"/>
  </r>
  <r>
    <x v="44"/>
    <s v="Diebold Nixdorf_9620056474, 9620054022_RECON.xlsx"/>
    <n v="502455722"/>
    <d v="2021-01-11T00:00:00"/>
    <n v="459.72"/>
    <n v="26716"/>
    <s v="Service Call"/>
    <n v="0"/>
    <n v="9620054022"/>
  </r>
  <r>
    <x v="44"/>
    <s v="Diebold Nixdorf_9620056474, 9620054022_RECON.xlsx"/>
    <n v="502455724"/>
    <d v="2021-01-11T00:00:00"/>
    <n v="307"/>
    <n v="2593841"/>
    <s v="Service Call"/>
    <n v="0"/>
    <n v="9620054022"/>
  </r>
  <r>
    <x v="44"/>
    <s v="Diebold Nixdorf_9620056474, 9620054022_RECON.xlsx"/>
    <n v="502455725"/>
    <d v="2021-01-11T00:00:00"/>
    <n v="432.69"/>
    <n v="2596633"/>
    <s v="TBD"/>
    <n v="0"/>
    <n v="9620054022"/>
  </r>
  <r>
    <x v="44"/>
    <s v="Diebold Nixdorf_9620056474, 9620054022_RECON.xlsx"/>
    <n v="502460076"/>
    <d v="2021-01-15T00:00:00"/>
    <n v="1877.4"/>
    <n v="2580230"/>
    <s v="Service Call"/>
    <n v="0"/>
    <n v="9620054022"/>
  </r>
  <r>
    <x v="44"/>
    <s v="Diebold Nixdorf_9620056474, 9620054022_RECON.xlsx"/>
    <n v="502469367"/>
    <d v="2021-01-26T00:00:00"/>
    <n v="812.9"/>
    <n v="46488"/>
    <s v="Service Call"/>
    <n v="0"/>
    <n v="9620054022"/>
  </r>
  <r>
    <x v="44"/>
    <s v="Diebold Nixdorf_9620056474, 9620054022_RECON.xlsx"/>
    <n v="502476486"/>
    <d v="2021-01-29T00:00:00"/>
    <n v="551.4"/>
    <n v="41809"/>
    <s v="Service Call"/>
    <s v="DNP"/>
    <n v="9620054022"/>
  </r>
  <r>
    <x v="44"/>
    <s v="Diebold Nixdorf_9620056474, 9620054022_RECON.xlsx"/>
    <n v="502492410"/>
    <d v="2021-02-17T00:00:00"/>
    <n v="489.94"/>
    <n v="53560"/>
    <s v="Service Call"/>
    <n v="0"/>
    <n v="9620054022"/>
  </r>
  <r>
    <x v="44"/>
    <s v="Diebold Nixdorf_9620056474, 9620054022_RECON.xlsx"/>
    <n v="502495099"/>
    <d v="2021-02-19T00:00:00"/>
    <n v="363.56"/>
    <n v="55361"/>
    <s v="Service Call"/>
    <n v="0"/>
    <n v="9620054022"/>
  </r>
  <r>
    <x v="44"/>
    <s v="Diebold Nixdorf_9620056474, 9620054022_RECON.xlsx"/>
    <n v="502496667"/>
    <d v="2021-02-22T00:00:00"/>
    <n v="1445.73"/>
    <s v=" 966377563-5"/>
    <s v="Service Call"/>
    <n v="0"/>
    <n v="9620054022"/>
  </r>
  <r>
    <x v="44"/>
    <s v="Diebold Nixdorf_9620056474, 9620054022_RECON.xlsx"/>
    <n v="502497697"/>
    <d v="2021-02-23T00:00:00"/>
    <n v="507.51"/>
    <s v="966377880-5"/>
    <s v="Service Call"/>
    <n v="0"/>
    <n v="9620054022"/>
  </r>
  <r>
    <x v="44"/>
    <s v="Diebold Nixdorf_9620056474, 9620054022_RECON.xlsx"/>
    <n v="502498048"/>
    <d v="2021-02-23T00:00:00"/>
    <n v="884.6"/>
    <n v="0"/>
    <s v="TBD"/>
    <n v="0"/>
    <n v="9620054022"/>
  </r>
  <r>
    <x v="44"/>
    <s v="Diebold Nixdorf_9620056474, 9620054022_RECON.xlsx"/>
    <n v="502505160"/>
    <d v="2021-02-28T00:00:00"/>
    <n v="1411.27"/>
    <n v="341627"/>
    <s v="Service Call"/>
    <n v="0"/>
    <n v="9620054022"/>
  </r>
  <r>
    <x v="44"/>
    <s v="Diebold Nixdorf_9620056474, 9620054022_RECON.xlsx"/>
    <n v="502516409"/>
    <d v="2021-03-12T00:00:00"/>
    <n v="383"/>
    <n v="61405"/>
    <s v="Service Call"/>
    <n v="0"/>
    <n v="9620054022"/>
  </r>
  <r>
    <x v="44"/>
    <s v="Diebold Nixdorf_9620056474, 9620054022_RECON.xlsx"/>
    <n v="502522975"/>
    <d v="2021-03-19T00:00:00"/>
    <n v="455.81"/>
    <s v="966391151-5"/>
    <s v="Service Call"/>
    <n v="0"/>
    <n v="9620054022"/>
  </r>
  <r>
    <x v="44"/>
    <s v="Diebold Nixdorf_9620056474, 9620054022_RECON.xlsx"/>
    <n v="502546646"/>
    <d v="2021-04-09T00:00:00"/>
    <n v="618.83000000000004"/>
    <s v="966397597-5"/>
    <s v="Service Call"/>
    <n v="0"/>
    <n v="9620054022"/>
  </r>
  <r>
    <x v="44"/>
    <s v="Diebold Nixdorf_9620056474, 9620054022_RECON.xlsx"/>
    <n v="502550566"/>
    <d v="2021-04-15T00:00:00"/>
    <n v="263.06"/>
    <s v="966400191-5"/>
    <s v="Service Call"/>
    <n v="0"/>
    <n v="9620054022"/>
  </r>
  <r>
    <x v="44"/>
    <s v="Diebold Nixdorf_9620056474, 9620054022_RECON.xlsx"/>
    <n v="502554789"/>
    <d v="2021-04-20T00:00:00"/>
    <n v="389.32"/>
    <s v="966404101-4"/>
    <s v="Service Call"/>
    <n v="0"/>
    <n v="9620054022"/>
  </r>
  <r>
    <x v="44"/>
    <s v="Diebold Nixdorf_9620056474, 9620054022_RECON.xlsx"/>
    <n v="502554948"/>
    <d v="2021-04-20T00:00:00"/>
    <n v="548.04999999999995"/>
    <s v="n/a"/>
    <s v="TBD"/>
    <n v="0"/>
    <n v="9620054022"/>
  </r>
  <r>
    <x v="44"/>
    <s v="Diebold Nixdorf_9620056474, 9620054022_RECON.xlsx"/>
    <n v="502560742"/>
    <d v="2021-04-26T00:00:00"/>
    <n v="196.43"/>
    <s v="billed work"/>
    <s v="TBD"/>
    <n v="0"/>
    <n v="9620054022"/>
  </r>
  <r>
    <x v="44"/>
    <s v="Diebold Nixdorf_9620056474, 9620054022_RECON.xlsx"/>
    <n v="502561225"/>
    <d v="2021-04-26T00:00:00"/>
    <n v="317.67"/>
    <n v="364383"/>
    <s v="Service Call"/>
    <n v="0"/>
    <n v="9620054022"/>
  </r>
  <r>
    <x v="44"/>
    <s v="Diebold Nixdorf_9620056474, 9620054022_RECON.xlsx"/>
    <n v="502563163"/>
    <d v="2021-04-27T00:00:00"/>
    <n v="428.3"/>
    <s v="N/A"/>
    <s v="TBD"/>
    <n v="0"/>
    <n v="9620054022"/>
  </r>
  <r>
    <x v="44"/>
    <s v="Diebold Nixdorf_9620056474, 9620054022_RECON.xlsx"/>
    <n v="502564639"/>
    <d v="2021-04-28T00:00:00"/>
    <n v="389.7"/>
    <s v="966401320-5"/>
    <s v="Service Call"/>
    <n v="0"/>
    <n v="9620054022"/>
  </r>
  <r>
    <x v="44"/>
    <s v="Diebold Nixdorf_9620056474, 9620054022_RECON.xlsx"/>
    <n v="502569484"/>
    <d v="2021-04-30T00:00:00"/>
    <n v="4687.82"/>
    <s v="966401591-4"/>
    <s v="Service Call"/>
    <n v="0"/>
    <n v="9620054022"/>
  </r>
  <r>
    <x v="44"/>
    <s v="Diebold Nixdorf_9620056474, 9620054022_RECON.xlsx"/>
    <n v="502574885"/>
    <d v="2021-05-07T00:00:00"/>
    <n v="580.22"/>
    <s v="966408320-4"/>
    <s v="Service Call"/>
    <n v="0"/>
    <n v="9620054022"/>
  </r>
  <r>
    <x v="44"/>
    <s v="Diebold Nixdorf_9620056474, 9620054022_RECON.xlsx"/>
    <n v="502583437"/>
    <d v="2021-05-18T00:00:00"/>
    <n v="675.68"/>
    <n v="374692"/>
    <s v="TBD"/>
    <n v="0"/>
    <n v="9620054022"/>
  </r>
  <r>
    <x v="44"/>
    <s v="Diebold Nixdorf_9620056474, 9620054022_RECON.xlsx"/>
    <n v="502588886"/>
    <d v="2021-05-24T00:00:00"/>
    <n v="384.78"/>
    <n v="91296"/>
    <s v="Service Call"/>
    <n v="0"/>
    <n v="9620054022"/>
  </r>
  <r>
    <x v="45"/>
    <s v="Dispenser Services_9620000218_RECON.xlsx"/>
    <n v="764189"/>
    <d v="2020-12-11T00:00:00"/>
    <n v="219.5"/>
    <n v="324296"/>
    <s v="Service Call"/>
    <n v="0"/>
    <n v="9620000218"/>
  </r>
  <r>
    <x v="45"/>
    <s v="Dispenser Services_9620000218_RECON.xlsx"/>
    <n v="764466"/>
    <d v="2021-01-12T00:00:00"/>
    <n v="395"/>
    <n v="209860"/>
    <s v="PM"/>
    <n v="0"/>
    <n v="9620000218"/>
  </r>
  <r>
    <x v="45"/>
    <s v="Dispenser Services_9620000218_RECON.xlsx"/>
    <n v="764471"/>
    <d v="2021-01-12T00:00:00"/>
    <n v="275"/>
    <n v="169755"/>
    <s v="PM"/>
    <n v="0"/>
    <n v="9620000218"/>
  </r>
  <r>
    <x v="45"/>
    <s v="Dispenser Services_9620000218_RECON.xlsx"/>
    <n v="764495"/>
    <d v="2021-01-14T00:00:00"/>
    <n v="395"/>
    <n v="112301"/>
    <s v="PM"/>
    <n v="0"/>
    <n v="9620000218"/>
  </r>
  <r>
    <x v="45"/>
    <s v="Dispenser Services_9620000218_RECON.xlsx"/>
    <n v="764496"/>
    <d v="2021-01-14T00:00:00"/>
    <n v="275"/>
    <n v="204235"/>
    <s v="PM"/>
    <n v="0"/>
    <n v="9620000218"/>
  </r>
  <r>
    <x v="45"/>
    <s v="Dispenser Services_9620000218_RECON.xlsx"/>
    <n v="764500"/>
    <d v="2021-01-14T00:00:00"/>
    <n v="324.44"/>
    <n v="12982003"/>
    <s v="Service Call"/>
    <n v="0"/>
    <n v="9620000218"/>
  </r>
  <r>
    <x v="45"/>
    <s v="Dispenser Services_9620000218_RECON.xlsx"/>
    <n v="764501"/>
    <d v="2021-01-14T00:00:00"/>
    <n v="471.25"/>
    <n v="343238"/>
    <s v="Service Call"/>
    <n v="0"/>
    <n v="9620000218"/>
  </r>
  <r>
    <x v="45"/>
    <s v="Dispenser Services_9620000218_RECON.xlsx"/>
    <n v="764503"/>
    <d v="2021-01-14T00:00:00"/>
    <n v="179.75"/>
    <n v="343645"/>
    <s v="Service Call"/>
    <n v="0"/>
    <n v="9620000218"/>
  </r>
  <r>
    <x v="45"/>
    <s v="Dispenser Services_9620000218_RECON.xlsx"/>
    <n v="764586"/>
    <d v="2021-01-21T00:00:00"/>
    <n v="278.63"/>
    <n v="123653"/>
    <s v="PM"/>
    <n v="0"/>
    <n v="9620000218"/>
  </r>
  <r>
    <x v="45"/>
    <s v="Dispenser Services_9620000218_RECON.xlsx"/>
    <n v="764589"/>
    <d v="2021-01-21T00:00:00"/>
    <n v="282.25"/>
    <n v="187745"/>
    <s v="PM"/>
    <n v="0"/>
    <n v="9620000218"/>
  </r>
  <r>
    <x v="45"/>
    <s v="Dispenser Services_9620000218_RECON.xlsx"/>
    <n v="764594"/>
    <d v="2021-01-21T00:00:00"/>
    <n v="736.18"/>
    <n v="326741"/>
    <s v="Service Call"/>
    <n v="0"/>
    <n v="9620000218"/>
  </r>
  <r>
    <x v="45"/>
    <s v="Dispenser Services_9620000218_RECON.xlsx"/>
    <n v="764595"/>
    <d v="2021-01-21T00:00:00"/>
    <n v="221.51"/>
    <n v="344510"/>
    <s v="Service Call"/>
    <n v="0"/>
    <n v="9620000218"/>
  </r>
  <r>
    <x v="45"/>
    <s v="Dispenser Services_9620000218_RECON.xlsx"/>
    <n v="764596"/>
    <d v="2021-01-21T00:00:00"/>
    <n v="504"/>
    <s v="2761-10096"/>
    <s v="TBD"/>
    <n v="0"/>
    <n v="9620000218"/>
  </r>
  <r>
    <x v="45"/>
    <s v="Dispenser Services_9620000218_RECON.xlsx"/>
    <n v="764598"/>
    <d v="2021-01-21T00:00:00"/>
    <n v="504.74"/>
    <n v="345027"/>
    <s v="Service Call"/>
    <n v="0"/>
    <n v="9620000218"/>
  </r>
  <r>
    <x v="45"/>
    <s v="Dispenser Services_9620000218_RECON.xlsx"/>
    <n v="764671"/>
    <d v="2021-01-28T00:00:00"/>
    <n v="275"/>
    <n v="206409"/>
    <s v="PM"/>
    <n v="0"/>
    <n v="9620000218"/>
  </r>
  <r>
    <x v="45"/>
    <s v="Dispenser Services_9620000218_RECON.xlsx"/>
    <n v="764859"/>
    <d v="2021-02-17T00:00:00"/>
    <n v="687.03"/>
    <s v="1016034-0-CONS"/>
    <s v="TBD"/>
    <n v="0"/>
    <n v="9620000218"/>
  </r>
  <r>
    <x v="45"/>
    <s v="Dispenser Services_9620000218_RECON.xlsx"/>
    <n v="764912"/>
    <d v="2021-02-22T00:00:00"/>
    <n v="261.51"/>
    <s v="1016034-0-CONS"/>
    <s v="TBD"/>
    <n v="0"/>
    <n v="9620000218"/>
  </r>
  <r>
    <x v="45"/>
    <s v="Dispenser Services_9620000218_RECON.xlsx"/>
    <n v="764951"/>
    <d v="2021-02-25T00:00:00"/>
    <n v="210.51"/>
    <s v="2752-460"/>
    <s v="TBD"/>
    <n v="0"/>
    <n v="9620000218"/>
  </r>
  <r>
    <x v="45"/>
    <s v="Dispenser Services_9620000218_RECON.xlsx"/>
    <n v="764953"/>
    <d v="2021-02-25T00:00:00"/>
    <n v="159.75"/>
    <s v="2752-644"/>
    <s v="TBD"/>
    <n v="0"/>
    <n v="9620000218"/>
  </r>
  <r>
    <x v="45"/>
    <s v="Dispenser Services_9620000218_RECON.xlsx"/>
    <n v="764979"/>
    <d v="2021-03-02T00:00:00"/>
    <n v="684"/>
    <s v="2752-450"/>
    <s v="TBD"/>
    <n v="0"/>
    <n v="9620000218"/>
  </r>
  <r>
    <x v="45"/>
    <s v="Dispenser Services_9620000218_RECON.xlsx"/>
    <n v="764980"/>
    <d v="2021-03-02T00:00:00"/>
    <n v="504"/>
    <s v="2752-2721"/>
    <s v="TBD"/>
    <n v="0"/>
    <n v="9620000218"/>
  </r>
  <r>
    <x v="45"/>
    <s v="Dispenser Services_9620000218_RECON.xlsx"/>
    <n v="765048"/>
    <d v="2021-03-09T00:00:00"/>
    <n v="100"/>
    <n v="175522"/>
    <s v="PM"/>
    <n v="0"/>
    <n v="9620000218"/>
  </r>
  <r>
    <x v="45"/>
    <s v="Dispenser Services_9620000218_RECON.xlsx"/>
    <n v="765135"/>
    <d v="2021-03-16T00:00:00"/>
    <n v="864"/>
    <s v="2752-439"/>
    <s v="TBD"/>
    <n v="0"/>
    <n v="9620000218"/>
  </r>
  <r>
    <x v="45"/>
    <s v="Dispenser Services_9620000218_RECON.xlsx"/>
    <n v="765163"/>
    <d v="2021-03-18T00:00:00"/>
    <n v="150"/>
    <n v="183693"/>
    <s v="PM"/>
    <n v="0"/>
    <n v="9620000218"/>
  </r>
  <r>
    <x v="45"/>
    <s v="Dispenser Services_9620000218_RECON.xlsx"/>
    <n v="765166"/>
    <d v="2021-03-18T00:00:00"/>
    <n v="394.25"/>
    <n v="221059"/>
    <s v="PM"/>
    <n v="0"/>
    <n v="9620000218"/>
  </r>
  <r>
    <x v="45"/>
    <s v="Dispenser Services_9620000218_RECON.xlsx"/>
    <n v="765167"/>
    <d v="2021-03-18T00:00:00"/>
    <n v="354.5"/>
    <n v="187725"/>
    <s v="PM"/>
    <n v="0"/>
    <n v="9620000218"/>
  </r>
  <r>
    <x v="45"/>
    <s v="Dispenser Services_9620000218_RECON.xlsx"/>
    <n v="765203"/>
    <d v="2021-03-23T00:00:00"/>
    <n v="159.88"/>
    <n v="327960"/>
    <s v="Service Call"/>
    <n v="0"/>
    <n v="9620000218"/>
  </r>
  <r>
    <x v="45"/>
    <s v="Dispenser Services_9620000218_RECON.xlsx"/>
    <n v="765208"/>
    <d v="2021-03-23T00:00:00"/>
    <n v="150"/>
    <n v="358979"/>
    <s v="Service Call"/>
    <n v="0"/>
    <n v="9620000218"/>
  </r>
  <r>
    <x v="45"/>
    <s v="Dispenser Services_9620000218_RECON.xlsx"/>
    <n v="765210"/>
    <d v="2021-03-23T00:00:00"/>
    <n v="200"/>
    <s v="2752-644-2"/>
    <s v="TBD"/>
    <n v="0"/>
    <n v="9620000218"/>
  </r>
  <r>
    <x v="45"/>
    <s v="Dispenser Services_9620000218_RECON.xlsx"/>
    <n v="765211"/>
    <d v="2021-03-23T00:00:00"/>
    <n v="288.01"/>
    <n v="360806"/>
    <s v="Service Call"/>
    <n v="0"/>
    <n v="9620000218"/>
  </r>
  <r>
    <x v="45"/>
    <s v="Dispenser Services_9620000218_RECON.xlsx"/>
    <n v="765215"/>
    <d v="2021-03-23T00:00:00"/>
    <n v="119.81"/>
    <n v="208100"/>
    <s v="PM"/>
    <n v="0"/>
    <n v="9620000218"/>
  </r>
  <r>
    <x v="45"/>
    <s v="Dispenser Services_9620000218_RECON.xlsx"/>
    <n v="765216"/>
    <d v="2021-03-23T00:00:00"/>
    <n v="150"/>
    <s v="2752-2762"/>
    <s v="TBD"/>
    <n v="0"/>
    <n v="9620000218"/>
  </r>
  <r>
    <x v="45"/>
    <s v="Dispenser Services_9620000218_RECON.xlsx"/>
    <n v="765321"/>
    <d v="2021-04-05T00:00:00"/>
    <n v="684"/>
    <s v="2752-454"/>
    <s v="TBD"/>
    <n v="0"/>
    <n v="9620000218"/>
  </r>
  <r>
    <x v="45"/>
    <s v="Dispenser Services_9620000218_RECON.xlsx"/>
    <n v="765366"/>
    <d v="2021-04-08T00:00:00"/>
    <n v="457.16"/>
    <s v="2752-454"/>
    <s v="TBD"/>
    <n v="0"/>
    <n v="9620000218"/>
  </r>
  <r>
    <x v="45"/>
    <s v="Dispenser Services_9620000218_RECON.xlsx"/>
    <n v="765403"/>
    <d v="2021-04-12T00:00:00"/>
    <n v="110.41"/>
    <n v="0"/>
    <s v="TBD"/>
    <n v="0"/>
    <n v="9620000218"/>
  </r>
  <r>
    <x v="45"/>
    <s v="Dispenser Services_9620000218_RECON.xlsx"/>
    <n v="765454"/>
    <d v="2021-04-19T00:00:00"/>
    <n v="160"/>
    <n v="234893"/>
    <s v="PM"/>
    <n v="0"/>
    <n v="9620000218"/>
  </r>
  <r>
    <x v="45"/>
    <s v="Dispenser Services_9620000218_RECON.xlsx"/>
    <n v="765503"/>
    <d v="2021-04-23T00:00:00"/>
    <n v="684"/>
    <s v="2752-452"/>
    <s v="TBD"/>
    <n v="0"/>
    <n v="9620000218"/>
  </r>
  <r>
    <x v="45"/>
    <s v="Dispenser Services_9620000218_RECON.xlsx"/>
    <n v="765504"/>
    <d v="2021-04-23T00:00:00"/>
    <n v="119.75"/>
    <n v="369144"/>
    <s v="Service Call"/>
    <n v="0"/>
    <n v="9620000218"/>
  </r>
  <r>
    <x v="45"/>
    <s v="Dispenser Services_9620000218_RECON.xlsx"/>
    <n v="765507"/>
    <d v="2021-04-23T00:00:00"/>
    <n v="684"/>
    <s v="2752-318"/>
    <s v="TBD"/>
    <n v="0"/>
    <n v="9620000218"/>
  </r>
  <r>
    <x v="45"/>
    <s v="Dispenser Services_9620000218_RECON.xlsx"/>
    <n v="765511"/>
    <d v="2021-04-23T00:00:00"/>
    <n v="261.38"/>
    <n v="368997"/>
    <s v="Service Call"/>
    <n v="0"/>
    <n v="9620000218"/>
  </r>
  <r>
    <x v="45"/>
    <s v="Dispenser Services_9620000218_RECON.xlsx"/>
    <n v="765513"/>
    <d v="2021-04-23T00:00:00"/>
    <n v="40"/>
    <n v="369145"/>
    <s v="Service Call"/>
    <n v="0"/>
    <n v="9620000218"/>
  </r>
  <r>
    <x v="45"/>
    <s v="Dispenser Services_9620000218_RECON.xlsx"/>
    <n v="765537"/>
    <d v="2021-04-27T00:00:00"/>
    <n v="119.75"/>
    <n v="304180"/>
    <s v="PM"/>
    <n v="0"/>
    <n v="9620000218"/>
  </r>
  <r>
    <x v="45"/>
    <s v="Dispenser Services_9620000218_RECON.xlsx"/>
    <n v="765584"/>
    <d v="2021-04-30T00:00:00"/>
    <n v="150"/>
    <s v="2752-2762"/>
    <s v="TBD"/>
    <n v="0"/>
    <n v="9620000218"/>
  </r>
  <r>
    <x v="45"/>
    <s v="Dispenser Services_9620000218_RECON.xlsx"/>
    <n v="765605"/>
    <d v="2021-05-05T00:00:00"/>
    <n v="354.5"/>
    <n v="169644"/>
    <s v="PM"/>
    <n v="0"/>
    <n v="9620000218"/>
  </r>
  <r>
    <x v="45"/>
    <s v="Dispenser Services_9620000218_RECON.xlsx"/>
    <n v="765606"/>
    <d v="2021-05-05T00:00:00"/>
    <n v="239"/>
    <n v="169648"/>
    <s v="PM"/>
    <n v="0"/>
    <n v="9620000218"/>
  </r>
  <r>
    <x v="45"/>
    <s v="Dispenser Services_9620000218_RECON.xlsx"/>
    <n v="765778"/>
    <d v="2021-05-21T00:00:00"/>
    <n v="150"/>
    <n v="376222"/>
    <s v="Service Call"/>
    <n v="0"/>
    <n v="9620000218"/>
  </r>
  <r>
    <x v="45"/>
    <s v="Dispenser Services_9620000218_RECON.xlsx"/>
    <n v="765783"/>
    <d v="2021-05-21T00:00:00"/>
    <n v="438.89"/>
    <n v="376622"/>
    <s v="Service Call"/>
    <n v="0"/>
    <n v="9620000218"/>
  </r>
  <r>
    <x v="45"/>
    <s v="Dispenser Services_9620000218_RECON.xlsx"/>
    <n v="765816"/>
    <d v="2021-05-25T00:00:00"/>
    <n v="281.38"/>
    <n v="377577"/>
    <s v="Service Call"/>
    <n v="0"/>
    <n v="9620000218"/>
  </r>
  <r>
    <x v="45"/>
    <s v="Dispenser Services_9620000218_RECON.xlsx"/>
    <n v="765832"/>
    <d v="2021-05-27T00:00:00"/>
    <n v="324"/>
    <s v="2752-2762"/>
    <s v="TBD"/>
    <n v="0"/>
    <n v="9620000218"/>
  </r>
  <r>
    <x v="45"/>
    <s v="Dispenser Services_9620000218_RECON.xlsx"/>
    <n v="761410"/>
    <d v="2020-05-21T00:00:00"/>
    <n v="175"/>
    <n v="138785"/>
    <s v="PM"/>
    <n v="0"/>
    <n v="9620000218"/>
  </r>
  <r>
    <x v="45"/>
    <s v="Dispenser Services_9620000218_RECON.xlsx"/>
    <n v="762500"/>
    <d v="2020-08-18T00:00:00"/>
    <n v="348"/>
    <n v="138849"/>
    <s v="PM"/>
    <n v="0"/>
    <n v="9620000218"/>
  </r>
  <r>
    <x v="45"/>
    <s v="Dispenser Services_9620000218_RECON.xlsx"/>
    <n v="762954"/>
    <d v="2020-09-08T00:00:00"/>
    <n v="992.71"/>
    <n v="373177"/>
    <s v="Service Call"/>
    <n v="0"/>
    <n v="9620000218"/>
  </r>
  <r>
    <x v="45"/>
    <s v="Dispenser Services_9620000218_RECON.xlsx"/>
    <n v="763302"/>
    <d v="2020-10-02T00:00:00"/>
    <n v="117.17000000000002"/>
    <n v="12861963"/>
    <s v="Service Call"/>
    <n v="0"/>
    <n v="9620000218"/>
  </r>
  <r>
    <x v="45"/>
    <s v="Dispenser Services_9620000218_RECON.xlsx"/>
    <n v="763559"/>
    <d v="2020-10-22T00:00:00"/>
    <n v="191.92"/>
    <n v="4500468184"/>
    <s v="Install"/>
    <n v="0"/>
    <n v="9620000218"/>
  </r>
  <r>
    <x v="45"/>
    <s v="Dispenser Services_9620000218_RECON.xlsx"/>
    <n v="763882"/>
    <d v="2020-11-13T00:00:00"/>
    <n v="150"/>
    <n v="318823"/>
    <s v="Service Call"/>
    <n v="0"/>
    <n v="9620000218"/>
  </r>
  <r>
    <x v="45"/>
    <s v="Dispenser Services_9620000218_RECON.xlsx"/>
    <n v="764695"/>
    <d v="2021-02-02T00:00:00"/>
    <n v="275.02999999999997"/>
    <n v="346641"/>
    <s v="Service Call"/>
    <n v="0"/>
    <n v="9620000218"/>
  </r>
  <r>
    <x v="45"/>
    <s v="Dispenser Services_9620000218_RECON.xlsx"/>
    <n v="764802"/>
    <d v="2021-02-11T00:00:00"/>
    <n v="328.53"/>
    <n v="349435"/>
    <s v="Service Call"/>
    <n v="0"/>
    <n v="9620000218"/>
  </r>
  <r>
    <x v="45"/>
    <s v="Dispenser Services_9620000218_RECON.xlsx"/>
    <n v="764874"/>
    <d v="2021-02-22T00:00:00"/>
    <n v="404.25"/>
    <s v="RF39"/>
    <s v="TBD"/>
    <n v="0"/>
    <n v="9620000218"/>
  </r>
  <r>
    <x v="45"/>
    <s v="Dispenser Services_9620000218_RECON.xlsx"/>
    <n v="764875"/>
    <d v="2021-02-22T00:00:00"/>
    <n v="684"/>
    <s v="RF45"/>
    <s v="TBD"/>
    <n v="0"/>
    <n v="9620000218"/>
  </r>
  <r>
    <x v="45"/>
    <s v="Dispenser Services_9620000218_RECON.xlsx"/>
    <n v="764883"/>
    <d v="2021-02-22T00:00:00"/>
    <n v="424.77"/>
    <n v="351467"/>
    <s v="Service Call"/>
    <n v="0"/>
    <n v="9620000218"/>
  </r>
  <r>
    <x v="45"/>
    <s v="Dispenser Services_9620000218_RECON.xlsx"/>
    <n v="764886"/>
    <d v="2021-02-22T00:00:00"/>
    <n v="545.73"/>
    <n v="352990"/>
    <s v="Service Call"/>
    <n v="0"/>
    <n v="9620000218"/>
  </r>
  <r>
    <x v="45"/>
    <s v="Dispenser Services_9620000218_RECON.xlsx"/>
    <n v="764890"/>
    <d v="2021-02-22T00:00:00"/>
    <n v="173.01"/>
    <n v="353390"/>
    <s v="Service Call"/>
    <n v="0"/>
    <n v="9620000218"/>
  </r>
  <r>
    <x v="45"/>
    <s v="Dispenser Services_9620000218_RECON.xlsx"/>
    <n v="764956"/>
    <d v="2021-03-02T00:00:00"/>
    <n v="354.5"/>
    <n v="206315"/>
    <s v="PM"/>
    <n v="0"/>
    <n v="9620000218"/>
  </r>
  <r>
    <x v="45"/>
    <s v="Dispenser Services_9620000218_RECON.xlsx"/>
    <n v="764998"/>
    <d v="2021-03-04T00:00:00"/>
    <n v="354.5"/>
    <n v="203439"/>
    <s v="PM"/>
    <n v="0"/>
    <n v="9620000218"/>
  </r>
  <r>
    <x v="45"/>
    <s v="Dispenser Services_9620000218_RECON.xlsx"/>
    <n v="764999"/>
    <d v="2021-03-04T00:00:00"/>
    <n v="245.25"/>
    <n v="224901"/>
    <s v="PM"/>
    <n v="0"/>
    <n v="9620000218"/>
  </r>
  <r>
    <x v="45"/>
    <s v="Dispenser Services_9620000218_RECON.xlsx"/>
    <n v="765006"/>
    <d v="2021-03-04T00:00:00"/>
    <n v="159.75"/>
    <n v="356713"/>
    <s v="Service Call"/>
    <n v="0"/>
    <n v="9620000218"/>
  </r>
  <r>
    <x v="45"/>
    <s v="Dispenser Services_9620000218_RECON.xlsx"/>
    <n v="765142"/>
    <d v="2021-03-18T00:00:00"/>
    <n v="275"/>
    <n v="209887"/>
    <s v="PM"/>
    <n v="0"/>
    <n v="9620000218"/>
  </r>
  <r>
    <x v="45"/>
    <s v="Dispenser Services_9620000218_RECON.xlsx"/>
    <n v="765178"/>
    <d v="2021-03-23T00:00:00"/>
    <n v="159.75"/>
    <n v="224922"/>
    <s v="PM"/>
    <n v="0"/>
    <n v="9620000218"/>
  </r>
  <r>
    <x v="45"/>
    <s v="Dispenser Services_9620000218_RECON.xlsx"/>
    <n v="765289"/>
    <d v="2021-03-31T00:00:00"/>
    <n v="252.13"/>
    <s v="M15452"/>
    <s v="TBD"/>
    <n v="0"/>
    <n v="9620000218"/>
  </r>
  <r>
    <x v="45"/>
    <s v="Dispenser Services_9620000218_RECON.xlsx"/>
    <n v="765315"/>
    <d v="2021-04-05T00:00:00"/>
    <n v="199.75"/>
    <n v="363707"/>
    <s v="Service Call"/>
    <n v="0"/>
    <n v="9620000218"/>
  </r>
  <r>
    <x v="45"/>
    <s v="Dispenser Services_9620000218_RECON.xlsx"/>
    <n v="765318"/>
    <d v="2021-04-05T00:00:00"/>
    <n v="150"/>
    <n v="404497"/>
    <s v="TBD"/>
    <n v="0"/>
    <n v="9620000218"/>
  </r>
  <r>
    <x v="45"/>
    <s v="Dispenser Services_9620000218_RECON.xlsx"/>
    <n v="765437"/>
    <d v="2021-04-19T00:00:00"/>
    <n v="399.63"/>
    <s v="BW11"/>
    <s v="TBD"/>
    <n v="0"/>
    <n v="9620000218"/>
  </r>
  <r>
    <x v="45"/>
    <s v="Dispenser Services_9620000218_RECON.xlsx"/>
    <n v="765440"/>
    <d v="2021-04-19T00:00:00"/>
    <n v="504.25"/>
    <s v="1016768-0-CONS"/>
    <s v="Install"/>
    <n v="0"/>
    <n v="9620000218"/>
  </r>
  <r>
    <x v="45"/>
    <s v="Dispenser Services_9620000218_RECON.xlsx"/>
    <n v="765461"/>
    <s v="04.21.21"/>
    <n v="185.13"/>
    <n v="366025"/>
    <s v="Service Call"/>
    <n v="0"/>
    <n v="9620000218"/>
  </r>
  <r>
    <x v="45"/>
    <s v="Dispenser Services_9620000218_RECON.xlsx"/>
    <n v="765546"/>
    <d v="2021-04-30T00:00:00"/>
    <n v="275"/>
    <n v="202631"/>
    <s v="PM"/>
    <n v="0"/>
    <n v="9620000218"/>
  </r>
  <r>
    <x v="45"/>
    <s v="Dispenser Services_9620000218_RECON.xlsx"/>
    <n v="765663"/>
    <d v="2021-05-11T00:00:00"/>
    <n v="275"/>
    <n v="224572"/>
    <s v="PM"/>
    <n v="0"/>
    <n v="9620000218"/>
  </r>
  <r>
    <x v="45"/>
    <s v="Dispenser Services_9620000218_RECON.xlsx"/>
    <n v="765732"/>
    <d v="2021-05-18T00:00:00"/>
    <n v="20"/>
    <n v="372127"/>
    <s v="PM"/>
    <n v="0"/>
    <n v="9620000218"/>
  </r>
  <r>
    <x v="45"/>
    <s v="Dispenser Services_9620000218_RECON.xlsx"/>
    <n v="765733"/>
    <d v="2021-05-18T00:00:00"/>
    <n v="181.51"/>
    <n v="372128"/>
    <s v="PM"/>
    <n v="0"/>
    <n v="9620000218"/>
  </r>
  <r>
    <x v="45"/>
    <s v="Dispenser Services_9620000218_RECON.xlsx"/>
    <n v="765741"/>
    <d v="2021-05-18T00:00:00"/>
    <n v="159.75"/>
    <n v="376289"/>
    <s v="Service Call"/>
    <n v="0"/>
    <n v="9620000218"/>
  </r>
  <r>
    <x v="45"/>
    <s v="Dispenser Services_9620000218_RECON.xlsx"/>
    <n v="765757"/>
    <d v="2021-05-21T00:00:00"/>
    <n v="311.75"/>
    <s v="M15559"/>
    <s v="TBD"/>
    <n v="0"/>
    <n v="9620000218"/>
  </r>
  <r>
    <x v="45"/>
    <s v="Dispenser Services_9620000218_RECON.xlsx"/>
    <n v="765759"/>
    <d v="2021-05-21T00:00:00"/>
    <n v="121.63"/>
    <n v="167192"/>
    <s v="PM"/>
    <n v="0"/>
    <n v="9620000218"/>
  </r>
  <r>
    <x v="45"/>
    <s v="Dispenser Services_9620000218_RECON.xlsx"/>
    <n v="765765"/>
    <d v="2021-05-21T00:00:00"/>
    <n v="288.51"/>
    <n v="376228"/>
    <s v="Service Call"/>
    <n v="0"/>
    <n v="9620000218"/>
  </r>
  <r>
    <x v="45"/>
    <s v="Dispenser Services_9620000218_RECON.xlsx"/>
    <n v="765769"/>
    <d v="2021-05-21T00:00:00"/>
    <n v="268.88"/>
    <n v="376951"/>
    <s v="Service Call"/>
    <n v="0"/>
    <n v="9620000218"/>
  </r>
  <r>
    <x v="45"/>
    <s v="Dispenser Services_9620000218_RECON.xlsx"/>
    <n v="765797"/>
    <d v="2021-05-25T00:00:00"/>
    <n v="275"/>
    <n v="222471"/>
    <s v="PM"/>
    <n v="0"/>
    <n v="9620000218"/>
  </r>
  <r>
    <x v="45"/>
    <s v="Dispenser Services_9620000218_RECON.xlsx"/>
    <n v="765803"/>
    <d v="2021-05-25T00:00:00"/>
    <n v="150"/>
    <n v="376588"/>
    <s v="Service Call"/>
    <n v="0"/>
    <n v="9620000218"/>
  </r>
  <r>
    <x v="45"/>
    <s v="Dispenser Services_9620000218_RECON.xlsx"/>
    <n v="765804"/>
    <d v="2021-05-25T00:00:00"/>
    <n v="491.39"/>
    <n v="376888"/>
    <s v="Service Call"/>
    <n v="0"/>
    <n v="9620000218"/>
  </r>
  <r>
    <x v="45"/>
    <s v="Dispenser Services_9620000218_RECON.xlsx"/>
    <n v="765809"/>
    <d v="2021-05-25T00:00:00"/>
    <n v="346.1"/>
    <n v="377839"/>
    <s v="Service Call"/>
    <n v="0"/>
    <n v="9620000218"/>
  </r>
  <r>
    <x v="45"/>
    <s v="Dispenser Services_9620000218_RECON.xlsx"/>
    <n v="765907"/>
    <d v="2021-06-08T00:00:00"/>
    <n v="221.51"/>
    <n v="379540"/>
    <s v="Service Call"/>
    <n v="0"/>
    <n v="9620000218"/>
  </r>
  <r>
    <x v="45"/>
    <s v="Dispenser Services_9620000218_RECON.xlsx"/>
    <n v="765916"/>
    <d v="2021-06-08T00:00:00"/>
    <n v="304.22000000000003"/>
    <n v="380577"/>
    <s v="Service Call"/>
    <n v="0"/>
    <n v="9620000218"/>
  </r>
  <r>
    <x v="46"/>
    <s v="Do It All Maintenance Repair_9620035814, 9620056993_RECON.xlsx"/>
    <n v="2287"/>
    <d v="2020-10-30T00:00:00"/>
    <n v="395"/>
    <n v="0"/>
    <s v="PM"/>
    <s v="DNP"/>
    <n v="9620035814"/>
  </r>
  <r>
    <x v="46"/>
    <s v="Do It All Maintenance Repair_9620035814, 9620056993_RECON.xlsx"/>
    <n v="2667"/>
    <d v="2021-03-02T00:00:00"/>
    <n v="275"/>
    <n v="167163"/>
    <s v="PM"/>
    <n v="0"/>
    <n v="9620035814"/>
  </r>
  <r>
    <x v="46"/>
    <s v="Do It All Maintenance Repair_9620035814, 9620056993_RECON.xlsx"/>
    <n v="2914"/>
    <d v="2021-05-18T00:00:00"/>
    <n v="533"/>
    <n v="0"/>
    <s v="TBD"/>
    <n v="0"/>
    <n v="9620035814"/>
  </r>
  <r>
    <x v="46"/>
    <s v="Do It All Maintenance Repair_9620035814, 9620056993_RECON.xlsx"/>
    <n v="2930"/>
    <d v="2021-05-27T00:00:00"/>
    <n v="452.94"/>
    <n v="0"/>
    <s v="TBD"/>
    <n v="0"/>
    <n v="9620035814"/>
  </r>
  <r>
    <x v="47"/>
    <s v="Dolce Neve Inc._9620000224_RECON.xlsx"/>
    <n v="203203"/>
    <d v="2020-05-28T00:00:00"/>
    <n v="110"/>
    <n v="0"/>
    <s v="TBD"/>
    <s v="DNP"/>
    <n v="9620000224"/>
  </r>
  <r>
    <x v="48"/>
    <s v="DRSS Ottawa_9620000227_RECON.xlsx"/>
    <n v="68552"/>
    <d v="2021-02-23T00:00:00"/>
    <n v="1211.03"/>
    <n v="0"/>
    <s v="TBD"/>
    <n v="0"/>
    <n v="9620000227"/>
  </r>
  <r>
    <x v="48"/>
    <s v="DRSS Ottawa_9620000227_RECON.xlsx"/>
    <n v="68783"/>
    <d v="2021-04-09T00:00:00"/>
    <n v="197.75"/>
    <n v="0"/>
    <s v="TBD"/>
    <n v="0"/>
    <n v="9620000227"/>
  </r>
  <r>
    <x v="48"/>
    <s v="DRSS Ottawa_9620000227_RECON.xlsx"/>
    <n v="68556"/>
    <d v="2021-04-20T00:00:00"/>
    <n v="1443.91"/>
    <n v="0"/>
    <s v="TBD"/>
    <n v="0"/>
    <n v="9620000227"/>
  </r>
  <r>
    <x v="49"/>
    <s v="Duke Services_9620046925_Recon.xlsx"/>
    <n v="340990"/>
    <d v="2020-01-30T00:00:00"/>
    <n v="595.1"/>
    <s v="2194021A197/2195021A"/>
    <s v="Install"/>
    <s v="Processed"/>
    <n v="9620046925"/>
  </r>
  <r>
    <x v="49"/>
    <s v="Duke Services_9620046925_Recon.xlsx"/>
    <n v="342256"/>
    <d v="2020-02-28T00:00:00"/>
    <n v="817.5"/>
    <n v="342256"/>
    <s v="Install"/>
    <s v="Processed"/>
    <n v="9620046925"/>
  </r>
  <r>
    <x v="49"/>
    <s v="Duke Services_9620046925_Recon.xlsx"/>
    <n v="342950"/>
    <d v="2020-03-17T00:00:00"/>
    <n v="596"/>
    <n v="19120197"/>
    <s v="Install"/>
    <s v="Processed"/>
    <n v="9620046925"/>
  </r>
  <r>
    <x v="49"/>
    <s v="Duke Services_9620046925_Recon.xlsx"/>
    <n v="342970"/>
    <d v="2020-03-18T00:00:00"/>
    <n v="420"/>
    <n v="1020091647"/>
    <s v="Install"/>
    <s v="Processed"/>
    <n v="9620046925"/>
  </r>
  <r>
    <x v="49"/>
    <s v="Duke Services_9620046925_Recon.xlsx"/>
    <n v="343689"/>
    <d v="2020-04-06T00:00:00"/>
    <n v="507.5"/>
    <n v="1020091640"/>
    <s v="Install"/>
    <s v="Processed"/>
    <n v="9620046925"/>
  </r>
  <r>
    <x v="49"/>
    <s v="Duke Services_9620046925_Recon.xlsx"/>
    <n v="354239"/>
    <d v="2021-04-30T00:00:00"/>
    <n v="472.59"/>
    <n v="386848"/>
    <s v="TBD"/>
    <n v="0"/>
    <n v="9620046925"/>
  </r>
  <r>
    <x v="49"/>
    <s v="Duke Services_9620046925_Recon.xlsx"/>
    <n v="354738"/>
    <d v="2021-05-24T00:00:00"/>
    <n v="765.23"/>
    <n v="9610000124"/>
    <s v="TBD"/>
    <n v="0"/>
    <n v="9620046925"/>
  </r>
  <r>
    <x v="49"/>
    <s v="Duke Services_9620046925_Recon.xlsx"/>
    <n v="354739"/>
    <d v="2021-05-24T00:00:00"/>
    <n v="793.28"/>
    <s v="17137-197"/>
    <s v="TBD"/>
    <n v="0"/>
    <n v="9620046925"/>
  </r>
  <r>
    <x v="49"/>
    <s v="Duke Services_9620046925_Recon.xlsx"/>
    <n v="354740"/>
    <d v="2021-05-24T00:00:00"/>
    <n v="735.51"/>
    <n v="414623"/>
    <s v="TBD"/>
    <n v="0"/>
    <n v="9620046925"/>
  </r>
  <r>
    <x v="49"/>
    <s v="Duke Services_9620046925_Recon.xlsx"/>
    <n v="354741"/>
    <d v="2021-05-24T00:00:00"/>
    <n v="456.93"/>
    <n v="424136"/>
    <s v="TBD"/>
    <n v="0"/>
    <n v="9620046925"/>
  </r>
  <r>
    <x v="49"/>
    <s v="Duke Services_9620046925_Recon.xlsx"/>
    <n v="354742"/>
    <d v="2021-05-24T00:00:00"/>
    <n v="452.09"/>
    <n v="424136"/>
    <s v="TBD"/>
    <n v="0"/>
    <n v="9620046925"/>
  </r>
  <r>
    <x v="49"/>
    <s v="Duke Services_9620046925_Recon.xlsx"/>
    <n v="354743"/>
    <d v="2021-05-24T00:00:00"/>
    <n v="717.65"/>
    <n v="424136"/>
    <s v="TBD"/>
    <n v="0"/>
    <n v="9620046925"/>
  </r>
  <r>
    <x v="49"/>
    <s v="Duke Services_9620046925_Recon.xlsx"/>
    <n v="355113"/>
    <d v="2021-06-03T00:00:00"/>
    <n v="679.11"/>
    <n v="424136"/>
    <s v="TBD"/>
    <n v="0"/>
    <n v="9620046925"/>
  </r>
  <r>
    <x v="49"/>
    <s v="Duke Services_9620046925_Recon.xlsx"/>
    <n v="355114"/>
    <d v="2021-06-03T00:00:00"/>
    <n v="698.36"/>
    <n v="424136"/>
    <s v="TBD"/>
    <n v="0"/>
    <n v="9620046925"/>
  </r>
  <r>
    <x v="49"/>
    <s v="Duke Services_9620046925_Recon.xlsx"/>
    <n v="355115"/>
    <d v="2021-06-03T00:00:00"/>
    <n v="692.21"/>
    <n v="424136"/>
    <s v="TBD"/>
    <n v="0"/>
    <n v="9620046925"/>
  </r>
  <r>
    <x v="49"/>
    <s v="Duke Services_9620046925_Recon.xlsx"/>
    <n v="355116"/>
    <d v="2021-06-03T00:00:00"/>
    <n v="758.28"/>
    <n v="425186"/>
    <s v="TBD"/>
    <n v="0"/>
    <n v="9620046925"/>
  </r>
  <r>
    <x v="49"/>
    <s v="Duke Services_9620046925_Recon.xlsx"/>
    <n v="355117"/>
    <d v="2021-06-03T00:00:00"/>
    <n v="230"/>
    <n v="376662"/>
    <s v="Service Call"/>
    <n v="0"/>
    <n v="9620046925"/>
  </r>
  <r>
    <x v="49"/>
    <s v="Duke Services_9620046925_Recon.xlsx"/>
    <n v="355118"/>
    <d v="2021-06-03T00:00:00"/>
    <n v="532.80999999999995"/>
    <n v="424136"/>
    <s v="TBD"/>
    <n v="0"/>
    <n v="9620046925"/>
  </r>
  <r>
    <x v="49"/>
    <s v="Duke Services_9620046925_Recon.xlsx"/>
    <n v="355124"/>
    <d v="2021-06-03T00:00:00"/>
    <n v="506.9"/>
    <n v="424136"/>
    <s v="TBD"/>
    <n v="0"/>
    <n v="9620046925"/>
  </r>
  <r>
    <x v="49"/>
    <s v="Duke Services_9620046925_Recon.xlsx"/>
    <n v="355125"/>
    <d v="2021-06-03T00:00:00"/>
    <n v="774.28"/>
    <n v="424136"/>
    <s v="TBD"/>
    <n v="0"/>
    <n v="9620046925"/>
  </r>
  <r>
    <x v="49"/>
    <s v="Duke Services_9620046925_Recon.xlsx"/>
    <n v="355126"/>
    <d v="2021-06-03T00:00:00"/>
    <n v="545.35"/>
    <n v="424136"/>
    <s v="TBD"/>
    <n v="0"/>
    <n v="9620046925"/>
  </r>
  <r>
    <x v="49"/>
    <s v="Duke Services_9620046925_Recon.xlsx"/>
    <n v="355127"/>
    <d v="2021-06-03T00:00:00"/>
    <n v="182.5"/>
    <n v="9610000124"/>
    <s v="TBD"/>
    <n v="0"/>
    <n v="9620046925"/>
  </r>
  <r>
    <x v="49"/>
    <s v="Duke Services_9620046925_Recon.xlsx"/>
    <n v="355270"/>
    <d v="2021-06-08T00:00:00"/>
    <n v="474.75"/>
    <n v="376662"/>
    <s v="Service Call"/>
    <n v="0"/>
    <n v="9620046925"/>
  </r>
  <r>
    <x v="49"/>
    <s v="Duke Services_9620046925_Recon.xlsx"/>
    <n v="355273"/>
    <d v="2021-06-08T00:00:00"/>
    <n v="624.32000000000005"/>
    <n v="387169"/>
    <s v="TBD"/>
    <n v="0"/>
    <n v="9620046925"/>
  </r>
  <r>
    <x v="50"/>
    <s v="E.H. Services_9620000233_RECON.xlsx"/>
    <s v="AH16714"/>
    <d v="2021-01-10T00:00:00"/>
    <n v="1239.3599999999999"/>
    <n v="341122"/>
    <s v="Service Call"/>
    <n v="0"/>
    <n v="9620000233"/>
  </r>
  <r>
    <x v="51"/>
    <s v="Espresso Coffee Direct_9620000256_Recon.xlsx"/>
    <n v="11460"/>
    <d v="2020-10-14T00:00:00"/>
    <n v="244.97"/>
    <n v="0"/>
    <s v="TBD"/>
    <n v="0"/>
    <n v="9620000256"/>
  </r>
  <r>
    <x v="51"/>
    <s v="Espresso Coffee Direct_9620000256_Recon.xlsx"/>
    <n v="11463"/>
    <d v="2020-10-28T00:00:00"/>
    <n v="146.97999999999999"/>
    <n v="0"/>
    <s v="TBD"/>
    <n v="0"/>
    <n v="9620000256"/>
  </r>
  <r>
    <x v="51"/>
    <s v="Espresso Coffee Direct_9620000256_Recon.xlsx"/>
    <n v="11464"/>
    <d v="2020-10-28T00:00:00"/>
    <n v="97.99"/>
    <n v="0"/>
    <s v="TBD"/>
    <n v="0"/>
    <n v="9620000256"/>
  </r>
  <r>
    <x v="51"/>
    <s v="Espresso Coffee Direct_9620000256_Recon.xlsx"/>
    <n v="11466"/>
    <d v="2020-11-04T00:00:00"/>
    <n v="516.08000000000004"/>
    <n v="0"/>
    <s v="TBD"/>
    <n v="0"/>
    <n v="9620000256"/>
  </r>
  <r>
    <x v="51"/>
    <s v="Espresso Coffee Direct_9620000256_Recon.xlsx"/>
    <n v="11467"/>
    <d v="2020-11-05T00:00:00"/>
    <n v="420.64"/>
    <n v="0"/>
    <s v="TBD"/>
    <n v="0"/>
    <n v="9620000256"/>
  </r>
  <r>
    <x v="51"/>
    <s v="Espresso Coffee Direct_9620000256_Recon.xlsx"/>
    <n v="11468"/>
    <d v="2020-11-08T00:00:00"/>
    <n v="191.33"/>
    <n v="0"/>
    <s v="TBD"/>
    <n v="0"/>
    <n v="9620000256"/>
  </r>
  <r>
    <x v="51"/>
    <s v="Espresso Coffee Direct_9620000256_Recon.xlsx"/>
    <n v="11469"/>
    <d v="2020-11-08T00:00:00"/>
    <n v="97.99"/>
    <n v="0"/>
    <s v="TBD"/>
    <n v="0"/>
    <n v="9620000256"/>
  </r>
  <r>
    <x v="51"/>
    <s v="Espresso Coffee Direct_9620000256_Recon.xlsx"/>
    <n v="11470"/>
    <d v="2020-11-08T00:00:00"/>
    <n v="293.95999999999998"/>
    <n v="0"/>
    <s v="TBD"/>
    <n v="0"/>
    <n v="9620000256"/>
  </r>
  <r>
    <x v="52"/>
    <s v="Espresso Express_9620000258_RECON.xlsx"/>
    <n v="10325"/>
    <d v="2020-09-25T00:00:00"/>
    <n v="340"/>
    <n v="368336"/>
    <s v="TBD"/>
    <s v="In file"/>
    <n v="9620000258"/>
  </r>
  <r>
    <x v="52"/>
    <s v="Espresso Express_9620000258_RECON.xlsx"/>
    <n v="10495"/>
    <d v="2020-11-16T00:00:00"/>
    <n v="175"/>
    <n v="289304"/>
    <s v="PM"/>
    <s v=" Deficit Stock Error in MIGO - In File"/>
    <n v="9620000258"/>
  </r>
  <r>
    <x v="52"/>
    <s v="Espresso Express_9620000258_RECON.xlsx"/>
    <n v="10503"/>
    <d v="2020-11-16T00:00:00"/>
    <n v="175"/>
    <n v="289247"/>
    <s v="PM"/>
    <s v=" Deficit Stock Error in MIGO - In File"/>
    <n v="9620000258"/>
  </r>
  <r>
    <x v="52"/>
    <s v="Espresso Express_9620000258_RECON.xlsx"/>
    <n v="10538"/>
    <d v="2020-12-01T00:00:00"/>
    <n v="103.21"/>
    <n v="302654"/>
    <s v="Service Call"/>
    <s v="DNP"/>
    <n v="9620000258"/>
  </r>
  <r>
    <x v="52"/>
    <s v="Espresso Express_9620000258_RECON.xlsx"/>
    <n v="10703"/>
    <d v="2021-01-15T00:00:00"/>
    <n v="420"/>
    <n v="306733"/>
    <s v="Service Call"/>
    <s v="In File - Wrong Vendor?"/>
    <n v="9620000258"/>
  </r>
  <r>
    <x v="52"/>
    <s v="Espresso Express_9620000258_RECON.xlsx"/>
    <n v="10714"/>
    <d v="2021-01-21T00:00:00"/>
    <n v="55"/>
    <n v="343362"/>
    <s v="Service Call"/>
    <s v="In File - Wrong Vendor?"/>
    <n v="9620000258"/>
  </r>
  <r>
    <x v="52"/>
    <s v="Espresso Express_9620000258_RECON.xlsx"/>
    <n v="10715"/>
    <d v="2021-01-21T00:00:00"/>
    <n v="55"/>
    <n v="307697"/>
    <s v="Service Call"/>
    <n v="0"/>
    <n v="9620000258"/>
  </r>
  <r>
    <x v="52"/>
    <s v="Espresso Express_9620000258_RECON.xlsx"/>
    <n v="10723"/>
    <d v="2021-01-29T00:00:00"/>
    <n v="300"/>
    <n v="336124"/>
    <s v="PM"/>
    <n v="0"/>
    <n v="9620000258"/>
  </r>
  <r>
    <x v="52"/>
    <s v="Espresso Express_9620000258_RECON.xlsx"/>
    <n v="10724"/>
    <d v="2021-01-29T00:00:00"/>
    <n v="55"/>
    <n v="335428"/>
    <s v="PM"/>
    <n v="0"/>
    <n v="9620000258"/>
  </r>
  <r>
    <x v="52"/>
    <s v="Espresso Express_9620000258_RECON.xlsx"/>
    <n v="10729"/>
    <d v="2021-01-29T00:00:00"/>
    <n v="80"/>
    <n v="339355"/>
    <s v="PM"/>
    <n v="0"/>
    <n v="9620000258"/>
  </r>
  <r>
    <x v="52"/>
    <s v="Espresso Express_9620000258_RECON.xlsx"/>
    <n v="10730"/>
    <d v="2021-01-29T00:00:00"/>
    <n v="420"/>
    <n v="340409"/>
    <s v="Service Call"/>
    <n v="0"/>
    <n v="9620000258"/>
  </r>
  <r>
    <x v="52"/>
    <s v="Espresso Express_9620000258_RECON.xlsx"/>
    <n v="10731"/>
    <d v="2021-01-29T00:00:00"/>
    <n v="395"/>
    <n v="306083"/>
    <s v="Service Call"/>
    <n v="0"/>
    <n v="9620000258"/>
  </r>
  <r>
    <x v="52"/>
    <s v="Espresso Express_9620000258_RECON.xlsx"/>
    <n v="10732"/>
    <d v="2021-01-29T00:00:00"/>
    <n v="395"/>
    <n v="304365"/>
    <s v="PM"/>
    <n v="0"/>
    <n v="9620000258"/>
  </r>
  <r>
    <x v="52"/>
    <s v="Espresso Express_9620000258_RECON.xlsx"/>
    <n v="10733"/>
    <d v="2021-01-29T00:00:00"/>
    <n v="395"/>
    <n v="308889"/>
    <s v="Service Call"/>
    <n v="0"/>
    <n v="9620000258"/>
  </r>
  <r>
    <x v="52"/>
    <s v="Espresso Express_9620000258_RECON.xlsx"/>
    <n v="10734"/>
    <d v="2021-01-29T00:00:00"/>
    <n v="55"/>
    <n v="301949"/>
    <s v="Service Call"/>
    <n v="0"/>
    <n v="9620000258"/>
  </r>
  <r>
    <x v="52"/>
    <s v="Espresso Express_9620000258_RECON.xlsx"/>
    <n v="10735"/>
    <d v="2021-01-29T00:00:00"/>
    <n v="55"/>
    <n v="301949"/>
    <s v="Service Call"/>
    <n v="0"/>
    <n v="9620000258"/>
  </r>
  <r>
    <x v="52"/>
    <s v="Espresso Express_9620000258_RECON.xlsx"/>
    <n v="10736"/>
    <d v="2021-01-29T00:00:00"/>
    <n v="395"/>
    <n v="336123"/>
    <s v="PM"/>
    <n v="0"/>
    <n v="9620000258"/>
  </r>
  <r>
    <x v="52"/>
    <s v="Espresso Express_9620000258_RECON.xlsx"/>
    <n v="10737"/>
    <d v="2021-01-29T00:00:00"/>
    <n v="395"/>
    <n v="110688"/>
    <s v="PM"/>
    <n v="0"/>
    <n v="9620000258"/>
  </r>
  <r>
    <x v="52"/>
    <s v="Espresso Express_9620000258_RECON.xlsx"/>
    <n v="10738"/>
    <d v="2021-02-01T00:00:00"/>
    <n v="275"/>
    <n v="302678"/>
    <s v="Service Call"/>
    <n v="0"/>
    <n v="9620000258"/>
  </r>
  <r>
    <x v="52"/>
    <s v="Espresso Express_9620000258_RECON.xlsx"/>
    <n v="10779"/>
    <d v="2021-02-04T00:00:00"/>
    <n v="395"/>
    <n v="302817"/>
    <s v="Service Call"/>
    <n v="0"/>
    <n v="9620000258"/>
  </r>
  <r>
    <x v="52"/>
    <s v="Espresso Express_9620000258_RECON.xlsx"/>
    <n v="10805"/>
    <d v="2021-02-08T00:00:00"/>
    <n v="445"/>
    <n v="308380"/>
    <s v="Service Call"/>
    <n v="0"/>
    <n v="9620000258"/>
  </r>
  <r>
    <x v="52"/>
    <s v="Espresso Express_9620000258_RECON.xlsx"/>
    <n v="10806"/>
    <d v="2021-02-08T00:00:00"/>
    <n v="395"/>
    <n v="356015"/>
    <s v="PM"/>
    <n v="0"/>
    <n v="9620000258"/>
  </r>
  <r>
    <x v="52"/>
    <s v="Espresso Express_9620000258_RECON.xlsx"/>
    <n v="10807"/>
    <d v="2021-02-08T00:00:00"/>
    <n v="445"/>
    <n v="302739"/>
    <s v="Service Call"/>
    <n v="0"/>
    <n v="9620000258"/>
  </r>
  <r>
    <x v="52"/>
    <s v="Espresso Express_9620000258_RECON.xlsx"/>
    <n v="10808"/>
    <d v="2021-02-08T00:00:00"/>
    <n v="395"/>
    <n v="343464"/>
    <s v="PM"/>
    <n v="0"/>
    <n v="9620000258"/>
  </r>
  <r>
    <x v="52"/>
    <s v="Espresso Express_9620000258_RECON.xlsx"/>
    <n v="10809"/>
    <d v="2021-02-08T00:00:00"/>
    <n v="445"/>
    <n v="337617"/>
    <s v="PM"/>
    <n v="0"/>
    <n v="9620000258"/>
  </r>
  <r>
    <x v="52"/>
    <s v="Espresso Express_9620000258_RECON.xlsx"/>
    <n v="10810"/>
    <d v="2021-02-08T00:00:00"/>
    <n v="275"/>
    <n v="337345"/>
    <s v="PM"/>
    <n v="0"/>
    <n v="9620000258"/>
  </r>
  <r>
    <x v="52"/>
    <s v="Espresso Express_9620000258_RECON.xlsx"/>
    <n v="10819"/>
    <d v="2021-02-11T00:00:00"/>
    <n v="55"/>
    <n v="300565"/>
    <s v="Service Call"/>
    <n v="0"/>
    <n v="9620000258"/>
  </r>
  <r>
    <x v="52"/>
    <s v="Espresso Express_9620000258_RECON.xlsx"/>
    <n v="10820"/>
    <d v="2021-02-11T00:00:00"/>
    <n v="55"/>
    <n v="346771"/>
    <s v="PM"/>
    <n v="0"/>
    <n v="9620000258"/>
  </r>
  <r>
    <x v="52"/>
    <s v="Espresso Express_9620000258_RECON.xlsx"/>
    <n v="10827"/>
    <d v="2021-02-11T00:00:00"/>
    <n v="371.25"/>
    <n v="300572"/>
    <s v="Service Call"/>
    <n v="0"/>
    <n v="9620000258"/>
  </r>
  <r>
    <x v="52"/>
    <s v="Espresso Express_9620000258_RECON.xlsx"/>
    <n v="10829"/>
    <d v="2021-02-11T00:00:00"/>
    <n v="287.16000000000003"/>
    <n v="308380"/>
    <s v="Service Call"/>
    <n v="0"/>
    <n v="9620000258"/>
  </r>
  <r>
    <x v="52"/>
    <s v="Espresso Express_9620000258_RECON.xlsx"/>
    <s v="10833-1"/>
    <d v="2021-02-15T00:00:00"/>
    <n v="395"/>
    <n v="0"/>
    <s v="TBD"/>
    <n v="0"/>
    <n v="9620000258"/>
  </r>
  <r>
    <x v="52"/>
    <s v="Espresso Express_9620000258_RECON.xlsx"/>
    <n v="10842"/>
    <d v="2021-02-24T00:00:00"/>
    <n v="513.54999999999995"/>
    <n v="345712"/>
    <s v="TBD"/>
    <n v="0"/>
    <n v="9620000258"/>
  </r>
  <r>
    <x v="52"/>
    <s v="Espresso Express_9620000258_RECON.xlsx"/>
    <n v="10845"/>
    <d v="2021-02-24T00:00:00"/>
    <n v="513.54999999999995"/>
    <n v="302782"/>
    <s v="Service Call"/>
    <n v="0"/>
    <n v="9620000258"/>
  </r>
  <r>
    <x v="52"/>
    <s v="Espresso Express_9620000258_RECON.xlsx"/>
    <n v="10847"/>
    <d v="2021-02-24T00:00:00"/>
    <n v="197.5"/>
    <n v="300571"/>
    <s v="Service Call"/>
    <n v="0"/>
    <n v="9620000258"/>
  </r>
  <r>
    <x v="52"/>
    <s v="Espresso Express_9620000258_RECON.xlsx"/>
    <n v="10848"/>
    <d v="2021-02-24T00:00:00"/>
    <n v="197.5"/>
    <n v="300571"/>
    <s v="Service Call"/>
    <n v="0"/>
    <n v="9620000258"/>
  </r>
  <r>
    <x v="52"/>
    <s v="Espresso Express_9620000258_RECON.xlsx"/>
    <n v="10853"/>
    <d v="2021-02-25T00:00:00"/>
    <n v="445"/>
    <n v="109803"/>
    <s v="PM"/>
    <s v="In file"/>
    <n v="9620000258"/>
  </r>
  <r>
    <x v="52"/>
    <s v="Espresso Express_9620000258_RECON.xlsx"/>
    <n v="10854"/>
    <d v="2021-02-25T00:00:00"/>
    <n v="105"/>
    <n v="308610"/>
    <s v="Service Call"/>
    <n v="0"/>
    <n v="9620000258"/>
  </r>
  <r>
    <x v="52"/>
    <s v="Espresso Express_9620000258_RECON.xlsx"/>
    <n v="10857"/>
    <d v="2021-02-26T00:00:00"/>
    <n v="325"/>
    <n v="336044"/>
    <s v="PM"/>
    <n v="0"/>
    <n v="9620000258"/>
  </r>
  <r>
    <x v="52"/>
    <s v="Espresso Express_9620000258_RECON.xlsx"/>
    <n v="10879"/>
    <d v="2021-03-16T00:00:00"/>
    <n v="175"/>
    <s v="Nestle BNC Market  PM"/>
    <s v="PM"/>
    <n v="0"/>
    <n v="9620000258"/>
  </r>
  <r>
    <x v="52"/>
    <s v="Espresso Express_9620000258_RECON.xlsx"/>
    <n v="10886"/>
    <d v="2021-03-17T00:00:00"/>
    <n v="445"/>
    <n v="338724"/>
    <s v="PM"/>
    <n v="0"/>
    <n v="9620000258"/>
  </r>
  <r>
    <x v="52"/>
    <s v="Espresso Express_9620000258_RECON.xlsx"/>
    <n v="10897"/>
    <d v="2021-03-26T00:00:00"/>
    <n v="325"/>
    <n v="308403"/>
    <s v="Service Call"/>
    <n v="0"/>
    <n v="9620000258"/>
  </r>
  <r>
    <x v="52"/>
    <s v="Espresso Express_9620000258_RECON.xlsx"/>
    <n v="10950"/>
    <d v="2021-04-05T00:00:00"/>
    <n v="165"/>
    <n v="112795"/>
    <s v="PM"/>
    <s v="In file"/>
    <n v="9620000258"/>
  </r>
  <r>
    <x v="52"/>
    <s v="Espresso Express_9620000258_RECON.xlsx"/>
    <n v="11012"/>
    <d v="2021-05-13T00:00:00"/>
    <n v="136.25"/>
    <n v="306388"/>
    <s v="Service Call"/>
    <n v="0"/>
    <n v="9620000258"/>
  </r>
  <r>
    <x v="52"/>
    <s v="Espresso Express_9620000258_RECON.xlsx"/>
    <n v="11013"/>
    <d v="2021-05-13T00:00:00"/>
    <n v="55"/>
    <n v="331321"/>
    <s v="PM"/>
    <n v="0"/>
    <n v="9620000258"/>
  </r>
  <r>
    <x v="52"/>
    <s v="Espresso Express_9620000258_RECON.xlsx"/>
    <n v="11020"/>
    <d v="2021-05-17T00:00:00"/>
    <n v="817.89"/>
    <n v="306388"/>
    <s v="Service Call"/>
    <n v="0"/>
    <n v="9620000258"/>
  </r>
  <r>
    <x v="52"/>
    <s v="Espresso Express_9620000258_RECON.xlsx"/>
    <n v="11031"/>
    <d v="2021-05-27T00:00:00"/>
    <n v="275"/>
    <n v="301217"/>
    <s v="Service Call"/>
    <n v="0"/>
    <n v="9620000258"/>
  </r>
  <r>
    <x v="52"/>
    <s v="Espresso Express_9620000258_RECON.xlsx"/>
    <n v="11033"/>
    <d v="2021-05-27T00:00:00"/>
    <n v="197.5"/>
    <n v="376157"/>
    <s v="Service Call"/>
    <s v="In file"/>
    <n v="9620000258"/>
  </r>
  <r>
    <x v="52"/>
    <s v="Espresso Express_9620000258_RECON.xlsx"/>
    <n v="11037"/>
    <d v="2021-05-27T00:00:00"/>
    <n v="430"/>
    <n v="331321"/>
    <s v="PM"/>
    <n v="0"/>
    <n v="9620000258"/>
  </r>
  <r>
    <x v="52"/>
    <s v="Espresso Express_9620000258_RECON.xlsx"/>
    <n v="11039"/>
    <d v="2021-05-28T00:00:00"/>
    <n v="275"/>
    <n v="339598"/>
    <s v="PM"/>
    <n v="0"/>
    <n v="9620000258"/>
  </r>
  <r>
    <x v="52"/>
    <s v="Espresso Express_9620000258_RECON.xlsx"/>
    <n v="11046"/>
    <d v="2021-06-03T00:00:00"/>
    <n v="245"/>
    <n v="301217"/>
    <s v="Service Call"/>
    <n v="0"/>
    <n v="9620000258"/>
  </r>
  <r>
    <x v="52"/>
    <s v="Espresso Express_9620000258_RECON.xlsx"/>
    <n v="11047"/>
    <d v="2021-06-03T00:00:00"/>
    <n v="252.63"/>
    <n v="301217"/>
    <s v="Service Call"/>
    <n v="0"/>
    <n v="9620000258"/>
  </r>
  <r>
    <x v="52"/>
    <s v="Espresso Express_9620000258_RECON.xlsx"/>
    <n v="11063"/>
    <d v="2021-06-11T00:00:00"/>
    <n v="627.69000000000005"/>
    <n v="344948"/>
    <s v="TBD"/>
    <n v="0"/>
    <n v="9620000258"/>
  </r>
  <r>
    <x v="53"/>
    <s v="Espresso ME Services_9620000262_Recon.xlsx"/>
    <n v="134341"/>
    <d v="2021-03-01T00:00:00"/>
    <n v="380"/>
    <n v="0"/>
    <s v="Install"/>
    <n v="0"/>
    <n v="9620000262"/>
  </r>
  <r>
    <x v="54"/>
    <s v="Espresso Medic_9620000263_Recon.xlsx"/>
    <s v="18686-1"/>
    <d v="2020-10-01T00:00:00"/>
    <n v="250"/>
    <n v="290566"/>
    <s v="PM"/>
    <n v="0"/>
    <n v="9620000263"/>
  </r>
  <r>
    <x v="54"/>
    <s v="Espresso Medic_9620000263_Recon.xlsx"/>
    <s v="18687-1"/>
    <d v="2020-10-01T00:00:00"/>
    <n v="175"/>
    <n v="249434"/>
    <s v="PM"/>
    <n v="0"/>
    <n v="9620000263"/>
  </r>
  <r>
    <x v="54"/>
    <s v="Espresso Medic_9620000263_Recon.xlsx"/>
    <s v="18688-1"/>
    <d v="2020-10-01T00:00:00"/>
    <n v="175"/>
    <n v="254775"/>
    <s v="PM"/>
    <n v="0"/>
    <n v="9620000263"/>
  </r>
  <r>
    <x v="54"/>
    <s v="Espresso Medic_9620000263_Recon.xlsx"/>
    <s v="18690-1"/>
    <d v="2020-08-29T00:00:00"/>
    <n v="175"/>
    <n v="252991"/>
    <s v="PM"/>
    <n v="0"/>
    <n v="9620000263"/>
  </r>
  <r>
    <x v="54"/>
    <s v="Espresso Medic_9620000263_Recon.xlsx"/>
    <s v="18691-1"/>
    <d v="2020-08-29T00:00:00"/>
    <n v="175"/>
    <n v="257088"/>
    <s v="PM"/>
    <n v="0"/>
    <n v="9620000263"/>
  </r>
  <r>
    <x v="54"/>
    <s v="Espresso Medic_9620000263_Recon.xlsx"/>
    <s v="18695-1"/>
    <d v="2020-08-29T00:00:00"/>
    <n v="175"/>
    <n v="257090"/>
    <s v="PM"/>
    <n v="0"/>
    <n v="9620000263"/>
  </r>
  <r>
    <x v="54"/>
    <s v="Espresso Medic_9620000263_Recon.xlsx"/>
    <s v="18698-1"/>
    <d v="2020-10-02T00:00:00"/>
    <n v="175"/>
    <n v="249446"/>
    <s v="PM"/>
    <n v="0"/>
    <n v="9620000263"/>
  </r>
  <r>
    <x v="54"/>
    <s v="Espresso Medic_9620000263_Recon.xlsx"/>
    <s v="18699-1"/>
    <d v="2020-10-02T00:00:00"/>
    <n v="175"/>
    <n v="254455"/>
    <s v="PM"/>
    <n v="0"/>
    <n v="9620000263"/>
  </r>
  <r>
    <x v="54"/>
    <s v="Espresso Medic_9620000263_Recon.xlsx"/>
    <s v="18702-1"/>
    <d v="2020-08-21T00:00:00"/>
    <n v="281"/>
    <n v="257084"/>
    <s v="PM"/>
    <n v="0"/>
    <n v="9620000263"/>
  </r>
  <r>
    <x v="54"/>
    <s v="Espresso Medic_9620000263_Recon.xlsx"/>
    <s v="18713-1"/>
    <d v="2020-10-02T00:00:00"/>
    <n v="175"/>
    <n v="252813"/>
    <s v="PM"/>
    <n v="0"/>
    <n v="9620000263"/>
  </r>
  <r>
    <x v="54"/>
    <s v="Espresso Medic_9620000263_Recon.xlsx"/>
    <s v="18715-1"/>
    <d v="2020-10-02T00:00:00"/>
    <n v="175"/>
    <n v="252449"/>
    <s v="PM"/>
    <n v="0"/>
    <n v="9620000263"/>
  </r>
  <r>
    <x v="54"/>
    <s v="Espresso Medic_9620000263_Recon.xlsx"/>
    <s v="18722-1"/>
    <d v="2020-09-05T00:00:00"/>
    <n v="50"/>
    <n v="252450"/>
    <s v="PM"/>
    <n v="0"/>
    <n v="9620000263"/>
  </r>
  <r>
    <x v="54"/>
    <s v="Espresso Medic_9620000263_Recon.xlsx"/>
    <s v="18724-1"/>
    <d v="2020-08-31T00:00:00"/>
    <n v="95"/>
    <n v="252826"/>
    <s v="PM"/>
    <n v="0"/>
    <n v="9620000263"/>
  </r>
  <r>
    <x v="54"/>
    <s v="Espresso Medic_9620000263_Recon.xlsx"/>
    <s v="18725-1"/>
    <d v="2020-10-02T00:00:00"/>
    <n v="175"/>
    <n v="252812"/>
    <s v="PM"/>
    <n v="0"/>
    <n v="9620000263"/>
  </r>
  <r>
    <x v="54"/>
    <s v="Espresso Medic_9620000263_Recon.xlsx"/>
    <s v="18727-1"/>
    <d v="2020-10-01T00:00:00"/>
    <n v="250"/>
    <n v="254667"/>
    <s v="PM"/>
    <n v="0"/>
    <n v="9620000263"/>
  </r>
  <r>
    <x v="54"/>
    <s v="Espresso Medic_9620000263_Recon.xlsx"/>
    <s v="18728-1"/>
    <d v="2020-10-01T00:00:00"/>
    <n v="175"/>
    <n v="249388"/>
    <s v="PM"/>
    <n v="0"/>
    <n v="9620000263"/>
  </r>
  <r>
    <x v="54"/>
    <s v="Espresso Medic_9620000263_Recon.xlsx"/>
    <s v="18729-1"/>
    <d v="2020-10-01T00:00:00"/>
    <n v="175"/>
    <n v="254443"/>
    <s v="PM"/>
    <n v="0"/>
    <n v="9620000263"/>
  </r>
  <r>
    <x v="54"/>
    <s v="Espresso Medic_9620000263_Recon.xlsx"/>
    <s v="18731-1"/>
    <d v="2020-08-22T00:00:00"/>
    <n v="175"/>
    <n v="256273"/>
    <s v="PM"/>
    <n v="0"/>
    <n v="9620000263"/>
  </r>
  <r>
    <x v="54"/>
    <s v="Espresso Medic_9620000263_Recon.xlsx"/>
    <s v="18736-1"/>
    <d v="2020-10-02T00:00:00"/>
    <n v="175"/>
    <n v="256291"/>
    <s v="PM"/>
    <n v="0"/>
    <n v="9620000263"/>
  </r>
  <r>
    <x v="54"/>
    <s v="Espresso Medic_9620000263_Recon.xlsx"/>
    <s v="18928-1"/>
    <d v="2020-10-17T00:00:00"/>
    <n v="718.63"/>
    <n v="1020105903"/>
    <s v="Install"/>
    <n v="0"/>
    <n v="9620000263"/>
  </r>
  <r>
    <x v="54"/>
    <s v="Espresso Medic_9620000263_Recon.xlsx"/>
    <s v="19169-1"/>
    <d v="2020-10-01T00:00:00"/>
    <n v="200"/>
    <n v="4563341866"/>
    <s v="Install"/>
    <n v="0"/>
    <n v="9620000263"/>
  </r>
  <r>
    <x v="54"/>
    <s v="Espresso Medic_9620000263_Recon.xlsx"/>
    <s v="19188-1"/>
    <d v="2020-10-01T00:00:00"/>
    <n v="386.5"/>
    <n v="309915"/>
    <s v="Service Call"/>
    <n v="0"/>
    <n v="9620000263"/>
  </r>
  <r>
    <x v="54"/>
    <s v="Espresso Medic_9620000263_Recon.xlsx"/>
    <s v="19276-1"/>
    <d v="2020-10-05T00:00:00"/>
    <n v="241.8"/>
    <n v="311560"/>
    <s v="Service Call"/>
    <n v="0"/>
    <n v="9620000263"/>
  </r>
  <r>
    <x v="54"/>
    <s v="Espresso Medic_9620000263_Recon.xlsx"/>
    <s v="19280-1"/>
    <d v="2020-10-05T00:00:00"/>
    <n v="37.5"/>
    <n v="311893"/>
    <s v="Service Call"/>
    <n v="0"/>
    <n v="9620000263"/>
  </r>
  <r>
    <x v="54"/>
    <s v="Espresso Medic_9620000263_Recon.xlsx"/>
    <s v="19281-1"/>
    <d v="2020-10-05T00:00:00"/>
    <n v="97.5"/>
    <n v="311894"/>
    <s v="Service Call"/>
    <n v="0"/>
    <n v="9620000263"/>
  </r>
  <r>
    <x v="54"/>
    <s v="Espresso Medic_9620000263_Recon.xlsx"/>
    <s v="19304-1"/>
    <d v="2020-10-09T00:00:00"/>
    <n v="175"/>
    <n v="252834"/>
    <s v="PM"/>
    <n v="0"/>
    <n v="9620000263"/>
  </r>
  <r>
    <x v="54"/>
    <s v="Espresso Medic_9620000263_Recon.xlsx"/>
    <s v="19306-1"/>
    <d v="2020-10-10T00:00:00"/>
    <n v="175"/>
    <n v="254667"/>
    <s v="PM"/>
    <n v="0"/>
    <n v="9620000263"/>
  </r>
  <r>
    <x v="54"/>
    <s v="Espresso Medic_9620000263_Recon.xlsx"/>
    <s v="19307-1"/>
    <d v="2020-10-10T00:00:00"/>
    <n v="175"/>
    <n v="252450"/>
    <s v="PM"/>
    <n v="0"/>
    <n v="9620000263"/>
  </r>
  <r>
    <x v="54"/>
    <s v="Espresso Medic_9620000263_Recon.xlsx"/>
    <s v="19351-1"/>
    <d v="2020-10-10T00:00:00"/>
    <n v="97.5"/>
    <n v="312735"/>
    <s v="Service Call"/>
    <n v="0"/>
    <n v="9620000263"/>
  </r>
  <r>
    <x v="54"/>
    <s v="Espresso Medic_9620000263_Recon.xlsx"/>
    <s v="19352-1"/>
    <d v="2020-10-10T00:00:00"/>
    <n v="37.5"/>
    <n v="312722"/>
    <s v="Service Call"/>
    <n v="0"/>
    <n v="9620000263"/>
  </r>
  <r>
    <x v="54"/>
    <s v="Espresso Medic_9620000263_Recon.xlsx"/>
    <s v="19503-1"/>
    <d v="2020-10-19T00:00:00"/>
    <n v="220.35"/>
    <n v="314296"/>
    <s v="Service Call"/>
    <n v="0"/>
    <n v="9620000263"/>
  </r>
  <r>
    <x v="54"/>
    <s v="Espresso Medic_9620000263_Recon.xlsx"/>
    <s v="19654-1"/>
    <d v="2020-10-31T00:00:00"/>
    <n v="232.5"/>
    <n v="315555"/>
    <s v="Service Call"/>
    <n v="0"/>
    <n v="9620000263"/>
  </r>
  <r>
    <x v="54"/>
    <s v="Espresso Medic_9620000263_Recon.xlsx"/>
    <s v="19728-1"/>
    <d v="2020-11-09T00:00:00"/>
    <n v="510.3"/>
    <n v="317018"/>
    <s v="Service Call"/>
    <n v="0"/>
    <n v="9620000263"/>
  </r>
  <r>
    <x v="54"/>
    <s v="Espresso Medic_9620000263_Recon.xlsx"/>
    <s v="19863-1"/>
    <d v="2020-11-17T00:00:00"/>
    <n v="668.75"/>
    <n v="318730"/>
    <s v="Service Call"/>
    <n v="0"/>
    <n v="9620000263"/>
  </r>
  <r>
    <x v="54"/>
    <s v="Espresso Medic_9620000263_Recon.xlsx"/>
    <s v="19873-1"/>
    <d v="2020-11-25T00:00:00"/>
    <n v="165"/>
    <n v="318470"/>
    <s v="Service Call"/>
    <n v="0"/>
    <n v="9620000263"/>
  </r>
  <r>
    <x v="54"/>
    <s v="Espresso Medic_9620000263_Recon.xlsx"/>
    <s v="20052-1"/>
    <d v="2021-01-07T00:00:00"/>
    <n v="511.4"/>
    <n v="180269"/>
    <s v="PM"/>
    <n v="0"/>
    <n v="9620000263"/>
  </r>
  <r>
    <x v="54"/>
    <s v="Espresso Medic_9620000263_Recon.xlsx"/>
    <s v="20283-1"/>
    <d v="2021-01-01T00:00:00"/>
    <n v="1234.0899999999999"/>
    <n v="156390002"/>
    <s v="Install"/>
    <n v="0"/>
    <n v="9620000263"/>
  </r>
  <r>
    <x v="54"/>
    <s v="Espresso Medic_9620000263_Recon.xlsx"/>
    <s v="20295-1"/>
    <d v="2021-05-14T00:00:00"/>
    <n v="135"/>
    <n v="319854"/>
    <s v="PM"/>
    <n v="0"/>
    <n v="9620000263"/>
  </r>
  <r>
    <x v="54"/>
    <s v="Espresso Medic_9620000263_Recon.xlsx"/>
    <s v="20296-1"/>
    <d v="2021-05-14T00:00:00"/>
    <n v="75"/>
    <n v="319861"/>
    <s v="PM"/>
    <n v="0"/>
    <n v="9620000263"/>
  </r>
  <r>
    <x v="54"/>
    <s v="Espresso Medic_9620000263_Recon.xlsx"/>
    <s v="20297-1"/>
    <d v="2021-05-14T00:00:00"/>
    <n v="75"/>
    <n v="319867"/>
    <s v="PM"/>
    <n v="0"/>
    <n v="9620000263"/>
  </r>
  <r>
    <x v="54"/>
    <s v="Espresso Medic_9620000263_Recon.xlsx"/>
    <s v="20298-1"/>
    <d v="2021-02-05T00:00:00"/>
    <n v="325"/>
    <n v="319852"/>
    <s v="PM"/>
    <n v="0"/>
    <n v="9620000263"/>
  </r>
  <r>
    <x v="54"/>
    <s v="Espresso Medic_9620000263_Recon.xlsx"/>
    <s v="20298-1"/>
    <d v="2021-02-02T00:00:00"/>
    <n v="325"/>
    <n v="319852"/>
    <s v="PM"/>
    <n v="0"/>
    <n v="9620000263"/>
  </r>
  <r>
    <x v="54"/>
    <s v="Espresso Medic_9620000263_Recon.xlsx"/>
    <s v="20299-1"/>
    <d v="2021-02-05T00:00:00"/>
    <n v="325"/>
    <n v="319868"/>
    <s v="PM"/>
    <n v="0"/>
    <n v="9620000263"/>
  </r>
  <r>
    <x v="54"/>
    <s v="Espresso Medic_9620000263_Recon.xlsx"/>
    <s v="20300-1"/>
    <d v="2021-02-11T00:00:00"/>
    <n v="175"/>
    <n v="319856"/>
    <s v="PM"/>
    <n v="0"/>
    <n v="9620000263"/>
  </r>
  <r>
    <x v="54"/>
    <s v="Espresso Medic_9620000263_Recon.xlsx"/>
    <s v="20301-1"/>
    <d v="2021-02-11T00:00:00"/>
    <n v="325"/>
    <n v="319859"/>
    <s v="PM"/>
    <n v="0"/>
    <n v="9620000263"/>
  </r>
  <r>
    <x v="54"/>
    <s v="Espresso Medic_9620000263_Recon.xlsx"/>
    <s v="20323-1"/>
    <d v="2020-12-18T00:00:00"/>
    <n v="266.43"/>
    <n v="327210"/>
    <s v="Service Call"/>
    <n v="0"/>
    <n v="9620000263"/>
  </r>
  <r>
    <x v="54"/>
    <s v="Espresso Medic_9620000263_Recon.xlsx"/>
    <s v="20324-1"/>
    <d v="2020-12-18T00:00:00"/>
    <n v="93.75"/>
    <n v="327212"/>
    <s v="Service Call"/>
    <n v="0"/>
    <n v="9620000263"/>
  </r>
  <r>
    <x v="54"/>
    <s v="Espresso Medic_9620000263_Recon.xlsx"/>
    <s v="20356-1"/>
    <d v="2020-12-22T00:00:00"/>
    <n v="75"/>
    <n v="156553547"/>
    <s v="Install"/>
    <n v="0"/>
    <n v="9620000263"/>
  </r>
  <r>
    <x v="54"/>
    <s v="Espresso Medic_9620000263_Recon.xlsx"/>
    <s v="20357-1"/>
    <d v="2020-12-22T00:00:00"/>
    <n v="75"/>
    <n v="156553401"/>
    <s v="Install"/>
    <n v="0"/>
    <n v="9620000263"/>
  </r>
  <r>
    <x v="54"/>
    <s v="Espresso Medic_9620000263_Recon.xlsx"/>
    <s v="21254-1"/>
    <d v="2021-03-03T00:00:00"/>
    <n v="175"/>
    <n v="290775"/>
    <s v="PM"/>
    <n v="0"/>
    <n v="9620000263"/>
  </r>
  <r>
    <x v="54"/>
    <s v="Espresso Medic_9620000263_Recon.xlsx"/>
    <s v="21705-1"/>
    <d v="2021-05-01T00:00:00"/>
    <n v="255"/>
    <s v="SN2019329025"/>
    <s v="TBD"/>
    <n v="0"/>
    <n v="9620000263"/>
  </r>
  <r>
    <x v="54"/>
    <s v="Espresso Medic_9620000263_Recon.xlsx"/>
    <s v="21777-1"/>
    <d v="2021-05-01T00:00:00"/>
    <n v="75"/>
    <n v="1938381060"/>
    <s v="TBD"/>
    <n v="0"/>
    <n v="9620000263"/>
  </r>
  <r>
    <x v="54"/>
    <s v="Espresso Medic_9620000263_Recon.xlsx"/>
    <s v="21778-1"/>
    <d v="2021-05-01T00:00:00"/>
    <n v="75"/>
    <s v="SN2116338001"/>
    <s v="TBD"/>
    <n v="0"/>
    <n v="9620000263"/>
  </r>
  <r>
    <x v="54"/>
    <s v="Espresso Medic_9620000263_Recon.xlsx"/>
    <s v="21790-1"/>
    <d v="2021-05-01T00:00:00"/>
    <n v="193.56"/>
    <s v="SEB Serial 1938381044"/>
    <s v="TBD"/>
    <n v="0"/>
    <n v="9620000263"/>
  </r>
  <r>
    <x v="54"/>
    <s v="Espresso Medic_9620000263_Recon.xlsx"/>
    <s v="22134-1"/>
    <d v="2021-05-14T00:00:00"/>
    <n v="210"/>
    <s v="SN1846348703"/>
    <s v="TBD"/>
    <n v="0"/>
    <n v="9620000263"/>
  </r>
  <r>
    <x v="54"/>
    <s v="Espresso Medic_9620000263_Recon.xlsx"/>
    <s v="22780-1"/>
    <d v="2021-05-28T00:00:00"/>
    <n v="146.25"/>
    <n v="377718"/>
    <s v="Service Call"/>
    <n v="0"/>
    <n v="9620000263"/>
  </r>
  <r>
    <x v="55"/>
    <s v="Espresso Mio_9620000264_RECON.xlsx"/>
    <n v="8197"/>
    <d v="2020-09-03T00:00:00"/>
    <n v="395"/>
    <n v="307810"/>
    <s v="PM"/>
    <s v="Processed"/>
    <n v="9620000264"/>
  </r>
  <r>
    <x v="55"/>
    <s v="Espresso Mio_9620000264_RECON.xlsx"/>
    <n v="8218"/>
    <d v="2020-09-09T00:00:00"/>
    <n v="395"/>
    <n v="135066"/>
    <s v="PM"/>
    <s v="Invoice requires further research"/>
    <n v="9620000264"/>
  </r>
  <r>
    <x v="55"/>
    <s v="Espresso Mio_9620000264_RECON.xlsx"/>
    <n v="8230"/>
    <d v="2020-09-10T00:00:00"/>
    <n v="1683.95"/>
    <n v="0"/>
    <s v="TBD"/>
    <n v="0"/>
    <n v="9620000264"/>
  </r>
  <r>
    <x v="55"/>
    <s v="Espresso Mio_9620000264_RECON.xlsx"/>
    <n v="8284"/>
    <d v="2020-09-21T00:00:00"/>
    <n v="139.69999999999999"/>
    <n v="0"/>
    <s v="TBD"/>
    <s v="Invoice requires further research"/>
    <n v="9620000264"/>
  </r>
  <r>
    <x v="55"/>
    <s v="Espresso Mio_9620000264_RECON.xlsx"/>
    <n v="8326"/>
    <d v="2020-09-26T00:00:00"/>
    <n v="687.49"/>
    <n v="213155"/>
    <s v="PM"/>
    <s v="Processed"/>
    <n v="9620000264"/>
  </r>
  <r>
    <x v="55"/>
    <s v="Espresso Mio_9620000264_RECON.xlsx"/>
    <n v="8398"/>
    <d v="2020-10-11T00:00:00"/>
    <n v="635.9"/>
    <n v="311725"/>
    <s v="Service Call"/>
    <s v="Processed"/>
    <n v="9620000264"/>
  </r>
  <r>
    <x v="55"/>
    <s v="Espresso Mio_9620000264_RECON.xlsx"/>
    <n v="8442"/>
    <d v="2020-10-20T00:00:00"/>
    <n v="1242.81"/>
    <n v="314664"/>
    <s v="Service Call"/>
    <s v="Invoice requires further research"/>
    <n v="9620000264"/>
  </r>
  <r>
    <x v="55"/>
    <s v="Espresso Mio_9620000264_RECON.xlsx"/>
    <n v="8454"/>
    <d v="2020-10-23T00:00:00"/>
    <n v="932.15"/>
    <n v="0"/>
    <s v="TBD"/>
    <s v="Invoice requires further research"/>
    <n v="9620000264"/>
  </r>
  <r>
    <x v="55"/>
    <s v="Espresso Mio_9620000264_RECON.xlsx"/>
    <n v="8505"/>
    <d v="2020-10-31T00:00:00"/>
    <n v="469.17"/>
    <n v="316582"/>
    <s v="Service Call"/>
    <s v="Invoice requires further research"/>
    <n v="9620000264"/>
  </r>
  <r>
    <x v="55"/>
    <s v="Espresso Mio_9620000264_RECON.xlsx"/>
    <n v="8630"/>
    <d v="2020-11-30T00:00:00"/>
    <n v="479.84"/>
    <n v="0"/>
    <s v="TBD"/>
    <s v="Invoice requires further research"/>
    <n v="9620000264"/>
  </r>
  <r>
    <x v="55"/>
    <s v="Espresso Mio_9620000264_RECON.xlsx"/>
    <n v="8633"/>
    <d v="2020-12-01T00:00:00"/>
    <n v="396.17"/>
    <n v="0"/>
    <s v="TBD"/>
    <s v="Invoice requires further research"/>
    <n v="9620000264"/>
  </r>
  <r>
    <x v="55"/>
    <s v="Espresso Mio_9620000264_RECON.xlsx"/>
    <n v="8721"/>
    <d v="2020-12-23T00:00:00"/>
    <n v="283.85000000000002"/>
    <n v="0"/>
    <s v="TBD"/>
    <s v="Invoice requires further research"/>
    <n v="9620000264"/>
  </r>
  <r>
    <x v="55"/>
    <s v="Espresso Mio_9620000264_RECON.xlsx"/>
    <n v="8761"/>
    <d v="2021-01-04T00:00:00"/>
    <n v="793.85"/>
    <n v="0"/>
    <s v="TBD"/>
    <n v="0"/>
    <n v="9620000264"/>
  </r>
  <r>
    <x v="55"/>
    <s v="Espresso Mio_9620000264_RECON.xlsx"/>
    <n v="8903"/>
    <d v="2021-02-08T00:00:00"/>
    <n v="323.17"/>
    <n v="0"/>
    <s v="PM"/>
    <n v="0"/>
    <n v="9620000264"/>
  </r>
  <r>
    <x v="55"/>
    <s v="Espresso Mio_9620000264_RECON.xlsx"/>
    <n v="8937"/>
    <d v="2021-02-23T00:00:00"/>
    <n v="215.5"/>
    <n v="0"/>
    <s v="TBD"/>
    <n v="0"/>
    <n v="9620000264"/>
  </r>
  <r>
    <x v="55"/>
    <s v="Espresso Mio_9620000264_RECON.xlsx"/>
    <n v="9050"/>
    <d v="2021-03-22T00:00:00"/>
    <n v="968.84"/>
    <n v="0"/>
    <s v="TBD"/>
    <n v="0"/>
    <n v="9620000264"/>
  </r>
  <r>
    <x v="55"/>
    <s v="Espresso Mio_9620000264_RECON.xlsx"/>
    <n v="9052"/>
    <d v="2021-03-22T00:00:00"/>
    <n v="268.2"/>
    <n v="0"/>
    <s v="TBD"/>
    <n v="0"/>
    <n v="9620000264"/>
  </r>
  <r>
    <x v="55"/>
    <s v="Espresso Mio_9620000264_RECON.xlsx"/>
    <n v="9084"/>
    <d v="2021-03-30T00:00:00"/>
    <n v="158.19999999999999"/>
    <n v="0"/>
    <s v="TBD"/>
    <n v="0"/>
    <n v="9620000264"/>
  </r>
  <r>
    <x v="55"/>
    <s v="Espresso Mio_9620000264_RECON.xlsx"/>
    <n v="9249"/>
    <d v="2021-05-10T00:00:00"/>
    <n v="164.3"/>
    <n v="0"/>
    <s v="TBD"/>
    <n v="0"/>
    <n v="9620000264"/>
  </r>
  <r>
    <x v="55"/>
    <s v="Espresso Mio_9620000264_RECON.xlsx"/>
    <n v="9361"/>
    <d v="2021-06-03T00:00:00"/>
    <n v="838.58"/>
    <n v="0"/>
    <s v="TBD"/>
    <n v="0"/>
    <n v="9620000264"/>
  </r>
  <r>
    <x v="55"/>
    <s v="Espresso Mio_9620000264_RECON.xlsx"/>
    <n v="9363"/>
    <d v="2021-06-03T00:00:00"/>
    <n v="622.38"/>
    <n v="0"/>
    <s v="TBD"/>
    <n v="0"/>
    <n v="9620000264"/>
  </r>
  <r>
    <x v="55"/>
    <s v="Espresso Mio_9620000264_RECON.xlsx"/>
    <n v="9375"/>
    <d v="2021-06-04T00:00:00"/>
    <n v="324.5"/>
    <n v="0"/>
    <s v="TBD"/>
    <n v="0"/>
    <n v="9620000264"/>
  </r>
  <r>
    <x v="55"/>
    <s v="Espresso Mio_9620000264_RECON.xlsx"/>
    <n v="9377"/>
    <d v="2021-06-04T00:00:00"/>
    <n v="2147.5"/>
    <n v="0"/>
    <s v="TBD"/>
    <n v="0"/>
    <n v="9620000264"/>
  </r>
  <r>
    <x v="55"/>
    <s v="Espresso Mio_9620000264_RECON.xlsx"/>
    <n v="9378"/>
    <d v="2021-06-04T00:00:00"/>
    <n v="507.03"/>
    <n v="0"/>
    <s v="TBD"/>
    <n v="0"/>
    <n v="9620000264"/>
  </r>
  <r>
    <x v="55"/>
    <s v="Espresso Mio_9620000264_RECON.xlsx"/>
    <n v="9379"/>
    <d v="2021-06-04T00:00:00"/>
    <n v="335.69"/>
    <n v="0"/>
    <s v="TBD"/>
    <n v="0"/>
    <n v="9620000264"/>
  </r>
  <r>
    <x v="55"/>
    <s v="Espresso Mio_9620000264_RECON.xlsx"/>
    <n v="9395"/>
    <d v="2021-06-07T00:00:00"/>
    <n v="1089.19"/>
    <n v="0"/>
    <s v="TBD"/>
    <n v="0"/>
    <n v="9620000264"/>
  </r>
  <r>
    <x v="55"/>
    <s v="Espresso Mio_9620000264_RECON.xlsx"/>
    <n v="9397"/>
    <d v="2021-06-07T00:00:00"/>
    <n v="681.03"/>
    <n v="0"/>
    <s v="TBD"/>
    <n v="0"/>
    <n v="9620000264"/>
  </r>
  <r>
    <x v="55"/>
    <s v="Espresso Mio_9620000264_RECON.xlsx"/>
    <n v="9406"/>
    <d v="2021-06-09T00:00:00"/>
    <n v="260.48"/>
    <n v="0"/>
    <s v="TBD"/>
    <n v="0"/>
    <n v="9620000264"/>
  </r>
  <r>
    <x v="55"/>
    <s v="Espresso Mio_9620000264_RECON.xlsx"/>
    <n v="9416"/>
    <d v="2021-06-11T00:00:00"/>
    <n v="449.25"/>
    <n v="0"/>
    <s v="TBD"/>
    <n v="0"/>
    <n v="9620000264"/>
  </r>
  <r>
    <x v="56"/>
    <s v="Espresso Partners_9620000265, 9620000795, 9620054094, 9620054095_RECON.xlsx"/>
    <s v="C63307"/>
    <d v="2020-10-06T00:00:00"/>
    <n v="525"/>
    <n v="525"/>
    <s v="TBD"/>
    <m/>
    <n v="9620000265"/>
  </r>
  <r>
    <x v="56"/>
    <s v="Espresso Partners_9620000265, 9620000795, 9620054094, 9620054095_RECON.xlsx"/>
    <s v="C63215"/>
    <d v="2020-12-01T00:00:00"/>
    <n v="518.4"/>
    <n v="518.4"/>
    <s v="PM"/>
    <m/>
    <n v="9620000265"/>
  </r>
  <r>
    <x v="56"/>
    <s v="Espresso Partners_9620000265, 9620000795, 9620054094, 9620054095_RECON.xlsx"/>
    <s v="C66483"/>
    <d v="2020-12-16T00:00:00"/>
    <n v="151.6"/>
    <n v="151.6"/>
    <s v="Service Call"/>
    <s v="Invoice requires further research"/>
    <n v="9620000265"/>
  </r>
  <r>
    <x v="56"/>
    <s v="Espresso Partners_9620000265, 9620000795, 9620054094, 9620054095_RECON.xlsx"/>
    <s v="C66482"/>
    <d v="2020-12-16T00:00:00"/>
    <n v="622.91"/>
    <n v="622.91"/>
    <s v="Service Call"/>
    <s v="Invoice requires further research"/>
    <n v="9620000265"/>
  </r>
  <r>
    <x v="56"/>
    <s v="Espresso Partners_9620000265, 9620000795, 9620054094, 9620054095_RECON.xlsx"/>
    <s v="C67942"/>
    <d v="2021-01-22T00:00:00"/>
    <n v="213.42"/>
    <n v="213.42"/>
    <s v="Service Call"/>
    <m/>
    <n v="9620000265"/>
  </r>
  <r>
    <x v="56"/>
    <s v="Espresso Partners_9620000265, 9620000795, 9620054094, 9620054095_RECON.xlsx"/>
    <s v="C67900"/>
    <d v="2021-01-25T00:00:00"/>
    <n v="294.60000000000002"/>
    <n v="294.60000000000002"/>
    <s v="PM"/>
    <m/>
    <n v="9620000265"/>
  </r>
  <r>
    <x v="56"/>
    <s v="Espresso Partners_9620000265, 9620000795, 9620054094, 9620054095_RECON.xlsx"/>
    <s v="C67987"/>
    <d v="2021-01-28T00:00:00"/>
    <n v="199.12"/>
    <n v="199.12"/>
    <s v="Service Call"/>
    <m/>
    <n v="9620000265"/>
  </r>
  <r>
    <x v="56"/>
    <s v="Espresso Partners_9620000265, 9620000795, 9620054094, 9620054095_RECON.xlsx"/>
    <s v="C68162"/>
    <d v="2021-01-29T00:00:00"/>
    <n v="366.15"/>
    <n v="366.15"/>
    <s v="Service Call"/>
    <m/>
    <n v="9620000265"/>
  </r>
  <r>
    <x v="56"/>
    <s v="Espresso Partners_9620000265, 9620000795, 9620054094, 9620054095_RECON.xlsx"/>
    <s v="C68127"/>
    <d v="2021-01-29T00:00:00"/>
    <n v="684.98"/>
    <n v="684.98"/>
    <s v="Service Call"/>
    <m/>
    <n v="9620000265"/>
  </r>
  <r>
    <x v="56"/>
    <s v="Espresso Partners_9620000265, 9620000795, 9620054094, 9620054095_RECON.xlsx"/>
    <s v="C67281"/>
    <d v="2021-01-29T00:00:00"/>
    <n v="324.73"/>
    <n v="324.73"/>
    <s v="Install"/>
    <m/>
    <n v="9620000265"/>
  </r>
  <r>
    <x v="56"/>
    <s v="Espresso Partners_9620000265, 9620000795, 9620054094, 9620054095_RECON.xlsx"/>
    <s v="C68299"/>
    <d v="2021-01-31T00:00:00"/>
    <n v="368.18"/>
    <n v="368.18"/>
    <s v="TBD"/>
    <m/>
    <n v="9620000265"/>
  </r>
  <r>
    <x v="56"/>
    <s v="Espresso Partners_9620000265, 9620000795, 9620054094, 9620054095_RECON.xlsx"/>
    <s v="C68669"/>
    <d v="2021-02-10T00:00:00"/>
    <n v="199.12"/>
    <n v="199.12"/>
    <s v="Service Call"/>
    <m/>
    <n v="9620000265"/>
  </r>
  <r>
    <x v="56"/>
    <s v="Espresso Partners_9620000265, 9620000795, 9620054094, 9620054095_RECON.xlsx"/>
    <s v="C68878"/>
    <d v="2021-02-11T00:00:00"/>
    <n v="939.05"/>
    <n v="939.05"/>
    <s v="Service Call"/>
    <m/>
    <n v="9620000265"/>
  </r>
  <r>
    <x v="56"/>
    <s v="Espresso Partners_9620000265, 9620000795, 9620054094, 9620054095_RECON.xlsx"/>
    <s v="C68126"/>
    <d v="2021-02-18T00:00:00"/>
    <n v="244.29"/>
    <n v="244.29"/>
    <s v="Service Call"/>
    <m/>
    <n v="9620000265"/>
  </r>
  <r>
    <x v="56"/>
    <s v="Espresso Partners_9620000265, 9620000795, 9620054094, 9620054095_RECON.xlsx"/>
    <s v="CM68304"/>
    <d v="2021-02-28T00:00:00"/>
    <n v="408.7"/>
    <n v="408.7"/>
    <s v="Service Call"/>
    <m/>
    <n v="9620000265"/>
  </r>
  <r>
    <x v="56"/>
    <s v="Espresso Partners_9620000265, 9620000795, 9620054094, 9620054095_RECON.xlsx"/>
    <s v="C35731-1"/>
    <d v="2021-03-05T00:00:00"/>
    <n v="302.68"/>
    <n v="302.68"/>
    <s v="Service Call"/>
    <m/>
    <n v="9620000265"/>
  </r>
  <r>
    <x v="56"/>
    <s v="Espresso Partners_9620000265, 9620000795, 9620054094, 9620054095_RECON.xlsx"/>
    <s v="C35975-1"/>
    <d v="2021-03-05T00:00:00"/>
    <n v="93.01"/>
    <n v="93.01"/>
    <s v="Service Call"/>
    <m/>
    <n v="9620000265"/>
  </r>
  <r>
    <x v="56"/>
    <s v="Espresso Partners_9620000265, 9620000795, 9620054094, 9620054095_RECON.xlsx"/>
    <s v="C37801-1"/>
    <d v="2021-03-05T00:00:00"/>
    <n v="168.08"/>
    <n v="168.08"/>
    <s v="Service Call"/>
    <m/>
    <n v="9620000265"/>
  </r>
  <r>
    <x v="56"/>
    <s v="Espresso Partners_9620000265, 9620000795, 9620054094, 9620054095_RECON.xlsx"/>
    <s v="C39517-1"/>
    <d v="2021-03-05T00:00:00"/>
    <n v="163.81"/>
    <n v="163.81"/>
    <s v="Service Call"/>
    <m/>
    <n v="9620000265"/>
  </r>
  <r>
    <x v="56"/>
    <s v="Espresso Partners_9620000265, 9620000795, 9620054094, 9620054095_RECON.xlsx"/>
    <s v="C53591-1"/>
    <d v="2021-03-05T00:00:00"/>
    <n v="382.67"/>
    <n v="382.67"/>
    <s v="Service Call"/>
    <m/>
    <n v="9620000265"/>
  </r>
  <r>
    <x v="56"/>
    <s v="Espresso Partners_9620000265, 9620000795, 9620054094, 9620054095_RECON.xlsx"/>
    <s v="C40006-1"/>
    <d v="2021-03-05T00:00:00"/>
    <n v="728.32"/>
    <n v="728.32"/>
    <s v="Service Call"/>
    <m/>
    <n v="9620000265"/>
  </r>
  <r>
    <x v="56"/>
    <s v="Espresso Partners_9620000265, 9620000795, 9620054094, 9620054095_RECON.xlsx"/>
    <s v="C46071-1"/>
    <d v="2021-03-05T00:00:00"/>
    <n v="116.65"/>
    <n v="116.65"/>
    <s v="Service Call"/>
    <m/>
    <n v="9620000265"/>
  </r>
  <r>
    <x v="56"/>
    <s v="Espresso Partners_9620000265, 9620000795, 9620054094, 9620054095_RECON.xlsx"/>
    <s v="C40775-1"/>
    <d v="2021-03-05T00:00:00"/>
    <n v="299.25"/>
    <n v="299.25"/>
    <s v="Service Call"/>
    <m/>
    <n v="9620000265"/>
  </r>
  <r>
    <x v="56"/>
    <s v="Espresso Partners_9620000265, 9620000795, 9620054094, 9620054095_RECON.xlsx"/>
    <s v="C70338"/>
    <d v="2021-03-24T00:00:00"/>
    <n v="689.88"/>
    <n v="689.88"/>
    <s v="Service Call"/>
    <m/>
    <n v="9620000265"/>
  </r>
  <r>
    <x v="57"/>
    <s v="Espresso Services Inc._9620000268, 9620000267, 9620054084_RECON.xlsx"/>
    <s v="MN3091060"/>
    <d v="2020-07-24T00:00:00"/>
    <n v="310"/>
    <n v="212286"/>
    <s v="PM"/>
    <n v="0"/>
    <n v="9620000268"/>
  </r>
  <r>
    <x v="57"/>
    <s v="Espresso Services Inc._9620000268, 9620000267, 9620054084_RECON.xlsx"/>
    <s v="IL5007180"/>
    <d v="2020-08-07T00:00:00"/>
    <n v="175"/>
    <n v="293288"/>
    <s v="PM"/>
    <s v="Invoice needs further review"/>
    <n v="9620000268"/>
  </r>
  <r>
    <x v="57"/>
    <s v="Espresso Services Inc._9620000268, 9620000267, 9620054084_RECON.xlsx"/>
    <s v="IL5007203"/>
    <d v="2020-08-18T00:00:00"/>
    <n v="175"/>
    <n v="293285"/>
    <s v="PM"/>
    <s v="Invoice needs further review"/>
    <n v="9620000268"/>
  </r>
  <r>
    <x v="57"/>
    <s v="Espresso Services Inc._9620000268, 9620000267, 9620054084_RECON.xlsx"/>
    <s v="MN3092401"/>
    <d v="2020-09-15T00:00:00"/>
    <n v="262.5"/>
    <n v="309220"/>
    <s v="Service Call"/>
    <s v="Missing invoice"/>
    <n v="9620000268"/>
  </r>
  <r>
    <x v="57"/>
    <s v="Espresso Services Inc._9620000268, 9620000267, 9620054084_RECON.xlsx"/>
    <s v="IL5007429"/>
    <d v="2020-11-16T00:00:00"/>
    <n v="215"/>
    <n v="316889"/>
    <s v="Service Call"/>
    <n v="0"/>
    <n v="9620000268"/>
  </r>
  <r>
    <x v="57"/>
    <s v="Espresso Services Inc._9620000268, 9620000267, 9620054084_RECON.xlsx"/>
    <s v="IL5007538"/>
    <d v="2020-12-21T00:00:00"/>
    <n v="175"/>
    <n v="319928"/>
    <s v="PM"/>
    <n v="0"/>
    <n v="9620000268"/>
  </r>
  <r>
    <x v="57"/>
    <s v="Espresso Services Inc._9620000268, 9620000267, 9620054084_RECON.xlsx"/>
    <s v="IL5007540"/>
    <d v="2020-12-21T00:00:00"/>
    <n v="175"/>
    <n v="319932"/>
    <s v="PM"/>
    <n v="0"/>
    <n v="9620000268"/>
  </r>
  <r>
    <x v="57"/>
    <s v="Espresso Services Inc._9620000268, 9620000267, 9620054084_RECON.xlsx"/>
    <s v="IL5007551"/>
    <d v="2020-12-22T00:00:00"/>
    <n v="175"/>
    <n v="0"/>
    <s v="TBD"/>
    <n v="0"/>
    <n v="9620000268"/>
  </r>
  <r>
    <x v="57"/>
    <s v="Espresso Services Inc._9620000268, 9620000267, 9620054084_RECON.xlsx"/>
    <s v="IL5007554"/>
    <d v="2020-12-22T00:00:00"/>
    <n v="215"/>
    <n v="0"/>
    <s v="TBD"/>
    <n v="0"/>
    <n v="9620000268"/>
  </r>
  <r>
    <x v="57"/>
    <s v="Espresso Services Inc._9620000268, 9620000267, 9620054084_RECON.xlsx"/>
    <s v="IL5007556"/>
    <d v="2020-12-22T00:00:00"/>
    <n v="175"/>
    <n v="0"/>
    <s v="TBD"/>
    <n v="0"/>
    <n v="9620000268"/>
  </r>
  <r>
    <x v="57"/>
    <s v="Espresso Services Inc._9620000268, 9620000267, 9620054084_RECON.xlsx"/>
    <s v="IL5007555"/>
    <d v="2020-12-22T00:00:00"/>
    <n v="175"/>
    <n v="0"/>
    <s v="TBD"/>
    <n v="0"/>
    <n v="9620000268"/>
  </r>
  <r>
    <x v="57"/>
    <s v="Espresso Services Inc._9620000268, 9620000267, 9620054084_RECON.xlsx"/>
    <s v="IL5007557"/>
    <d v="2020-12-22T00:00:00"/>
    <n v="175"/>
    <n v="0"/>
    <s v="TBD"/>
    <n v="0"/>
    <n v="9620000268"/>
  </r>
  <r>
    <x v="57"/>
    <s v="Espresso Services Inc._9620000268, 9620000267, 9620054084_RECON.xlsx"/>
    <s v="IL5007559"/>
    <d v="2020-12-29T00:00:00"/>
    <n v="395"/>
    <n v="0"/>
    <s v="TBD"/>
    <n v="0"/>
    <n v="9620000268"/>
  </r>
  <r>
    <x v="57"/>
    <s v="Espresso Services Inc._9620000268, 9620000267, 9620054084_RECON.xlsx"/>
    <s v="IA4005452"/>
    <d v="2020-12-31T00:00:00"/>
    <n v="181.3"/>
    <n v="0"/>
    <s v="TBD"/>
    <n v="0"/>
    <n v="9620000268"/>
  </r>
  <r>
    <x v="57"/>
    <s v="Espresso Services Inc._9620000268, 9620000267, 9620054084_RECON.xlsx"/>
    <s v="MN3095900"/>
    <d v="2021-01-19T00:00:00"/>
    <n v="407"/>
    <n v="0"/>
    <s v="TBD"/>
    <n v="0"/>
    <n v="9620000268"/>
  </r>
  <r>
    <x v="57"/>
    <s v="Espresso Services Inc._9620000268, 9620000267, 9620054084_RECON.xlsx"/>
    <s v="MN3096032"/>
    <d v="2021-01-22T00:00:00"/>
    <n v="825"/>
    <n v="0"/>
    <s v="TBD"/>
    <n v="0"/>
    <n v="9620000268"/>
  </r>
  <r>
    <x v="57"/>
    <s v="Espresso Services Inc._9620000268, 9620000267, 9620054084_RECON.xlsx"/>
    <s v="IL5007606"/>
    <d v="2021-01-25T00:00:00"/>
    <n v="322.5"/>
    <n v="0"/>
    <s v="TBD"/>
    <n v="0"/>
    <n v="9620000268"/>
  </r>
  <r>
    <x v="57"/>
    <s v="Espresso Services Inc._9620000268, 9620000267, 9620054084_RECON.xlsx"/>
    <s v="MN3096569"/>
    <d v="2021-02-11T00:00:00"/>
    <n v="186.38"/>
    <n v="0"/>
    <s v="TBD"/>
    <n v="0"/>
    <n v="9620000268"/>
  </r>
  <r>
    <x v="57"/>
    <s v="Espresso Services Inc._9620000268, 9620000267, 9620054084_RECON.xlsx"/>
    <s v="MN3096556"/>
    <d v="2021-02-11T00:00:00"/>
    <n v="220"/>
    <n v="0"/>
    <s v="TBD"/>
    <n v="0"/>
    <n v="9620000268"/>
  </r>
  <r>
    <x v="57"/>
    <s v="Espresso Services Inc._9620000268, 9620000267, 9620054084_RECON.xlsx"/>
    <s v="MN3096595"/>
    <d v="2021-02-11T00:00:00"/>
    <n v="825.38"/>
    <n v="0"/>
    <s v="TBD"/>
    <n v="0"/>
    <n v="9620000268"/>
  </r>
  <r>
    <x v="57"/>
    <s v="Espresso Services Inc._9620000268, 9620000267, 9620054084_RECON.xlsx"/>
    <s v="IA4005607"/>
    <d v="2021-03-15T00:00:00"/>
    <n v="95.4"/>
    <n v="0"/>
    <s v="TBD"/>
    <n v="0"/>
    <n v="9620000268"/>
  </r>
  <r>
    <x v="57"/>
    <s v="Espresso Services Inc._9620000268, 9620000267, 9620054084_RECON.xlsx"/>
    <s v="IA4005634"/>
    <d v="2021-03-22T00:00:00"/>
    <n v="1081.5"/>
    <n v="0"/>
    <s v="TBD"/>
    <n v="0"/>
    <n v="9620000268"/>
  </r>
  <r>
    <x v="57"/>
    <s v="Espresso Services Inc._9620000268, 9620000267, 9620054084_RECON.xlsx"/>
    <s v="IA4005653"/>
    <d v="2021-03-31T00:00:00"/>
    <n v="180.4"/>
    <n v="0"/>
    <s v="TBD"/>
    <n v="0"/>
    <n v="9620000268"/>
  </r>
  <r>
    <x v="57"/>
    <s v="Espresso Services Inc._9620000268, 9620000267, 9620054084_RECON.xlsx"/>
    <s v="IA4005657"/>
    <d v="2021-03-31T00:00:00"/>
    <n v="470.9"/>
    <n v="0"/>
    <s v="TBD"/>
    <n v="0"/>
    <n v="9620000268"/>
  </r>
  <r>
    <x v="57"/>
    <s v="Espresso Services Inc._9620000268, 9620000267, 9620054084_RECON.xlsx"/>
    <s v="MN3098478"/>
    <d v="2021-04-09T00:00:00"/>
    <n v="260"/>
    <n v="0"/>
    <s v="TBD"/>
    <n v="0"/>
    <n v="9620000268"/>
  </r>
  <r>
    <x v="57"/>
    <s v="Espresso Services Inc._9620000268, 9620000267, 9620054084_RECON.xlsx"/>
    <s v="IA4005664"/>
    <d v="2021-04-09T00:00:00"/>
    <n v="678.6"/>
    <n v="0"/>
    <s v="TBD"/>
    <n v="0"/>
    <n v="9620000268"/>
  </r>
  <r>
    <x v="57"/>
    <s v="Espresso Services Inc._9620000268, 9620000267, 9620054084_RECON.xlsx"/>
    <s v="IL5007769"/>
    <d v="2021-04-12T00:00:00"/>
    <n v="285"/>
    <n v="0"/>
    <s v="TBD"/>
    <n v="0"/>
    <n v="9620000268"/>
  </r>
  <r>
    <x v="57"/>
    <s v="Espresso Services Inc._9620000268, 9620000267, 9620054084_RECON.xlsx"/>
    <s v="MN3098721"/>
    <d v="2021-04-16T00:00:00"/>
    <n v="175"/>
    <s v="00342562*"/>
    <s v="PM"/>
    <n v="0"/>
    <n v="9620000268"/>
  </r>
  <r>
    <x v="57"/>
    <s v="Espresso Services Inc._9620000268, 9620000267, 9620054084_RECON.xlsx"/>
    <s v="MN3098722"/>
    <d v="2021-04-16T00:00:00"/>
    <n v="175"/>
    <s v="00342564*"/>
    <s v="PM"/>
    <n v="0"/>
    <n v="9620000268"/>
  </r>
  <r>
    <x v="57"/>
    <s v="Espresso Services Inc._9620000268, 9620000267, 9620054084_RECON.xlsx"/>
    <s v="MN3098723"/>
    <d v="2021-04-16T00:00:00"/>
    <n v="856.53"/>
    <s v="00364906*"/>
    <s v="Service Call"/>
    <s v="DO NOT PAY"/>
    <n v="9620000268"/>
  </r>
  <r>
    <x v="57"/>
    <s v="Espresso Services Inc._9620000268, 9620000267, 9620054084_RECON.xlsx"/>
    <s v="MN3098726"/>
    <d v="2021-04-16T00:00:00"/>
    <n v="302.67"/>
    <s v="00364907*"/>
    <s v="Service Call"/>
    <s v="DO NOT PAY"/>
    <n v="9620000268"/>
  </r>
  <r>
    <x v="57"/>
    <s v="Espresso Services Inc._9620000268, 9620000267, 9620054084_RECON.xlsx"/>
    <s v="MN3098724"/>
    <d v="2021-04-16T00:00:00"/>
    <n v="175"/>
    <s v="00342561*"/>
    <s v="PM"/>
    <n v="0"/>
    <n v="9620000268"/>
  </r>
  <r>
    <x v="57"/>
    <s v="Espresso Services Inc._9620000268, 9620000267, 9620054084_RECON.xlsx"/>
    <s v="MN3098991"/>
    <d v="2021-04-26T00:00:00"/>
    <n v="465"/>
    <s v="00366505*"/>
    <s v="Service Call"/>
    <n v="0"/>
    <n v="9620000268"/>
  </r>
  <r>
    <x v="57"/>
    <s v="Espresso Services Inc._9620000268, 9620000267, 9620054084_RECON.xlsx"/>
    <s v="MN3098993"/>
    <d v="2021-04-26T00:00:00"/>
    <n v="1682.13"/>
    <s v="00368363*"/>
    <s v="Service Call"/>
    <n v="0"/>
    <n v="9620000268"/>
  </r>
  <r>
    <x v="57"/>
    <s v="Espresso Services Inc._9620000268, 9620000267, 9620054084_RECON.xlsx"/>
    <s v="MN3099149"/>
    <d v="2021-04-29T00:00:00"/>
    <n v="175"/>
    <n v="0"/>
    <s v="Service Call"/>
    <n v="0"/>
    <n v="9620000268"/>
  </r>
  <r>
    <x v="57"/>
    <s v="Espresso Services Inc._9620000268, 9620000267, 9620054084_RECON.xlsx"/>
    <s v="IA4005757"/>
    <d v="2021-05-14T00:00:00"/>
    <n v="540.75"/>
    <n v="4500480361"/>
    <s v="Install"/>
    <n v="0"/>
    <n v="9620000268"/>
  </r>
  <r>
    <x v="57"/>
    <s v="Espresso Services Inc._9620000268, 9620000267, 9620054084_RECON.xlsx"/>
    <s v="MN3099776"/>
    <d v="2021-05-17T00:00:00"/>
    <n v="561.42999999999995"/>
    <s v="423198*"/>
    <s v="Install"/>
    <n v="0"/>
    <n v="9620000268"/>
  </r>
  <r>
    <x v="57"/>
    <s v="Espresso Services Inc._9620000268, 9620000267, 9620054084_RECON.xlsx"/>
    <s v="MN3100250"/>
    <d v="2021-05-31T00:00:00"/>
    <n v="348.15"/>
    <s v="00378454*"/>
    <s v="Service Call"/>
    <s v="DO NOT PAY"/>
    <n v="9620000268"/>
  </r>
  <r>
    <x v="57"/>
    <s v="Espresso Services Inc._9620000268, 9620000267, 9620054084_RECON.xlsx"/>
    <s v="MN3100635"/>
    <d v="2021-06-10T00:00:00"/>
    <n v="456.7"/>
    <n v="0"/>
    <s v="TBD"/>
    <n v="0"/>
    <n v="9620000268"/>
  </r>
  <r>
    <x v="57"/>
    <s v="Espresso Services Inc._9620000268, 9620000267, 9620054084_RECON.xlsx"/>
    <s v="IA4005835"/>
    <d v="2021-06-10T00:00:00"/>
    <n v="967.8"/>
    <n v="0"/>
    <s v="TBD"/>
    <n v="0"/>
    <n v="9620000268"/>
  </r>
  <r>
    <x v="57"/>
    <s v="Espresso Services Inc._9620000268, 9620000267, 9620054084_RECON.xlsx"/>
    <s v="IA4005849"/>
    <d v="2021-06-15T00:00:00"/>
    <n v="1284.57"/>
    <n v="0"/>
    <s v="TBD"/>
    <n v="0"/>
    <n v="9620000268"/>
  </r>
  <r>
    <x v="57"/>
    <s v="Espresso Services Inc._9620000268, 9620000267, 9620054084_RECON.xlsx"/>
    <s v="IL5007926"/>
    <d v="2021-06-15T00:00:00"/>
    <n v="215"/>
    <n v="0"/>
    <s v="TBD"/>
    <n v="0"/>
    <n v="9620000268"/>
  </r>
  <r>
    <x v="57"/>
    <s v="Espresso Services Inc._9620000268, 9620000267, 9620054084_RECON.xlsx"/>
    <s v="IL5007913"/>
    <d v="2021-06-15T00:00:00"/>
    <n v="215"/>
    <n v="0"/>
    <s v="TBD"/>
    <n v="0"/>
    <n v="9620000268"/>
  </r>
  <r>
    <x v="57"/>
    <s v="Espresso Services Inc._9620000268, 9620000267, 9620054084_RECON.xlsx"/>
    <s v="MN3100789"/>
    <d v="2021-06-15T00:00:00"/>
    <n v="415"/>
    <n v="0"/>
    <s v="TBD"/>
    <n v="0"/>
    <n v="9620000268"/>
  </r>
  <r>
    <x v="57"/>
    <s v="Espresso Services Inc._9620000268, 9620000267, 9620054084_RECON.xlsx"/>
    <s v="IL5007917"/>
    <d v="2021-06-15T00:00:00"/>
    <n v="502.5"/>
    <s v="00381403*"/>
    <s v="Service Call"/>
    <n v="0"/>
    <n v="9620000268"/>
  </r>
  <r>
    <x v="57"/>
    <s v="Espresso Services Inc._9620000268, 9620000267, 9620054084_RECON.xlsx"/>
    <s v="MN3100782"/>
    <d v="2021-06-15T00:00:00"/>
    <n v="175"/>
    <n v="0"/>
    <s v="TBD"/>
    <n v="0"/>
    <n v="9620000268"/>
  </r>
  <r>
    <x v="57"/>
    <s v="Espresso Services Inc._9620000268, 9620000267, 9620054084_RECON.xlsx"/>
    <s v="MN3100790"/>
    <d v="2021-06-15T00:00:00"/>
    <n v="175"/>
    <n v="0"/>
    <s v="TBD"/>
    <n v="0"/>
    <n v="9620000268"/>
  </r>
  <r>
    <x v="57"/>
    <s v="Espresso Services Inc._9620000268, 9620000267, 9620054084_RECON.xlsx"/>
    <s v="MN3100767"/>
    <d v="2021-06-15T00:00:00"/>
    <n v="180"/>
    <n v="0"/>
    <s v="TBD"/>
    <n v="0"/>
    <n v="9620000268"/>
  </r>
  <r>
    <x v="58"/>
    <s v="Espresso Solutions_9620000270, 9620000796, 9620000797_RECON.xlsx"/>
    <s v="IN0345167"/>
    <d v="2020-12-08T00:00:00"/>
    <n v="12.93"/>
    <n v="99834"/>
    <s v="TBD"/>
    <n v="0"/>
    <n v="9620000270"/>
  </r>
  <r>
    <x v="58"/>
    <s v="Espresso Solutions_9620000270, 9620000796, 9620000797_RECON.xlsx"/>
    <s v="IN0345171"/>
    <d v="2020-12-08T00:00:00"/>
    <n v="81.73"/>
    <n v="321994"/>
    <s v="Service Call"/>
    <n v="0"/>
    <n v="9620000270"/>
  </r>
  <r>
    <x v="58"/>
    <s v="Espresso Solutions_9620000270, 9620000796, 9620000797_RECON.xlsx"/>
    <s v="CN0303512"/>
    <d v="2020-12-28T00:00:00"/>
    <n v="-0.77"/>
    <n v="320688"/>
    <s v="Service Call"/>
    <n v="0"/>
    <n v="9620000270"/>
  </r>
  <r>
    <x v="58"/>
    <s v="Espresso Solutions_9620000270, 9620000796, 9620000797_RECON.xlsx"/>
    <s v="IN0345374"/>
    <d v="2021-01-08T00:00:00"/>
    <n v="281"/>
    <n v="341192"/>
    <s v="Service Call"/>
    <n v="0"/>
    <n v="9620000270"/>
  </r>
  <r>
    <x v="58"/>
    <s v="Espresso Solutions_9620000270, 9620000796, 9620000797_RECON.xlsx"/>
    <s v="IN0345468"/>
    <d v="2021-01-20T00:00:00"/>
    <n v="240.82"/>
    <n v="320705"/>
    <s v="Service Call"/>
    <n v="0"/>
    <n v="9620000270"/>
  </r>
  <r>
    <x v="58"/>
    <s v="Espresso Solutions_9620000270, 9620000796, 9620000797_RECON.xlsx"/>
    <s v="IN0345484"/>
    <d v="2021-01-25T00:00:00"/>
    <n v="415.16"/>
    <s v="MPDEDINPA03-00"/>
    <s v="Install"/>
    <n v="0"/>
    <n v="9620000270"/>
  </r>
  <r>
    <x v="58"/>
    <s v="Espresso Solutions_9620000270, 9620000796, 9620000797_RECON.xlsx"/>
    <s v="CN0303532"/>
    <d v="2021-01-30T00:00:00"/>
    <n v="-327.60000000000002"/>
    <n v="154676"/>
    <s v="TBD"/>
    <n v="0"/>
    <n v="9620000270"/>
  </r>
  <r>
    <x v="58"/>
    <s v="Espresso Solutions_9620000270, 9620000796, 9620000797_RECON.xlsx"/>
    <s v="IN0345848"/>
    <d v="2021-03-11T00:00:00"/>
    <n v="273.39"/>
    <n v="186188"/>
    <s v="Service Call"/>
    <n v="0"/>
    <n v="9620000270"/>
  </r>
  <r>
    <x v="58"/>
    <s v="Espresso Solutions_9620000270, 9620000796, 9620000797_RECON.xlsx"/>
    <s v="IN0345849"/>
    <d v="2021-03-11T00:00:00"/>
    <n v="284.41000000000003"/>
    <n v="188501"/>
    <s v="TBD"/>
    <n v="0"/>
    <n v="9620000270"/>
  </r>
  <r>
    <x v="58"/>
    <s v="Espresso Solutions_9620000270, 9620000796, 9620000797_RECON.xlsx"/>
    <s v="IN0346258"/>
    <d v="2021-05-10T00:00:00"/>
    <n v="433.35"/>
    <n v="369555"/>
    <s v="Service Call"/>
    <n v="0"/>
    <n v="9620000270"/>
  </r>
  <r>
    <x v="59"/>
    <s v="Espresso Southeast_9620000271_RECON.xlsx"/>
    <n v="103014"/>
    <d v="2021-02-26T00:00:00"/>
    <n v="547.66"/>
    <n v="351376"/>
    <s v="Service Call"/>
    <n v="0"/>
    <n v="9620000271"/>
  </r>
  <r>
    <x v="59"/>
    <s v="Espresso Southeast_9620000271_RECON.xlsx"/>
    <n v="103025"/>
    <d v="2021-03-12T00:00:00"/>
    <n v="230"/>
    <n v="358035"/>
    <s v="Service Call"/>
    <n v="0"/>
    <n v="9620000271"/>
  </r>
  <r>
    <x v="60"/>
    <s v="Espresso Wrench_9620000279_RECON.xlsx"/>
    <s v="E63312"/>
    <d v="2021-06-15T00:00:00"/>
    <n v="329.6"/>
    <n v="0"/>
    <s v="TBD"/>
    <n v="0"/>
    <n v="9620000279"/>
  </r>
  <r>
    <x v="60"/>
    <s v="Espresso Wrench_9620000279_RECON.xlsx"/>
    <s v="FC 1745"/>
    <d v="2021-04-08T00:00:00"/>
    <n v="31.92"/>
    <n v="0"/>
    <s v="TBD"/>
    <n v="0"/>
    <n v="9620000279"/>
  </r>
  <r>
    <x v="60"/>
    <s v="Espresso Wrench_9620000279_RECON.xlsx"/>
    <s v="E63310"/>
    <d v="2021-06-14T00:00:00"/>
    <n v="280.98"/>
    <n v="0"/>
    <s v="TBD"/>
    <n v="0"/>
    <n v="9620000279"/>
  </r>
  <r>
    <x v="60"/>
    <s v="Espresso Wrench_9620000279_RECON.xlsx"/>
    <s v="E63289"/>
    <d v="2021-05-18T00:00:00"/>
    <n v="128"/>
    <n v="0"/>
    <s v="TBD"/>
    <n v="0"/>
    <n v="9620000279"/>
  </r>
  <r>
    <x v="60"/>
    <s v="Espresso Wrench_9620000279_RECON.xlsx"/>
    <s v="E63226"/>
    <d v="2021-05-03T00:00:00"/>
    <n v="2529.66"/>
    <n v="0"/>
    <s v="TBD"/>
    <n v="0"/>
    <n v="9620000279"/>
  </r>
  <r>
    <x v="60"/>
    <s v="Espresso Wrench_9620000279_RECON.xlsx"/>
    <s v="E63164"/>
    <d v="2021-04-12T00:00:00"/>
    <n v="151.13"/>
    <n v="0"/>
    <s v="TBD"/>
    <n v="0"/>
    <n v="9620000279"/>
  </r>
  <r>
    <x v="60"/>
    <s v="Espresso Wrench_9620000279_RECON.xlsx"/>
    <s v="E63313"/>
    <d v="2021-06-15T00:00:00"/>
    <n v="189"/>
    <n v="0"/>
    <s v="TBD"/>
    <n v="0"/>
    <n v="9620000279"/>
  </r>
  <r>
    <x v="60"/>
    <s v="Espresso Wrench_9620000279_RECON.xlsx"/>
    <s v="E63307"/>
    <d v="2021-06-03T00:00:00"/>
    <n v="128"/>
    <n v="0"/>
    <s v="TBD"/>
    <n v="0"/>
    <n v="9620000279"/>
  </r>
  <r>
    <x v="60"/>
    <s v="Espresso Wrench_9620000279_RECON.xlsx"/>
    <s v="E63311"/>
    <d v="2021-06-10T00:00:00"/>
    <n v="408.93"/>
    <n v="0"/>
    <s v="TBD"/>
    <n v="0"/>
    <n v="9620000279"/>
  </r>
  <r>
    <x v="60"/>
    <s v="Espresso Wrench_9620000279_RECON.xlsx"/>
    <s v="E63309"/>
    <d v="2021-06-09T00:00:00"/>
    <n v="1283.9100000000001"/>
    <n v="0"/>
    <s v="TBD"/>
    <n v="0"/>
    <n v="9620000279"/>
  </r>
  <r>
    <x v="60"/>
    <s v="Espresso Wrench_9620000279_RECON.xlsx"/>
    <s v="E63094"/>
    <d v="2021-05-04T00:00:00"/>
    <n v="492.9"/>
    <n v="0"/>
    <s v="TBD"/>
    <n v="0"/>
    <n v="9620000279"/>
  </r>
  <r>
    <x v="61"/>
    <s v="EspressoTech Service Company_9620000277_RECON.XLSX"/>
    <n v="311903"/>
    <d v="2020-10-01T00:00:00"/>
    <n v="307.5"/>
    <s v="00311903*"/>
    <s v="Service Call"/>
    <n v="0"/>
    <n v="9620000277"/>
  </r>
  <r>
    <x v="61"/>
    <s v="EspressoTech Service Company_9620000277_RECON.XLSX"/>
    <n v="1020135019"/>
    <d v="2020-10-16T00:00:00"/>
    <n v="485"/>
    <n v="0"/>
    <s v="Install"/>
    <n v="0"/>
    <n v="9620000277"/>
  </r>
  <r>
    <x v="61"/>
    <s v="EspressoTech Service Company_9620000277_RECON.XLSX"/>
    <n v="316361"/>
    <d v="2020-11-05T00:00:00"/>
    <n v="205"/>
    <s v="00316361*"/>
    <s v="Service Call"/>
    <n v="0"/>
    <n v="9620000277"/>
  </r>
  <r>
    <x v="61"/>
    <s v="EspressoTech Service Company_9620000277_RECON.XLSX"/>
    <n v="452"/>
    <d v="2021-02-01T00:00:00"/>
    <n v="175"/>
    <n v="0"/>
    <s v="TBD"/>
    <n v="0"/>
    <n v="9620000277"/>
  </r>
  <r>
    <x v="62"/>
    <s v="EspressoTech Solutions_9620000276, 9620000282_RECON.xlsx"/>
    <n v="20828"/>
    <d v="2020-07-29T00:00:00"/>
    <n v="255"/>
    <n v="4500433534"/>
    <s v="Install"/>
    <s v="MOVED TO SALES TEAM FOLDER TO PROCESS"/>
    <n v="9620000276"/>
  </r>
  <r>
    <x v="62"/>
    <s v="EspressoTech Solutions_9620000276, 9620000282_RECON.xlsx"/>
    <n v="20898"/>
    <d v="2020-08-18T00:00:00"/>
    <n v="144"/>
    <s v="PO# R8037260"/>
    <s v="Install"/>
    <s v="MOVED TO SALES TEAM FOLDER TO PROCESS"/>
    <n v="9620000276"/>
  </r>
  <r>
    <x v="62"/>
    <s v="EspressoTech Solutions_9620000276, 9620000282_RECON.xlsx"/>
    <n v="20899"/>
    <d v="2020-08-19T00:00:00"/>
    <n v="144"/>
    <n v="305732"/>
    <s v="Install"/>
    <s v="MOVED TO SALES TEAM FOLDER TO PROCESS"/>
    <n v="9620000276"/>
  </r>
  <r>
    <x v="62"/>
    <s v="EspressoTech Solutions_9620000276, 9620000282_RECON.xlsx"/>
    <n v="21015"/>
    <d v="2020-09-11T00:00:00"/>
    <n v="372"/>
    <s v="circlekinstallMcCalla"/>
    <s v="Install"/>
    <s v="Was paid to account 9620000277 10/11/2020.  Need to correct.  Invoice Requires further research"/>
    <n v="9620000276"/>
  </r>
  <r>
    <x v="62"/>
    <s v="EspressoTech Solutions_9620000276, 9620000282_RECON.xlsx"/>
    <n v="21141"/>
    <d v="2020-09-25T00:00:00"/>
    <n v="347"/>
    <s v="RwayInstall#6823"/>
    <s v="Install"/>
    <s v="6/21 Teresa voided invoice - Duplicate Invoice 21062"/>
    <n v="9620000276"/>
  </r>
  <r>
    <x v="62"/>
    <s v="EspressoTech Solutions_9620000276, 9620000282_RECON.xlsx"/>
    <n v="21149"/>
    <d v="2020-10-13T00:00:00"/>
    <n v="968"/>
    <s v="20011-197"/>
    <s v="Install"/>
    <s v="Was paid to account 9620000277 11/12/2020.  Need to correct.  Invoice Requires further research"/>
    <n v="9620000276"/>
  </r>
  <r>
    <x v="62"/>
    <s v="EspressoTech Solutions_9620000276, 9620000282_RECON.xlsx"/>
    <n v="21229"/>
    <d v="2020-10-27T00:00:00"/>
    <n v="260.72000000000003"/>
    <n v="278488"/>
    <s v="PM"/>
    <s v="PM NOT IN SAP 12/03/2020/Found Case Number/In File"/>
    <n v="9620000276"/>
  </r>
  <r>
    <x v="62"/>
    <s v="EspressoTech Solutions_9620000276, 9620000282_RECON.xlsx"/>
    <n v="21418"/>
    <d v="2020-12-04T00:00:00"/>
    <n v="258"/>
    <n v="58845"/>
    <s v="Service Call"/>
    <s v="Invoice Requires further research/In file"/>
    <n v="9620000276"/>
  </r>
  <r>
    <x v="62"/>
    <s v="EspressoTech Solutions_9620000276, 9620000282_RECON.xlsx"/>
    <n v="21498"/>
    <d v="2020-12-17T00:00:00"/>
    <n v="363"/>
    <n v="327347"/>
    <s v="Install"/>
    <s v="Found Case Number/In File"/>
    <n v="9620000276"/>
  </r>
  <r>
    <x v="62"/>
    <s v="EspressoTech Solutions_9620000276, 9620000282_RECON.xlsx"/>
    <n v="21647"/>
    <d v="2021-01-22T00:00:00"/>
    <n v="144"/>
    <n v="345987"/>
    <s v="Service Call"/>
    <s v="Was paid to account 9620000277 2/21/2021.  Need to correct.  Invoice Requires further research"/>
    <n v="9620000276"/>
  </r>
  <r>
    <x v="62"/>
    <s v="EspressoTech Solutions_9620000276, 9620000282_RECON.xlsx"/>
    <n v="21644"/>
    <d v="2021-01-25T00:00:00"/>
    <n v="315"/>
    <n v="203836"/>
    <s v="PM"/>
    <s v="In File"/>
    <n v="9620000276"/>
  </r>
  <r>
    <x v="62"/>
    <s v="EspressoTech Solutions_9620000276, 9620000282_RECON.xlsx"/>
    <n v="21687"/>
    <d v="2021-01-29T00:00:00"/>
    <n v="520.5"/>
    <n v="364431"/>
    <s v="Install"/>
    <s v="Found Case Number/In File"/>
    <n v="9620000276"/>
  </r>
  <r>
    <x v="62"/>
    <s v="EspressoTech Solutions_9620000276, 9620000282_RECON.xlsx"/>
    <n v="21730"/>
    <d v="2021-02-09T00:00:00"/>
    <n v="175"/>
    <n v="310430"/>
    <s v="PM"/>
    <s v="Found Case Number/In File"/>
    <n v="9620000276"/>
  </r>
  <r>
    <x v="62"/>
    <s v="EspressoTech Solutions_9620000276, 9620000282_RECON.xlsx"/>
    <n v="21817"/>
    <d v="2021-03-02T00:00:00"/>
    <n v="621"/>
    <s v="CKinstall2658175"/>
    <s v="Install"/>
    <s v="Was paid to account 9620000277 4/1/2021.  Need to correct.  Invoice Requires further research"/>
    <n v="9620000276"/>
  </r>
  <r>
    <x v="62"/>
    <s v="EspressoTech Solutions_9620000276, 9620000282_RECON.xlsx"/>
    <n v="21856"/>
    <d v="2021-03-04T00:00:00"/>
    <n v="144"/>
    <n v="356692"/>
    <s v="Service Call"/>
    <s v="Was paid to account 9620000277 4/3/2021.  Need to correct.  Invoice Requires further research"/>
    <n v="9620000276"/>
  </r>
  <r>
    <x v="62"/>
    <s v="EspressoTech Solutions_9620000276, 9620000282_RECON.xlsx"/>
    <s v="21070..."/>
    <d v="2021-03-11T00:00:00"/>
    <n v="-80.459999999999994"/>
    <n v="0"/>
    <s v="TBD"/>
    <n v="0"/>
    <n v="9620000276"/>
  </r>
  <r>
    <x v="62"/>
    <s v="EspressoTech Solutions_9620000276, 9620000282_RECON.xlsx"/>
    <n v="21965"/>
    <d v="2021-03-24T00:00:00"/>
    <n v="665.5"/>
    <n v="364431"/>
    <s v="Install"/>
    <s v="Found Case Number/In File"/>
    <n v="9620000276"/>
  </r>
  <r>
    <x v="62"/>
    <s v="EspressoTech Solutions_9620000276, 9620000282_RECON.xlsx"/>
    <n v="21969"/>
    <d v="2021-04-01T00:00:00"/>
    <n v="378"/>
    <n v="222255"/>
    <s v="PM"/>
    <s v="Invoice Requires further research/In file"/>
    <n v="9620000276"/>
  </r>
  <r>
    <x v="62"/>
    <s v="EspressoTech Solutions_9620000276, 9620000282_RECON.xlsx"/>
    <n v="22006"/>
    <d v="2021-04-07T00:00:00"/>
    <n v="213.5"/>
    <n v="360539"/>
    <s v="Install"/>
    <s v="Found Case Number/In File"/>
    <n v="9620000276"/>
  </r>
  <r>
    <x v="62"/>
    <s v="EspressoTech Solutions_9620000276, 9620000282_RECON.xlsx"/>
    <n v="22055"/>
    <d v="2021-04-16T00:00:00"/>
    <n v="716"/>
    <n v="368818"/>
    <s v="Install"/>
    <s v="Found Case Number/In File"/>
    <n v="9620000276"/>
  </r>
  <r>
    <x v="62"/>
    <s v="EspressoTech Solutions_9620000276, 9620000282_RECON.xlsx"/>
    <n v="22073"/>
    <d v="2021-04-22T00:00:00"/>
    <n v="416.5"/>
    <n v="369985"/>
    <s v="Install"/>
    <s v="Found Case Number/In File"/>
    <n v="9620000276"/>
  </r>
  <r>
    <x v="62"/>
    <s v="EspressoTech Solutions_9620000276, 9620000282_RECON.xlsx"/>
    <n v="22127"/>
    <d v="2021-05-04T00:00:00"/>
    <n v="169"/>
    <n v="373420"/>
    <s v="TBD"/>
    <s v="Found Case Number/In File"/>
    <n v="9620000276"/>
  </r>
  <r>
    <x v="63"/>
    <s v="Fastcility_9620046935_RECON.xlsx"/>
    <n v="18513"/>
    <d v="2021-04-14T00:00:00"/>
    <n v="176"/>
    <n v="224454"/>
    <s v="PM"/>
    <n v="0"/>
    <n v="9620046935"/>
  </r>
  <r>
    <x v="63"/>
    <s v="Fastcility_9620046935_RECON.xlsx"/>
    <n v="18729"/>
    <d v="2021-04-16T00:00:00"/>
    <n v="330"/>
    <n v="360214"/>
    <s v="Service Call"/>
    <n v="0"/>
    <n v="9620046935"/>
  </r>
  <r>
    <x v="63"/>
    <s v="Fastcility_9620046935_RECON.xlsx"/>
    <n v="19077"/>
    <d v="2021-04-25T00:00:00"/>
    <n v="878.75"/>
    <n v="1020180258"/>
    <s v="Install"/>
    <n v="0"/>
    <n v="9620046935"/>
  </r>
  <r>
    <x v="63"/>
    <s v="Fastcility_9620046935_RECON.xlsx"/>
    <n v="19078"/>
    <d v="2021-04-25T00:00:00"/>
    <n v="742.5"/>
    <n v="1020237063"/>
    <s v="Install"/>
    <n v="0"/>
    <n v="9620046935"/>
  </r>
  <r>
    <x v="63"/>
    <s v="Fastcility_9620046935_RECON.xlsx"/>
    <n v="19475"/>
    <d v="2021-05-02T00:00:00"/>
    <n v="356.25"/>
    <n v="372194"/>
    <s v="Service Call"/>
    <n v="0"/>
    <n v="9620046935"/>
  </r>
  <r>
    <x v="63"/>
    <s v="Fastcility_9620046935_RECON.xlsx"/>
    <n v="19487"/>
    <d v="2021-05-02T00:00:00"/>
    <n v="264.75"/>
    <n v="371677"/>
    <s v="Service Call"/>
    <n v="0"/>
    <n v="9620046935"/>
  </r>
  <r>
    <x v="63"/>
    <s v="Fastcility_9620046935_RECON.xlsx"/>
    <n v="19688"/>
    <d v="2021-05-06T00:00:00"/>
    <n v="237.5"/>
    <n v="372588"/>
    <s v="Service Call"/>
    <n v="0"/>
    <n v="9620046935"/>
  </r>
  <r>
    <x v="63"/>
    <s v="Fastcility_9620046935_RECON.xlsx"/>
    <n v="19846"/>
    <d v="2021-05-11T00:00:00"/>
    <n v="760"/>
    <n v="373403"/>
    <s v="Service Call"/>
    <n v="0"/>
    <n v="9620046935"/>
  </r>
  <r>
    <x v="63"/>
    <s v="Fastcility_9620046935_RECON.xlsx"/>
    <n v="19885"/>
    <d v="2021-05-11T00:00:00"/>
    <n v="952"/>
    <n v="1020234175"/>
    <s v="Install"/>
    <n v="0"/>
    <n v="9620046935"/>
  </r>
  <r>
    <x v="63"/>
    <s v="Fastcility_9620046935_RECON.xlsx"/>
    <n v="19919"/>
    <d v="2021-05-12T00:00:00"/>
    <n v="503"/>
    <n v="358480"/>
    <s v="Service Call"/>
    <n v="0"/>
    <n v="9620046935"/>
  </r>
  <r>
    <x v="63"/>
    <s v="Fastcility_9620046935_RECON.xlsx"/>
    <n v="19956"/>
    <d v="2021-05-12T00:00:00"/>
    <n v="1116.25"/>
    <n v="1020233936"/>
    <s v="Install"/>
    <n v="0"/>
    <n v="9620046935"/>
  </r>
  <r>
    <x v="63"/>
    <s v="Fastcility_9620046935_RECON.xlsx"/>
    <n v="19958"/>
    <d v="2021-05-12T00:00:00"/>
    <n v="532"/>
    <n v="373179"/>
    <s v="Service Call"/>
    <n v="0"/>
    <n v="9620046935"/>
  </r>
  <r>
    <x v="63"/>
    <s v="Fastcility_9620046935_RECON.xlsx"/>
    <n v="20265"/>
    <d v="2021-05-19T00:00:00"/>
    <n v="1045"/>
    <n v="1020234162"/>
    <s v="Install"/>
    <n v="0"/>
    <n v="9620046935"/>
  </r>
  <r>
    <x v="63"/>
    <s v="Fastcility_9620046935_RECON.xlsx"/>
    <n v="20294"/>
    <d v="2021-05-19T00:00:00"/>
    <n v="1099.5"/>
    <n v="1020234585"/>
    <s v="Install"/>
    <n v="0"/>
    <n v="9620046935"/>
  </r>
  <r>
    <x v="63"/>
    <s v="Fastcility_9620046935_RECON.xlsx"/>
    <n v="20410"/>
    <d v="2021-05-24T00:00:00"/>
    <n v="275"/>
    <n v="304564"/>
    <s v="PM"/>
    <n v="0"/>
    <n v="9620046935"/>
  </r>
  <r>
    <x v="63"/>
    <s v="Fastcility_9620046935_RECON.xlsx"/>
    <n v="20430"/>
    <d v="2021-05-24T00:00:00"/>
    <n v="617.5"/>
    <n v="1020234178"/>
    <s v="Install"/>
    <n v="0"/>
    <n v="9620046935"/>
  </r>
  <r>
    <x v="63"/>
    <s v="Fastcility_9620046935_RECON.xlsx"/>
    <n v="20431"/>
    <d v="2021-05-24T00:00:00"/>
    <n v="275"/>
    <n v="304571"/>
    <s v="PM"/>
    <n v="0"/>
    <n v="9620046935"/>
  </r>
  <r>
    <x v="63"/>
    <s v="Fastcility_9620046935_RECON.xlsx"/>
    <n v="20432"/>
    <d v="2021-05-24T00:00:00"/>
    <n v="275"/>
    <n v="304578"/>
    <s v="PM"/>
    <n v="0"/>
    <n v="9620046935"/>
  </r>
  <r>
    <x v="63"/>
    <s v="Fastcility_9620046935_RECON.xlsx"/>
    <n v="20433"/>
    <d v="2021-05-24T00:00:00"/>
    <n v="275"/>
    <n v="304584"/>
    <s v="PM"/>
    <n v="0"/>
    <n v="9620046935"/>
  </r>
  <r>
    <x v="63"/>
    <s v="Fastcility_9620046935_RECON.xlsx"/>
    <n v="20434"/>
    <d v="2021-05-24T00:00:00"/>
    <n v="275"/>
    <n v="304587"/>
    <s v="PM"/>
    <n v="0"/>
    <n v="9620046935"/>
  </r>
  <r>
    <x v="63"/>
    <s v="Fastcility_9620046935_RECON.xlsx"/>
    <n v="20435"/>
    <d v="2021-05-24T00:00:00"/>
    <n v="142.5"/>
    <n v="304592"/>
    <s v="PM"/>
    <n v="0"/>
    <n v="9620046935"/>
  </r>
  <r>
    <x v="63"/>
    <s v="Fastcility_9620046935_RECON.xlsx"/>
    <n v="20438"/>
    <d v="2021-05-24T00:00:00"/>
    <n v="475"/>
    <n v="376189"/>
    <s v="Service Call"/>
    <n v="0"/>
    <n v="9620046935"/>
  </r>
  <r>
    <x v="63"/>
    <s v="Fastcility_9620046935_RECON.xlsx"/>
    <n v="20439"/>
    <d v="2021-05-24T00:00:00"/>
    <n v="190"/>
    <n v="377046"/>
    <s v="Service Call"/>
    <n v="0"/>
    <n v="9620046935"/>
  </r>
  <r>
    <x v="63"/>
    <s v="Fastcility_9620046935_RECON.xlsx"/>
    <n v="20496"/>
    <d v="2021-05-24T00:00:00"/>
    <n v="275"/>
    <n v="304523"/>
    <s v="PM"/>
    <n v="0"/>
    <n v="9620046935"/>
  </r>
  <r>
    <x v="63"/>
    <s v="Fastcility_9620046935_RECON.xlsx"/>
    <n v="20497"/>
    <d v="2021-05-24T00:00:00"/>
    <n v="275"/>
    <n v="304568"/>
    <s v="PM"/>
    <n v="0"/>
    <n v="9620046935"/>
  </r>
  <r>
    <x v="63"/>
    <s v="Fastcility_9620046935_RECON.xlsx"/>
    <n v="20498"/>
    <d v="2021-05-24T00:00:00"/>
    <n v="275"/>
    <n v="304574"/>
    <s v="PM"/>
    <n v="0"/>
    <n v="9620046935"/>
  </r>
  <r>
    <x v="63"/>
    <s v="Fastcility_9620046935_RECON.xlsx"/>
    <n v="20499"/>
    <d v="2021-05-24T00:00:00"/>
    <n v="275"/>
    <n v="304575"/>
    <s v="PM"/>
    <n v="0"/>
    <n v="9620046935"/>
  </r>
  <r>
    <x v="63"/>
    <s v="Fastcility_9620046935_RECON.xlsx"/>
    <n v="20500"/>
    <d v="2021-05-24T00:00:00"/>
    <n v="275"/>
    <n v="304591"/>
    <s v="PM"/>
    <n v="0"/>
    <n v="9620046935"/>
  </r>
  <r>
    <x v="63"/>
    <s v="Fastcility_9620046935_RECON.xlsx"/>
    <n v="20501"/>
    <d v="2021-05-24T00:00:00"/>
    <n v="318.75"/>
    <n v="377377"/>
    <s v="Service Call"/>
    <n v="0"/>
    <n v="9620046935"/>
  </r>
  <r>
    <x v="63"/>
    <s v="Fastcility_9620046935_RECON.xlsx"/>
    <n v="20502"/>
    <d v="2021-05-24T00:00:00"/>
    <n v="308.75"/>
    <n v="377744"/>
    <s v="Service Call"/>
    <n v="0"/>
    <n v="9620046935"/>
  </r>
  <r>
    <x v="63"/>
    <s v="Fastcility_9620046935_RECON.xlsx"/>
    <n v="20503"/>
    <d v="2021-05-24T00:00:00"/>
    <n v="190"/>
    <s v="1020234585-2"/>
    <s v="TBD"/>
    <n v="0"/>
    <n v="9620046935"/>
  </r>
  <r>
    <x v="63"/>
    <s v="Fastcility_9620046935_RECON.xlsx"/>
    <n v="20571"/>
    <d v="2021-05-25T00:00:00"/>
    <n v="1225.1199999999999"/>
    <n v="1020233944"/>
    <s v="Install"/>
    <n v="0"/>
    <n v="9620046935"/>
  </r>
  <r>
    <x v="63"/>
    <s v="Fastcility_9620046935_RECON.xlsx"/>
    <n v="20572"/>
    <d v="2021-05-25T00:00:00"/>
    <n v="275"/>
    <n v="304570"/>
    <s v="PM"/>
    <n v="0"/>
    <n v="9620046935"/>
  </r>
  <r>
    <x v="63"/>
    <s v="Fastcility_9620046935_RECON.xlsx"/>
    <n v="20549"/>
    <d v="2021-05-25T00:00:00"/>
    <n v="521.6"/>
    <n v="378129"/>
    <s v="Service Call"/>
    <n v="0"/>
    <n v="9620046935"/>
  </r>
  <r>
    <x v="63"/>
    <s v="Fastcility_9620046935_RECON.xlsx"/>
    <n v="20651"/>
    <d v="2021-05-26T00:00:00"/>
    <n v="142.5"/>
    <n v="304652"/>
    <s v="PM"/>
    <n v="0"/>
    <n v="9620046935"/>
  </r>
  <r>
    <x v="63"/>
    <s v="Fastcility_9620046935_RECON.xlsx"/>
    <n v="20655"/>
    <d v="2021-05-26T00:00:00"/>
    <n v="190"/>
    <n v="378198"/>
    <s v="Service Call"/>
    <n v="0"/>
    <n v="9620046935"/>
  </r>
  <r>
    <x v="63"/>
    <s v="Fastcility_9620046935_RECON.xlsx"/>
    <n v="20734"/>
    <d v="2021-05-26T00:00:00"/>
    <n v="522.5"/>
    <n v="377402"/>
    <s v="Service Call"/>
    <n v="0"/>
    <n v="9620046935"/>
  </r>
  <r>
    <x v="63"/>
    <s v="Fastcility_9620046935_RECON.xlsx"/>
    <n v="20799"/>
    <d v="2021-05-29T00:00:00"/>
    <n v="190"/>
    <n v="376481"/>
    <s v="Service Call"/>
    <n v="0"/>
    <n v="9620046935"/>
  </r>
  <r>
    <x v="63"/>
    <s v="Fastcility_9620046935_RECON.xlsx"/>
    <n v="20859"/>
    <d v="2021-05-29T00:00:00"/>
    <n v="285"/>
    <n v="379216"/>
    <s v="Service Call"/>
    <n v="0"/>
    <n v="9620046935"/>
  </r>
  <r>
    <x v="63"/>
    <s v="Fastcility_9620046935_RECON.xlsx"/>
    <n v="21058"/>
    <d v="2021-06-03T00:00:00"/>
    <n v="641.25"/>
    <n v="1020237575"/>
    <s v="Install"/>
    <n v="0"/>
    <n v="9620046935"/>
  </r>
  <r>
    <x v="63"/>
    <s v="Fastcility_9620046935_RECON.xlsx"/>
    <n v="21033"/>
    <d v="2021-06-03T00:00:00"/>
    <n v="566.1"/>
    <n v="379417"/>
    <s v="Service Call"/>
    <n v="0"/>
    <n v="9620046935"/>
  </r>
  <r>
    <x v="63"/>
    <s v="Fastcility_9620046935_RECON.xlsx"/>
    <n v="21092"/>
    <d v="2021-06-04T00:00:00"/>
    <n v="285"/>
    <n v="379534"/>
    <s v="Service Call"/>
    <n v="0"/>
    <n v="9620046935"/>
  </r>
  <r>
    <x v="63"/>
    <s v="Fastcility_9620046935_RECON.xlsx"/>
    <n v="21114"/>
    <d v="2021-06-04T00:00:00"/>
    <n v="808"/>
    <n v="363299"/>
    <s v="Service Call"/>
    <n v="0"/>
    <n v="9620046935"/>
  </r>
  <r>
    <x v="63"/>
    <s v="Fastcility_9620046935_RECON.xlsx"/>
    <n v="21195"/>
    <d v="2021-06-05T00:00:00"/>
    <n v="495.85"/>
    <n v="374766"/>
    <s v="Service Call"/>
    <n v="0"/>
    <n v="9620046935"/>
  </r>
  <r>
    <x v="63"/>
    <s v="Fastcility_9620046935_RECON.xlsx"/>
    <n v="21297"/>
    <d v="2021-06-08T00:00:00"/>
    <n v="190"/>
    <n v="379640"/>
    <s v="Service Call"/>
    <n v="0"/>
    <n v="9620046935"/>
  </r>
  <r>
    <x v="63"/>
    <s v="Fastcility_9620046935_RECON.xlsx"/>
    <n v="21422"/>
    <d v="2021-06-10T00:00:00"/>
    <n v="321.07"/>
    <n v="380133"/>
    <s v="Service Call"/>
    <n v="0"/>
    <n v="9620046935"/>
  </r>
  <r>
    <x v="63"/>
    <s v="Fastcility_9620046935_RECON.xlsx"/>
    <n v="21423"/>
    <d v="2021-06-10T00:00:00"/>
    <n v="290"/>
    <n v="380940"/>
    <s v="Service Call"/>
    <n v="0"/>
    <n v="9620046935"/>
  </r>
  <r>
    <x v="64"/>
    <s v="FESCO_9620000303, 9620000304, 9620000305_RECON.xlsx"/>
    <n v="425667"/>
    <d v="2021-06-14T00:00:00"/>
    <n v="438.78"/>
    <n v="0"/>
    <s v="TBD"/>
    <n v="0"/>
    <n v="9620000303"/>
  </r>
  <r>
    <x v="64"/>
    <s v="FESCO_9620000303, 9620000304, 9620000305_RECON.xlsx"/>
    <n v="425105"/>
    <d v="2021-06-08T00:00:00"/>
    <n v="738.43"/>
    <n v="379708"/>
    <s v="Service Call"/>
    <n v="0"/>
    <n v="9620000303"/>
  </r>
  <r>
    <x v="64"/>
    <s v="FESCO_9620000303, 9620000304, 9620000305_RECON.xlsx"/>
    <n v="425175"/>
    <d v="2021-06-08T00:00:00"/>
    <n v="1507.07"/>
    <n v="379795"/>
    <s v="Service Call"/>
    <n v="0"/>
    <n v="9620000303"/>
  </r>
  <r>
    <x v="64"/>
    <s v="FESCO_9620000303, 9620000304, 9620000305_RECON.xlsx"/>
    <n v="425001"/>
    <d v="2021-06-07T00:00:00"/>
    <n v="300.44"/>
    <n v="209034"/>
    <s v="PM"/>
    <n v="0"/>
    <n v="9620000303"/>
  </r>
  <r>
    <x v="64"/>
    <s v="FESCO_9620000303, 9620000304, 9620000305_RECON.xlsx"/>
    <n v="421848"/>
    <d v="2021-05-03T00:00:00"/>
    <n v="242.54"/>
    <n v="372429"/>
    <s v="Service Call"/>
    <n v="0"/>
    <n v="9620000303"/>
  </r>
  <r>
    <x v="64"/>
    <s v="FESCO_9620000303, 9620000304, 9620000305_RECON.xlsx"/>
    <n v="418535"/>
    <d v="2021-03-30T00:00:00"/>
    <n v="318.19"/>
    <n v="209984"/>
    <s v="PM"/>
    <s v="Invoice requires further research"/>
    <n v="9620000303"/>
  </r>
  <r>
    <x v="64"/>
    <s v="FESCO_9620000303, 9620000304, 9620000305_RECON.xlsx"/>
    <n v="416882"/>
    <d v="2021-03-12T00:00:00"/>
    <n v="431.54"/>
    <n v="181295"/>
    <s v="PM"/>
    <s v="Invoice requires further research"/>
    <n v="9620000303"/>
  </r>
  <r>
    <x v="64"/>
    <s v="FESCO_9620000303, 9620000304, 9620000305_RECON.xlsx"/>
    <n v="408944"/>
    <d v="2020-12-14T00:00:00"/>
    <n v="191.19"/>
    <n v="319845"/>
    <s v="PM"/>
    <s v="Invoice requires further research"/>
    <n v="9620000303"/>
  </r>
  <r>
    <x v="64"/>
    <s v="FESCO_9620000303, 9620000304, 9620000305_RECON.xlsx"/>
    <n v="408946"/>
    <d v="2020-12-14T00:00:00"/>
    <n v="191.19"/>
    <n v="319842"/>
    <s v="PM"/>
    <s v="Invoice requires further research"/>
    <n v="9620000303"/>
  </r>
  <r>
    <x v="64"/>
    <s v="FESCO_9620000303, 9620000304, 9620000305_RECON.xlsx"/>
    <n v="424155"/>
    <d v="2021-05-26T00:00:00"/>
    <n v="513.15"/>
    <n v="374360"/>
    <s v="PM"/>
    <n v="0"/>
    <n v="9620000303"/>
  </r>
  <r>
    <x v="64"/>
    <s v="FESCO_9620000303, 9620000304, 9620000305_RECON.xlsx"/>
    <n v="418543"/>
    <d v="2021-03-30T00:00:00"/>
    <n v="300.44"/>
    <n v="169669"/>
    <s v="PM"/>
    <s v="Invoice requires further research"/>
    <n v="9620000303"/>
  </r>
  <r>
    <x v="64"/>
    <s v="FESCO_9620000303, 9620000304, 9620000305_RECON.xlsx"/>
    <n v="425563"/>
    <d v="2021-06-11T00:00:00"/>
    <n v="474.76"/>
    <n v="380879"/>
    <s v="TBD"/>
    <n v="0"/>
    <n v="9620000303"/>
  </r>
  <r>
    <x v="64"/>
    <s v="FESCO_9620000303, 9620000304, 9620000305_RECON.xlsx"/>
    <n v="425423"/>
    <d v="2021-06-10T00:00:00"/>
    <n v="191.19"/>
    <n v="366796"/>
    <s v="PM"/>
    <n v="0"/>
    <n v="9620000303"/>
  </r>
  <r>
    <x v="64"/>
    <s v="FESCO_9620000303, 9620000304, 9620000305_RECON.xlsx"/>
    <n v="425466"/>
    <d v="2021-06-10T00:00:00"/>
    <n v="480.71"/>
    <n v="380270"/>
    <s v="Service Call"/>
    <n v="0"/>
    <n v="9620000303"/>
  </r>
  <r>
    <x v="64"/>
    <s v="FESCO_9620000303, 9620000304, 9620000305_RECON.xlsx"/>
    <n v="425124"/>
    <d v="2021-06-08T00:00:00"/>
    <n v="954.13"/>
    <n v="373369"/>
    <s v="Service Call"/>
    <n v="0"/>
    <n v="9620000303"/>
  </r>
  <r>
    <x v="64"/>
    <s v="FESCO_9620000303, 9620000304, 9620000305_RECON.xlsx"/>
    <n v="425167"/>
    <d v="2021-06-08T00:00:00"/>
    <n v="191.19"/>
    <n v="375911"/>
    <s v="PM"/>
    <n v="0"/>
    <n v="9620000303"/>
  </r>
  <r>
    <x v="64"/>
    <s v="FESCO_9620000303, 9620000304, 9620000305_RECON.xlsx"/>
    <n v="424752"/>
    <d v="2021-06-03T00:00:00"/>
    <n v="523.64"/>
    <s v="1020247601 /  53718"/>
    <s v="Install"/>
    <n v="0"/>
    <n v="9620000303"/>
  </r>
  <r>
    <x v="64"/>
    <s v="FESCO_9620000303, 9620000304, 9620000305_RECON.xlsx"/>
    <n v="424463"/>
    <d v="2021-05-28T00:00:00"/>
    <n v="760.77"/>
    <s v="harerer-PFJ Master P"/>
    <s v="TBD"/>
    <n v="0"/>
    <n v="9620000303"/>
  </r>
  <r>
    <x v="64"/>
    <s v="FESCO_9620000303, 9620000304, 9620000305_RECON.xlsx"/>
    <n v="423351"/>
    <d v="2021-05-19T00:00:00"/>
    <n v="216.87"/>
    <n v="304106"/>
    <s v="PM"/>
    <n v="0"/>
    <n v="9620000303"/>
  </r>
  <r>
    <x v="64"/>
    <s v="FESCO_9620000303, 9620000304, 9620000305_RECON.xlsx"/>
    <n v="420705"/>
    <d v="2021-04-22T00:00:00"/>
    <n v="436.54"/>
    <n v="368546"/>
    <s v="Service Call"/>
    <n v="0"/>
    <n v="9620000303"/>
  </r>
  <r>
    <x v="64"/>
    <s v="FESCO_9620000303, 9620000304, 9620000305_RECON.xlsx"/>
    <n v="413579"/>
    <d v="2021-02-04T00:00:00"/>
    <n v="431.54"/>
    <n v="214880"/>
    <s v="PM"/>
    <s v="Invoice requires further research"/>
    <n v="9620000303"/>
  </r>
  <r>
    <x v="65"/>
    <s v="Fix It Now 1 LLC_9620000307_RECON.xlsx"/>
    <s v="031521-3"/>
    <d v="2021-03-15T00:00:00"/>
    <n v="2076.44"/>
    <n v="0"/>
    <s v="TBD"/>
    <n v="0"/>
    <n v="9620000307"/>
  </r>
  <r>
    <x v="65"/>
    <s v="Fix It Now 1 LLC_9620000307_RECON.xlsx"/>
    <s v="033121-1"/>
    <d v="2021-03-31T00:00:00"/>
    <n v="267.5"/>
    <n v="0"/>
    <s v="TBD"/>
    <n v="0"/>
    <n v="9620000307"/>
  </r>
  <r>
    <x v="66"/>
    <s v="FoodService Concepts_9620000804_Recon.xlsx"/>
    <n v="76987"/>
    <d v="2020-11-27T00:00:00"/>
    <n v="258.64"/>
    <n v="319378"/>
    <s v="Service Call"/>
    <n v="0"/>
    <n v="9620000804"/>
  </r>
  <r>
    <x v="66"/>
    <s v="FoodService Concepts_9620000804_Recon.xlsx"/>
    <n v="77065"/>
    <d v="2020-12-09T00:00:00"/>
    <n v="1620.74"/>
    <n v="321265"/>
    <s v="Service Call"/>
    <n v="0"/>
    <n v="9620000804"/>
  </r>
  <r>
    <x v="66"/>
    <s v="FoodService Concepts_9620000804_Recon.xlsx"/>
    <n v="77167"/>
    <d v="2020-12-17T00:00:00"/>
    <n v="418.7"/>
    <n v="133383"/>
    <s v="PM"/>
    <n v="0"/>
    <n v="9620000804"/>
  </r>
  <r>
    <x v="66"/>
    <s v="FoodService Concepts_9620000804_Recon.xlsx"/>
    <n v="77172"/>
    <d v="2020-12-17T00:00:00"/>
    <n v="291.5"/>
    <n v="131046"/>
    <s v="PM"/>
    <n v="0"/>
    <n v="9620000804"/>
  </r>
  <r>
    <x v="66"/>
    <s v="FoodService Concepts_9620000804_Recon.xlsx"/>
    <n v="77356"/>
    <d v="2021-01-14T00:00:00"/>
    <n v="1759.02"/>
    <n v="342107"/>
    <s v="Service Call"/>
    <n v="0"/>
    <n v="9620000804"/>
  </r>
  <r>
    <x v="66"/>
    <s v="FoodService Concepts_9620000804_Recon.xlsx"/>
    <n v="77405"/>
    <d v="2021-01-22T00:00:00"/>
    <n v="779.44"/>
    <n v="1020173449"/>
    <s v="Install"/>
    <n v="0"/>
    <n v="9620000804"/>
  </r>
  <r>
    <x v="66"/>
    <s v="FoodService Concepts_9620000804_Recon.xlsx"/>
    <n v="77520"/>
    <d v="2021-02-17T00:00:00"/>
    <n v="291.5"/>
    <n v="347039"/>
    <s v="PM"/>
    <n v="0"/>
    <n v="9620000804"/>
  </r>
  <r>
    <x v="66"/>
    <s v="FoodService Concepts_9620000804_Recon.xlsx"/>
    <n v="77594"/>
    <d v="2021-03-10T00:00:00"/>
    <n v="426.6"/>
    <n v="212581"/>
    <s v="PM"/>
    <n v="0"/>
    <n v="9620000804"/>
  </r>
  <r>
    <x v="66"/>
    <s v="FoodService Concepts_9620000804_Recon.xlsx"/>
    <n v="77595"/>
    <d v="2021-03-10T00:00:00"/>
    <n v="426.6"/>
    <n v="132735"/>
    <s v="PM"/>
    <n v="0"/>
    <n v="9620000804"/>
  </r>
  <r>
    <x v="66"/>
    <s v="FoodService Concepts_9620000804_Recon.xlsx"/>
    <n v="77597"/>
    <d v="2021-03-10T00:00:00"/>
    <n v="426.6"/>
    <n v="221264"/>
    <s v="PM"/>
    <n v="0"/>
    <n v="9620000804"/>
  </r>
  <r>
    <x v="66"/>
    <s v="FoodService Concepts_9620000804_Recon.xlsx"/>
    <n v="77598"/>
    <d v="2021-03-10T00:00:00"/>
    <n v="426.6"/>
    <n v="164230"/>
    <s v="PM"/>
    <n v="0"/>
    <n v="9620000804"/>
  </r>
  <r>
    <x v="66"/>
    <s v="FoodService Concepts_9620000804_Recon.xlsx"/>
    <n v="77644"/>
    <d v="2021-03-16T00:00:00"/>
    <n v="426.6"/>
    <n v="214212"/>
    <s v="PM"/>
    <n v="0"/>
    <n v="9620000804"/>
  </r>
  <r>
    <x v="66"/>
    <s v="FoodService Concepts_9620000804_Recon.xlsx"/>
    <n v="77648"/>
    <d v="2021-03-17T00:00:00"/>
    <n v="291.5"/>
    <n v="233934"/>
    <s v="PM"/>
    <n v="0"/>
    <n v="9620000804"/>
  </r>
  <r>
    <x v="66"/>
    <s v="FoodService Concepts_9620000804_Recon.xlsx"/>
    <n v="77650"/>
    <d v="2021-03-17T00:00:00"/>
    <n v="291.5"/>
    <n v="234819"/>
    <s v="PM"/>
    <n v="0"/>
    <n v="9620000804"/>
  </r>
  <r>
    <x v="66"/>
    <s v="FoodService Concepts_9620000804_Recon.xlsx"/>
    <n v="77651"/>
    <d v="2021-03-17T00:00:00"/>
    <n v="86.4"/>
    <n v="203720"/>
    <s v="PM"/>
    <n v="0"/>
    <n v="9620000804"/>
  </r>
  <r>
    <x v="66"/>
    <s v="FoodService Concepts_9620000804_Recon.xlsx"/>
    <n v="77652"/>
    <d v="2021-03-17T00:00:00"/>
    <n v="418.7"/>
    <n v="213576"/>
    <s v="PM"/>
    <n v="0"/>
    <n v="9620000804"/>
  </r>
  <r>
    <x v="66"/>
    <s v="FoodService Concepts_9620000804_Recon.xlsx"/>
    <n v="77656"/>
    <d v="2021-03-17T00:00:00"/>
    <n v="435.76"/>
    <n v="356453"/>
    <s v="Service Call"/>
    <n v="0"/>
    <n v="9620000804"/>
  </r>
  <r>
    <x v="66"/>
    <s v="FoodService Concepts_9620000804_Recon.xlsx"/>
    <n v="77689"/>
    <d v="2021-03-24T00:00:00"/>
    <n v="426.6"/>
    <n v="132593"/>
    <s v="PM"/>
    <n v="0"/>
    <n v="9620000804"/>
  </r>
  <r>
    <x v="66"/>
    <s v="FoodService Concepts_9620000804_Recon.xlsx"/>
    <n v="77708"/>
    <d v="2021-03-31T00:00:00"/>
    <n v="426.6"/>
    <n v="212906"/>
    <s v="PM"/>
    <n v="0"/>
    <n v="9620000804"/>
  </r>
  <r>
    <x v="67"/>
    <s v="Full Espresso Repair_9620000324_RECON.xlsx"/>
    <n v="112067"/>
    <d v="2021-01-04T00:00:00"/>
    <n v="299.41000000000003"/>
    <n v="0"/>
    <s v="TBD"/>
    <n v="0"/>
    <n v="9620000324"/>
  </r>
  <r>
    <x v="67"/>
    <s v="Full Espresso Repair_9620000324_RECON.xlsx"/>
    <n v="112069"/>
    <d v="2021-01-04T00:00:00"/>
    <n v="299.41000000000003"/>
    <n v="0"/>
    <s v="TBD"/>
    <n v="0"/>
    <n v="9620000324"/>
  </r>
  <r>
    <x v="67"/>
    <s v="Full Espresso Repair_9620000324_RECON.xlsx"/>
    <n v="112080"/>
    <d v="2021-01-05T00:00:00"/>
    <n v="568.91999999999996"/>
    <n v="0"/>
    <s v="TBD"/>
    <n v="0"/>
    <n v="9620000324"/>
  </r>
  <r>
    <x v="67"/>
    <s v="Full Espresso Repair_9620000324_RECON.xlsx"/>
    <n v="112082"/>
    <d v="2021-01-05T00:00:00"/>
    <n v="862.14"/>
    <n v="0"/>
    <s v="TBD"/>
    <n v="0"/>
    <n v="9620000324"/>
  </r>
  <r>
    <x v="67"/>
    <s v="Full Espresso Repair_9620000324_RECON.xlsx"/>
    <n v="112083"/>
    <d v="2021-01-05T00:00:00"/>
    <n v="517.84"/>
    <n v="0"/>
    <s v="TBD"/>
    <n v="0"/>
    <n v="9620000324"/>
  </r>
  <r>
    <x v="67"/>
    <s v="Full Espresso Repair_9620000324_RECON.xlsx"/>
    <n v="112087"/>
    <d v="2021-01-06T00:00:00"/>
    <n v="299.41000000000003"/>
    <n v="0"/>
    <s v="TBD"/>
    <n v="0"/>
    <n v="9620000324"/>
  </r>
  <r>
    <x v="67"/>
    <s v="Full Espresso Repair_9620000324_RECON.xlsx"/>
    <n v="112088"/>
    <d v="2021-01-06T00:00:00"/>
    <n v="271.16000000000003"/>
    <n v="0"/>
    <s v="TBD"/>
    <n v="0"/>
    <n v="9620000324"/>
  </r>
  <r>
    <x v="67"/>
    <s v="Full Espresso Repair_9620000324_RECON.xlsx"/>
    <n v="112105"/>
    <d v="2021-01-08T00:00:00"/>
    <n v="343.36"/>
    <n v="0"/>
    <s v="TBD"/>
    <n v="0"/>
    <n v="9620000324"/>
  </r>
  <r>
    <x v="67"/>
    <s v="Full Espresso Repair_9620000324_RECON.xlsx"/>
    <n v="112111"/>
    <d v="2021-01-09T00:00:00"/>
    <n v="101.29"/>
    <n v="0"/>
    <s v="TBD"/>
    <n v="0"/>
    <n v="9620000324"/>
  </r>
  <r>
    <x v="67"/>
    <s v="Full Espresso Repair_9620000324_RECON.xlsx"/>
    <n v="112115"/>
    <d v="2021-01-09T00:00:00"/>
    <n v="430.06"/>
    <n v="0"/>
    <s v="TBD"/>
    <n v="0"/>
    <n v="9620000324"/>
  </r>
  <r>
    <x v="67"/>
    <s v="Full Espresso Repair_9620000324_RECON.xlsx"/>
    <n v="112126"/>
    <d v="2021-01-11T00:00:00"/>
    <n v="299.41000000000003"/>
    <n v="0"/>
    <s v="TBD"/>
    <n v="0"/>
    <n v="9620000324"/>
  </r>
  <r>
    <x v="67"/>
    <s v="Full Espresso Repair_9620000324_RECON.xlsx"/>
    <n v="112127"/>
    <d v="2021-01-11T00:00:00"/>
    <n v="299.41000000000003"/>
    <n v="0"/>
    <s v="TBD"/>
    <n v="0"/>
    <n v="9620000324"/>
  </r>
  <r>
    <x v="67"/>
    <s v="Full Espresso Repair_9620000324_RECON.xlsx"/>
    <n v="112130"/>
    <d v="2021-01-11T00:00:00"/>
    <n v="299.41000000000003"/>
    <n v="0"/>
    <s v="TBD"/>
    <n v="0"/>
    <n v="9620000324"/>
  </r>
  <r>
    <x v="67"/>
    <s v="Full Espresso Repair_9620000324_RECON.xlsx"/>
    <n v="112134"/>
    <d v="2021-01-12T00:00:00"/>
    <n v="297.64999999999998"/>
    <n v="0"/>
    <s v="TBD"/>
    <n v="0"/>
    <n v="9620000324"/>
  </r>
  <r>
    <x v="67"/>
    <s v="Full Espresso Repair_9620000324_RECON.xlsx"/>
    <n v="112135"/>
    <d v="2021-01-12T00:00:00"/>
    <n v="430.06"/>
    <n v="0"/>
    <s v="TBD"/>
    <n v="0"/>
    <n v="9620000324"/>
  </r>
  <r>
    <x v="67"/>
    <s v="Full Espresso Repair_9620000324_RECON.xlsx"/>
    <n v="112137"/>
    <d v="2021-01-12T00:00:00"/>
    <n v="114.99"/>
    <n v="0"/>
    <s v="TBD"/>
    <n v="0"/>
    <n v="9620000324"/>
  </r>
  <r>
    <x v="67"/>
    <s v="Full Espresso Repair_9620000324_RECON.xlsx"/>
    <n v="112140"/>
    <d v="2021-01-13T00:00:00"/>
    <n v="299.41000000000003"/>
    <n v="0"/>
    <s v="TBD"/>
    <n v="0"/>
    <n v="9620000324"/>
  </r>
  <r>
    <x v="67"/>
    <s v="Full Espresso Repair_9620000324_RECON.xlsx"/>
    <n v="112143"/>
    <d v="2021-01-13T00:00:00"/>
    <n v="290.31"/>
    <n v="0"/>
    <s v="TBD"/>
    <n v="0"/>
    <n v="9620000324"/>
  </r>
  <r>
    <x v="67"/>
    <s v="Full Espresso Repair_9620000324_RECON.xlsx"/>
    <n v="112144"/>
    <d v="2021-01-13T00:00:00"/>
    <n v="299.41000000000003"/>
    <n v="0"/>
    <s v="TBD"/>
    <n v="0"/>
    <n v="9620000324"/>
  </r>
  <r>
    <x v="67"/>
    <s v="Full Espresso Repair_9620000324_RECON.xlsx"/>
    <n v="112168"/>
    <d v="2021-01-15T00:00:00"/>
    <n v="297.68"/>
    <n v="0"/>
    <s v="TBD"/>
    <n v="0"/>
    <n v="9620000324"/>
  </r>
  <r>
    <x v="67"/>
    <s v="Full Espresso Repair_9620000324_RECON.xlsx"/>
    <n v="112172"/>
    <d v="2021-01-18T00:00:00"/>
    <n v="299.41000000000003"/>
    <n v="0"/>
    <s v="TBD"/>
    <n v="0"/>
    <n v="9620000324"/>
  </r>
  <r>
    <x v="67"/>
    <s v="Full Espresso Repair_9620000324_RECON.xlsx"/>
    <n v="112173"/>
    <d v="2021-01-18T00:00:00"/>
    <n v="299.41000000000003"/>
    <n v="0"/>
    <s v="TBD"/>
    <n v="0"/>
    <n v="9620000324"/>
  </r>
  <r>
    <x v="67"/>
    <s v="Full Espresso Repair_9620000324_RECON.xlsx"/>
    <n v="112174"/>
    <d v="2021-01-18T00:00:00"/>
    <n v="299.41000000000003"/>
    <n v="0"/>
    <s v="TBD"/>
    <n v="0"/>
    <n v="9620000324"/>
  </r>
  <r>
    <x v="67"/>
    <s v="Full Espresso Repair_9620000324_RECON.xlsx"/>
    <n v="112178"/>
    <d v="2021-01-18T00:00:00"/>
    <n v="299.41000000000003"/>
    <n v="0"/>
    <s v="TBD"/>
    <n v="0"/>
    <n v="9620000324"/>
  </r>
  <r>
    <x v="67"/>
    <s v="Full Espresso Repair_9620000324_RECON.xlsx"/>
    <n v="112179"/>
    <d v="2021-01-19T00:00:00"/>
    <n v="299.41000000000003"/>
    <n v="0"/>
    <s v="TBD"/>
    <n v="0"/>
    <n v="9620000324"/>
  </r>
  <r>
    <x v="67"/>
    <s v="Full Espresso Repair_9620000324_RECON.xlsx"/>
    <n v="112192"/>
    <d v="2021-01-19T00:00:00"/>
    <n v="430.06"/>
    <n v="0"/>
    <s v="TBD"/>
    <n v="0"/>
    <n v="9620000324"/>
  </r>
  <r>
    <x v="67"/>
    <s v="Full Espresso Repair_9620000324_RECON.xlsx"/>
    <n v="112196"/>
    <d v="2021-01-19T00:00:00"/>
    <n v="414.27"/>
    <n v="0"/>
    <s v="TBD"/>
    <n v="0"/>
    <n v="9620000324"/>
  </r>
  <r>
    <x v="67"/>
    <s v="Full Espresso Repair_9620000324_RECON.xlsx"/>
    <n v="112207"/>
    <d v="2021-01-20T00:00:00"/>
    <n v="218.42"/>
    <n v="0"/>
    <s v="TBD"/>
    <n v="0"/>
    <n v="9620000324"/>
  </r>
  <r>
    <x v="67"/>
    <s v="Full Espresso Repair_9620000324_RECON.xlsx"/>
    <n v="112208"/>
    <d v="2021-01-21T00:00:00"/>
    <n v="346.23"/>
    <n v="0"/>
    <s v="TBD"/>
    <n v="0"/>
    <n v="9620000324"/>
  </r>
  <r>
    <x v="67"/>
    <s v="Full Espresso Repair_9620000324_RECON.xlsx"/>
    <n v="112211"/>
    <d v="2021-01-21T00:00:00"/>
    <n v="265.54000000000002"/>
    <n v="0"/>
    <s v="TBD"/>
    <n v="0"/>
    <n v="9620000324"/>
  </r>
  <r>
    <x v="67"/>
    <s v="Full Espresso Repair_9620000324_RECON.xlsx"/>
    <n v="112213"/>
    <d v="2021-01-21T00:00:00"/>
    <n v="218.42"/>
    <n v="0"/>
    <s v="TBD"/>
    <n v="0"/>
    <n v="9620000324"/>
  </r>
  <r>
    <x v="67"/>
    <s v="Full Espresso Repair_9620000324_RECON.xlsx"/>
    <n v="112214"/>
    <d v="2021-01-21T00:00:00"/>
    <n v="214.76"/>
    <n v="0"/>
    <s v="TBD"/>
    <n v="0"/>
    <n v="9620000324"/>
  </r>
  <r>
    <x v="67"/>
    <s v="Full Espresso Repair_9620000324_RECON.xlsx"/>
    <n v="112219"/>
    <d v="2021-01-22T00:00:00"/>
    <n v="299.41000000000003"/>
    <n v="0"/>
    <s v="TBD"/>
    <n v="0"/>
    <n v="9620000324"/>
  </r>
  <r>
    <x v="67"/>
    <s v="Full Espresso Repair_9620000324_RECON.xlsx"/>
    <n v="112223"/>
    <d v="2021-01-22T00:00:00"/>
    <n v="218.42"/>
    <n v="0"/>
    <s v="TBD"/>
    <n v="0"/>
    <n v="9620000324"/>
  </r>
  <r>
    <x v="67"/>
    <s v="Full Espresso Repair_9620000324_RECON.xlsx"/>
    <n v="112224"/>
    <d v="2021-01-22T00:00:00"/>
    <n v="214.51"/>
    <n v="0"/>
    <s v="TBD"/>
    <n v="0"/>
    <n v="9620000324"/>
  </r>
  <r>
    <x v="67"/>
    <s v="Full Espresso Repair_9620000324_RECON.xlsx"/>
    <n v="112226"/>
    <d v="2021-01-22T00:00:00"/>
    <n v="315.33"/>
    <n v="0"/>
    <s v="TBD"/>
    <n v="0"/>
    <n v="9620000324"/>
  </r>
  <r>
    <x v="67"/>
    <s v="Full Espresso Repair_9620000324_RECON.xlsx"/>
    <n v="112232"/>
    <d v="2021-01-25T00:00:00"/>
    <n v="299.41000000000003"/>
    <n v="0"/>
    <s v="TBD"/>
    <n v="0"/>
    <n v="9620000324"/>
  </r>
  <r>
    <x v="67"/>
    <s v="Full Espresso Repair_9620000324_RECON.xlsx"/>
    <n v="112233"/>
    <d v="2021-01-25T00:00:00"/>
    <n v="293.22000000000003"/>
    <n v="0"/>
    <s v="TBD"/>
    <n v="0"/>
    <n v="9620000324"/>
  </r>
  <r>
    <x v="67"/>
    <s v="Full Espresso Repair_9620000324_RECON.xlsx"/>
    <n v="112234"/>
    <d v="2021-01-25T00:00:00"/>
    <n v="430.06"/>
    <n v="0"/>
    <s v="TBD"/>
    <n v="0"/>
    <n v="9620000324"/>
  </r>
  <r>
    <x v="67"/>
    <s v="Full Espresso Repair_9620000324_RECON.xlsx"/>
    <n v="112247"/>
    <d v="2021-01-28T00:00:00"/>
    <n v="299.41000000000003"/>
    <n v="0"/>
    <s v="TBD"/>
    <n v="0"/>
    <n v="9620000324"/>
  </r>
  <r>
    <x v="67"/>
    <s v="Full Espresso Repair_9620000324_RECON.xlsx"/>
    <n v="112248"/>
    <d v="2021-01-28T00:00:00"/>
    <n v="198.43"/>
    <n v="0"/>
    <s v="TBD"/>
    <n v="0"/>
    <n v="9620000324"/>
  </r>
  <r>
    <x v="67"/>
    <s v="Full Espresso Repair_9620000324_RECON.xlsx"/>
    <n v="112249"/>
    <d v="2021-01-28T00:00:00"/>
    <n v="299.41000000000003"/>
    <n v="0"/>
    <s v="TBD"/>
    <n v="0"/>
    <n v="9620000324"/>
  </r>
  <r>
    <x v="67"/>
    <s v="Full Espresso Repair_9620000324_RECON.xlsx"/>
    <n v="112253"/>
    <d v="2021-01-28T00:00:00"/>
    <n v="190.53"/>
    <n v="0"/>
    <s v="TBD"/>
    <n v="0"/>
    <n v="9620000324"/>
  </r>
  <r>
    <x v="67"/>
    <s v="Full Espresso Repair_9620000324_RECON.xlsx"/>
    <n v="112254"/>
    <d v="2021-01-28T00:00:00"/>
    <n v="323.37"/>
    <n v="0"/>
    <s v="TBD"/>
    <n v="0"/>
    <n v="9620000324"/>
  </r>
  <r>
    <x v="67"/>
    <s v="Full Espresso Repair_9620000324_RECON.xlsx"/>
    <n v="112255"/>
    <d v="2021-01-28T00:00:00"/>
    <n v="430.06"/>
    <n v="0"/>
    <s v="TBD"/>
    <n v="0"/>
    <n v="9620000324"/>
  </r>
  <r>
    <x v="67"/>
    <s v="Full Espresso Repair_9620000324_RECON.xlsx"/>
    <n v="112256"/>
    <d v="2021-01-28T00:00:00"/>
    <n v="198.43"/>
    <n v="0"/>
    <s v="TBD"/>
    <n v="0"/>
    <n v="9620000324"/>
  </r>
  <r>
    <x v="67"/>
    <s v="Full Espresso Repair_9620000324_RECON.xlsx"/>
    <n v="112257"/>
    <d v="2021-01-28T00:00:00"/>
    <n v="353.58"/>
    <n v="0"/>
    <s v="TBD"/>
    <n v="0"/>
    <n v="9620000324"/>
  </r>
  <r>
    <x v="67"/>
    <s v="Full Espresso Repair_9620000324_RECON.xlsx"/>
    <n v="112258"/>
    <d v="2021-01-28T00:00:00"/>
    <n v="465.77"/>
    <n v="0"/>
    <s v="TBD"/>
    <n v="0"/>
    <n v="9620000324"/>
  </r>
  <r>
    <x v="67"/>
    <s v="Full Espresso Repair_9620000324_RECON.xlsx"/>
    <n v="112259"/>
    <d v="2021-01-28T00:00:00"/>
    <n v="430.06"/>
    <n v="0"/>
    <s v="TBD"/>
    <n v="0"/>
    <n v="9620000324"/>
  </r>
  <r>
    <x v="67"/>
    <s v="Full Espresso Repair_9620000324_RECON.xlsx"/>
    <n v="112260"/>
    <d v="2021-01-29T00:00:00"/>
    <n v="440.13"/>
    <n v="0"/>
    <s v="TBD"/>
    <n v="0"/>
    <n v="9620000324"/>
  </r>
  <r>
    <x v="67"/>
    <s v="Full Espresso Repair_9620000324_RECON.xlsx"/>
    <n v="112261"/>
    <d v="2021-01-29T00:00:00"/>
    <n v="299.41000000000003"/>
    <n v="0"/>
    <s v="TBD"/>
    <n v="0"/>
    <n v="9620000324"/>
  </r>
  <r>
    <x v="67"/>
    <s v="Full Espresso Repair_9620000324_RECON.xlsx"/>
    <n v="112262"/>
    <d v="2021-01-29T00:00:00"/>
    <n v="430.06"/>
    <n v="0"/>
    <s v="TBD"/>
    <n v="0"/>
    <n v="9620000324"/>
  </r>
  <r>
    <x v="67"/>
    <s v="Full Espresso Repair_9620000324_RECON.xlsx"/>
    <n v="112265"/>
    <d v="2021-01-29T00:00:00"/>
    <n v="217.95"/>
    <n v="0"/>
    <s v="TBD"/>
    <n v="0"/>
    <n v="9620000324"/>
  </r>
  <r>
    <x v="67"/>
    <s v="Full Espresso Repair_9620000324_RECON.xlsx"/>
    <n v="112271"/>
    <d v="2021-01-31T00:00:00"/>
    <n v="293.22000000000003"/>
    <n v="0"/>
    <s v="TBD"/>
    <n v="0"/>
    <n v="9620000324"/>
  </r>
  <r>
    <x v="67"/>
    <s v="Full Espresso Repair_9620000324_RECON.xlsx"/>
    <n v="112272"/>
    <d v="2021-01-31T00:00:00"/>
    <n v="299.41000000000003"/>
    <n v="0"/>
    <s v="TBD"/>
    <n v="0"/>
    <n v="9620000324"/>
  </r>
  <r>
    <x v="67"/>
    <s v="Full Espresso Repair_9620000324_RECON.xlsx"/>
    <n v="112273"/>
    <d v="2021-01-31T00:00:00"/>
    <n v="299.41000000000003"/>
    <n v="0"/>
    <s v="TBD"/>
    <n v="0"/>
    <n v="9620000324"/>
  </r>
  <r>
    <x v="67"/>
    <s v="Full Espresso Repair_9620000324_RECON.xlsx"/>
    <n v="112274"/>
    <d v="2021-01-31T00:00:00"/>
    <n v="299.41000000000003"/>
    <n v="0"/>
    <s v="TBD"/>
    <n v="0"/>
    <n v="9620000324"/>
  </r>
  <r>
    <x v="67"/>
    <s v="Full Espresso Repair_9620000324_RECON.xlsx"/>
    <n v="112275"/>
    <d v="2021-01-31T00:00:00"/>
    <n v="299.41000000000003"/>
    <n v="0"/>
    <s v="TBD"/>
    <n v="0"/>
    <n v="9620000324"/>
  </r>
  <r>
    <x v="67"/>
    <s v="Full Espresso Repair_9620000324_RECON.xlsx"/>
    <n v="112276"/>
    <d v="2021-01-31T00:00:00"/>
    <n v="428.08"/>
    <n v="0"/>
    <s v="TBD"/>
    <n v="0"/>
    <n v="9620000324"/>
  </r>
  <r>
    <x v="67"/>
    <s v="Full Espresso Repair_9620000324_RECON.xlsx"/>
    <n v="112323"/>
    <d v="2021-02-08T00:00:00"/>
    <n v="467.37"/>
    <n v="0"/>
    <s v="TBD"/>
    <n v="0"/>
    <n v="9620000324"/>
  </r>
  <r>
    <x v="67"/>
    <s v="Full Espresso Repair_9620000324_RECON.xlsx"/>
    <n v="112324"/>
    <d v="2021-02-08T00:00:00"/>
    <n v="489.52"/>
    <n v="0"/>
    <s v="TBD"/>
    <n v="0"/>
    <n v="9620000324"/>
  </r>
  <r>
    <x v="67"/>
    <s v="Full Espresso Repair_9620000324_RECON.xlsx"/>
    <n v="112368"/>
    <d v="2021-02-11T00:00:00"/>
    <n v="295.33"/>
    <n v="0"/>
    <s v="TBD"/>
    <n v="0"/>
    <n v="9620000324"/>
  </r>
  <r>
    <x v="67"/>
    <s v="Full Espresso Repair_9620000324_RECON.xlsx"/>
    <n v="112377"/>
    <d v="2021-02-12T00:00:00"/>
    <n v="432.22"/>
    <n v="0"/>
    <s v="TBD"/>
    <n v="0"/>
    <n v="9620000324"/>
  </r>
  <r>
    <x v="67"/>
    <s v="Full Espresso Repair_9620000324_RECON.xlsx"/>
    <n v="112379"/>
    <d v="2021-02-12T00:00:00"/>
    <n v="265.16000000000003"/>
    <n v="0"/>
    <s v="TBD"/>
    <n v="0"/>
    <n v="9620000324"/>
  </r>
  <r>
    <x v="67"/>
    <s v="Full Espresso Repair_9620000324_RECON.xlsx"/>
    <n v="112411"/>
    <d v="2021-02-17T00:00:00"/>
    <n v="299.41000000000003"/>
    <n v="0"/>
    <s v="TBD"/>
    <n v="0"/>
    <n v="9620000324"/>
  </r>
  <r>
    <x v="67"/>
    <s v="Full Espresso Repair_9620000324_RECON.xlsx"/>
    <n v="112422"/>
    <d v="2021-02-18T00:00:00"/>
    <n v="430.06"/>
    <n v="0"/>
    <s v="TBD"/>
    <n v="0"/>
    <n v="9620000324"/>
  </r>
  <r>
    <x v="67"/>
    <s v="Full Espresso Repair_9620000324_RECON.xlsx"/>
    <n v="112423"/>
    <d v="2021-02-18T00:00:00"/>
    <n v="430.06"/>
    <n v="0"/>
    <s v="TBD"/>
    <n v="0"/>
    <n v="9620000324"/>
  </r>
  <r>
    <x v="67"/>
    <s v="Full Espresso Repair_9620000324_RECON.xlsx"/>
    <n v="112451"/>
    <d v="2021-02-22T00:00:00"/>
    <n v="465.77"/>
    <n v="0"/>
    <s v="TBD"/>
    <n v="0"/>
    <n v="9620000324"/>
  </r>
  <r>
    <x v="67"/>
    <s v="Full Espresso Repair_9620000324_RECON.xlsx"/>
    <n v="112484"/>
    <d v="2021-02-26T00:00:00"/>
    <n v="430.06"/>
    <n v="0"/>
    <s v="TBD"/>
    <n v="0"/>
    <n v="9620000324"/>
  </r>
  <r>
    <x v="67"/>
    <s v="Full Espresso Repair_9620000324_RECON.xlsx"/>
    <n v="112486"/>
    <d v="2021-02-26T00:00:00"/>
    <n v="206.43"/>
    <n v="0"/>
    <s v="TBD"/>
    <n v="0"/>
    <n v="9620000324"/>
  </r>
  <r>
    <x v="67"/>
    <s v="Full Espresso Repair_9620000324_RECON.xlsx"/>
    <n v="112515"/>
    <d v="2021-03-03T00:00:00"/>
    <n v="430.06"/>
    <n v="0"/>
    <s v="TBD"/>
    <n v="0"/>
    <n v="9620000324"/>
  </r>
  <r>
    <x v="67"/>
    <s v="Full Espresso Repair_9620000324_RECON.xlsx"/>
    <n v="112521"/>
    <d v="2021-03-03T00:00:00"/>
    <n v="299.41000000000003"/>
    <n v="0"/>
    <s v="TBD"/>
    <n v="0"/>
    <n v="9620000324"/>
  </r>
  <r>
    <x v="67"/>
    <s v="Full Espresso Repair_9620000324_RECON.xlsx"/>
    <n v="112560"/>
    <d v="2021-03-08T00:00:00"/>
    <n v="430.06"/>
    <n v="0"/>
    <s v="TBD"/>
    <n v="0"/>
    <n v="9620000324"/>
  </r>
  <r>
    <x v="67"/>
    <s v="Full Espresso Repair_9620000324_RECON.xlsx"/>
    <n v="112564"/>
    <d v="2021-03-08T00:00:00"/>
    <n v="430.06"/>
    <n v="0"/>
    <s v="TBD"/>
    <n v="0"/>
    <n v="9620000324"/>
  </r>
  <r>
    <x v="67"/>
    <s v="Full Espresso Repair_9620000324_RECON.xlsx"/>
    <n v="112585"/>
    <d v="2021-03-10T00:00:00"/>
    <n v="95"/>
    <n v="0"/>
    <s v="TBD"/>
    <n v="0"/>
    <n v="9620000324"/>
  </r>
  <r>
    <x v="67"/>
    <s v="Full Espresso Repair_9620000324_RECON.xlsx"/>
    <n v="112595"/>
    <d v="2021-03-12T00:00:00"/>
    <n v="299.41000000000003"/>
    <n v="0"/>
    <s v="TBD"/>
    <n v="0"/>
    <n v="9620000324"/>
  </r>
  <r>
    <x v="67"/>
    <s v="Full Espresso Repair_9620000324_RECON.xlsx"/>
    <n v="112640"/>
    <d v="2021-03-23T00:00:00"/>
    <n v="451.27"/>
    <n v="0"/>
    <s v="TBD"/>
    <n v="0"/>
    <n v="9620000324"/>
  </r>
  <r>
    <x v="67"/>
    <s v="Full Espresso Repair_9620000324_RECON.xlsx"/>
    <n v="112673"/>
    <d v="2021-03-26T00:00:00"/>
    <n v="196.29"/>
    <n v="0"/>
    <s v="TBD"/>
    <n v="0"/>
    <n v="9620000324"/>
  </r>
  <r>
    <x v="67"/>
    <s v="Full Espresso Repair_9620000324_RECON.xlsx"/>
    <n v="112691"/>
    <d v="2021-03-31T00:00:00"/>
    <n v="440.1"/>
    <n v="0"/>
    <s v="TBD"/>
    <n v="0"/>
    <n v="9620000324"/>
  </r>
  <r>
    <x v="67"/>
    <s v="Full Espresso Repair_9620000324_RECON.xlsx"/>
    <n v="112777"/>
    <d v="2021-04-13T00:00:00"/>
    <n v="430.06"/>
    <n v="0"/>
    <s v="TBD"/>
    <n v="0"/>
    <n v="9620000324"/>
  </r>
  <r>
    <x v="67"/>
    <s v="Full Espresso Repair_9620000324_RECON.xlsx"/>
    <n v="112779"/>
    <d v="2021-04-13T00:00:00"/>
    <n v="430.06"/>
    <n v="0"/>
    <s v="TBD"/>
    <n v="0"/>
    <n v="9620000324"/>
  </r>
  <r>
    <x v="67"/>
    <s v="Full Espresso Repair_9620000324_RECON.xlsx"/>
    <n v="112780"/>
    <d v="2021-04-13T00:00:00"/>
    <n v="293.22000000000003"/>
    <n v="0"/>
    <s v="TBD"/>
    <n v="0"/>
    <n v="9620000324"/>
  </r>
  <r>
    <x v="67"/>
    <s v="Full Espresso Repair_9620000324_RECON.xlsx"/>
    <n v="112795"/>
    <d v="2021-04-16T00:00:00"/>
    <n v="299.41000000000003"/>
    <n v="0"/>
    <s v="TBD"/>
    <n v="0"/>
    <n v="9620000324"/>
  </r>
  <r>
    <x v="67"/>
    <s v="Full Espresso Repair_9620000324_RECON.xlsx"/>
    <n v="112811"/>
    <d v="2021-04-20T00:00:00"/>
    <n v="218.42"/>
    <n v="0"/>
    <s v="TBD"/>
    <n v="0"/>
    <n v="9620000324"/>
  </r>
  <r>
    <x v="67"/>
    <s v="Full Espresso Repair_9620000324_RECON.xlsx"/>
    <n v="112819"/>
    <d v="2021-04-20T00:00:00"/>
    <n v="485.76"/>
    <n v="0"/>
    <s v="TBD"/>
    <n v="0"/>
    <n v="9620000324"/>
  </r>
  <r>
    <x v="67"/>
    <s v="Full Espresso Repair_9620000324_RECON.xlsx"/>
    <n v="112820"/>
    <d v="2021-04-20T00:00:00"/>
    <n v="327.12"/>
    <n v="0"/>
    <s v="TBD"/>
    <n v="0"/>
    <n v="9620000324"/>
  </r>
  <r>
    <x v="67"/>
    <s v="Full Espresso Repair_9620000324_RECON.xlsx"/>
    <n v="112837"/>
    <d v="2021-04-22T00:00:00"/>
    <n v="186.59"/>
    <n v="0"/>
    <s v="TBD"/>
    <n v="0"/>
    <n v="9620000324"/>
  </r>
  <r>
    <x v="67"/>
    <s v="Full Espresso Repair_9620000324_RECON.xlsx"/>
    <n v="112842"/>
    <d v="2021-04-23T00:00:00"/>
    <n v="114.99"/>
    <n v="0"/>
    <s v="TBD"/>
    <n v="0"/>
    <n v="9620000324"/>
  </r>
  <r>
    <x v="67"/>
    <s v="Full Espresso Repair_9620000324_RECON.xlsx"/>
    <n v="112903"/>
    <d v="2021-04-30T00:00:00"/>
    <n v="299.41000000000003"/>
    <n v="0"/>
    <s v="TBD"/>
    <n v="0"/>
    <n v="9620000324"/>
  </r>
  <r>
    <x v="67"/>
    <s v="Full Espresso Repair_9620000324_RECON.xlsx"/>
    <n v="112904"/>
    <d v="2021-04-30T00:00:00"/>
    <n v="299.41000000000003"/>
    <n v="0"/>
    <s v="TBD"/>
    <n v="0"/>
    <n v="9620000324"/>
  </r>
  <r>
    <x v="67"/>
    <s v="Full Espresso Repair_9620000324_RECON.xlsx"/>
    <n v="112943"/>
    <d v="2021-05-11T00:00:00"/>
    <n v="522.79999999999995"/>
    <n v="0"/>
    <s v="TBD"/>
    <n v="0"/>
    <n v="9620000324"/>
  </r>
  <r>
    <x v="67"/>
    <s v="Full Espresso Repair_9620000324_RECON.xlsx"/>
    <n v="112962"/>
    <d v="2021-05-14T00:00:00"/>
    <n v="190.53"/>
    <n v="0"/>
    <s v="TBD"/>
    <n v="0"/>
    <n v="9620000324"/>
  </r>
  <r>
    <x v="67"/>
    <s v="Full Espresso Repair_9620000324_RECON.xlsx"/>
    <n v="113066"/>
    <d v="2021-06-03T00:00:00"/>
    <n v="299.41000000000003"/>
    <n v="0"/>
    <s v="TBD"/>
    <n v="0"/>
    <n v="9620000324"/>
  </r>
  <r>
    <x v="67"/>
    <s v="Full Espresso Repair_9620000324_RECON.xlsx"/>
    <n v="113088"/>
    <d v="2021-06-08T00:00:00"/>
    <n v="407.8"/>
    <n v="0"/>
    <s v="TBD"/>
    <n v="0"/>
    <n v="9620000324"/>
  </r>
  <r>
    <x v="67"/>
    <s v="Full Espresso Repair_9620000324_RECON.xlsx"/>
    <n v="113089"/>
    <d v="2021-06-08T00:00:00"/>
    <n v="683.44"/>
    <n v="0"/>
    <s v="TBD"/>
    <n v="0"/>
    <n v="9620000324"/>
  </r>
  <r>
    <x v="67"/>
    <s v="Full Espresso Repair_9620000324_RECON.xlsx"/>
    <n v="113108"/>
    <d v="2021-06-11T00:00:00"/>
    <n v="250.15"/>
    <n v="0"/>
    <s v="TBD"/>
    <n v="0"/>
    <n v="9620000324"/>
  </r>
  <r>
    <x v="67"/>
    <s v="Full Espresso Repair_9620000324_RECON.xlsx"/>
    <n v="113111"/>
    <d v="2021-06-11T00:00:00"/>
    <n v="198.43"/>
    <n v="0"/>
    <s v="TBD"/>
    <n v="0"/>
    <n v="9620000324"/>
  </r>
  <r>
    <x v="68"/>
    <s v="Gardner Service_9620048519_RECON.xlsx"/>
    <s v="G-0725"/>
    <d v="2021-05-20T00:00:00"/>
    <n v="259.95"/>
    <n v="377470"/>
    <s v="Service Call"/>
    <n v="0"/>
    <n v="9620048519"/>
  </r>
  <r>
    <x v="68"/>
    <s v="Gardner Service_9620048519_RECON.xlsx"/>
    <s v="G-0638"/>
    <d v="2021-04-30T00:00:00"/>
    <n v="175"/>
    <s v="326240/384295"/>
    <s v="PM"/>
    <s v="Processed"/>
    <n v="9620048519"/>
  </r>
  <r>
    <x v="68"/>
    <s v="Gardner Service_9620048519_RECON.xlsx"/>
    <s v="G-0461"/>
    <d v="2021-03-23T00:00:00"/>
    <n v="287.14999999999998"/>
    <n v="361394"/>
    <s v="Service Call"/>
    <s v="Processed"/>
    <n v="9620048519"/>
  </r>
  <r>
    <x v="68"/>
    <s v="Gardner Service_9620048519_RECON.xlsx"/>
    <s v="G-0731"/>
    <d v="2021-06-04T00:00:00"/>
    <n v="175"/>
    <n v="326256"/>
    <s v="PM"/>
    <n v="0"/>
    <n v="9620048519"/>
  </r>
  <r>
    <x v="68"/>
    <s v="Gardner Service_9620048519_RECON.xlsx"/>
    <s v="G-0732"/>
    <d v="2021-06-04T00:00:00"/>
    <n v="175"/>
    <n v="326257"/>
    <s v="PM"/>
    <n v="0"/>
    <n v="9620048519"/>
  </r>
  <r>
    <x v="68"/>
    <s v="Gardner Service_9620048519_RECON.xlsx"/>
    <s v="G-0733"/>
    <d v="2021-06-04T00:00:00"/>
    <n v="175"/>
    <n v="326264"/>
    <s v="PM"/>
    <n v="0"/>
    <n v="9620048519"/>
  </r>
  <r>
    <x v="68"/>
    <s v="Gardner Service_9620048519_RECON.xlsx"/>
    <s v="G-0728"/>
    <d v="2021-05-21T00:00:00"/>
    <n v="175"/>
    <n v="326244"/>
    <s v="PM"/>
    <n v="0"/>
    <n v="9620048519"/>
  </r>
  <r>
    <x v="68"/>
    <s v="Gardner Service_9620048519_RECON.xlsx"/>
    <s v="G-0729"/>
    <d v="2021-05-21T00:00:00"/>
    <n v="175"/>
    <n v="326245"/>
    <s v="PM"/>
    <n v="0"/>
    <n v="9620048519"/>
  </r>
  <r>
    <x v="68"/>
    <s v="Gardner Service_9620048519_RECON.xlsx"/>
    <s v="G-0730"/>
    <d v="2021-05-21T00:00:00"/>
    <n v="175"/>
    <n v="326250"/>
    <s v="PM"/>
    <n v="0"/>
    <n v="9620048519"/>
  </r>
  <r>
    <x v="69"/>
    <s v="Garys East Coast Service_9620000329_RECON.xlsx"/>
    <n v="224742"/>
    <d v="2021-03-09T00:00:00"/>
    <n v="319.05"/>
    <n v="0"/>
    <s v="TBD"/>
    <n v="0"/>
    <n v="9620000329"/>
  </r>
  <r>
    <x v="69"/>
    <s v="Garys East Coast Service_9620000329_RECON.xlsx"/>
    <n v="224189"/>
    <d v="2021-04-09T00:00:00"/>
    <n v="783.27"/>
    <n v="0"/>
    <s v="TBD"/>
    <n v="0"/>
    <n v="9620000329"/>
  </r>
  <r>
    <x v="69"/>
    <s v="Garys East Coast Service_9620000329_RECON.xlsx"/>
    <n v="224191"/>
    <d v="2021-04-14T00:00:00"/>
    <n v="972.04"/>
    <n v="0"/>
    <s v="TBD"/>
    <n v="0"/>
    <n v="9620000329"/>
  </r>
  <r>
    <x v="69"/>
    <s v="Garys East Coast Service_9620000329_RECON.xlsx"/>
    <n v="224192"/>
    <d v="2021-04-19T00:00:00"/>
    <n v="560.46"/>
    <n v="0"/>
    <s v="TBD"/>
    <n v="0"/>
    <n v="9620000329"/>
  </r>
  <r>
    <x v="69"/>
    <s v="Garys East Coast Service_9620000329_RECON.xlsx"/>
    <n v="224193"/>
    <d v="2021-04-21T00:00:00"/>
    <n v="536"/>
    <n v="0"/>
    <s v="TBD"/>
    <n v="0"/>
    <n v="9620000329"/>
  </r>
  <r>
    <x v="69"/>
    <s v="Garys East Coast Service_9620000329_RECON.xlsx"/>
    <n v="224194"/>
    <d v="2021-04-21T00:00:00"/>
    <n v="536"/>
    <n v="0"/>
    <s v="TBD"/>
    <n v="0"/>
    <n v="9620000329"/>
  </r>
  <r>
    <x v="69"/>
    <s v="Garys East Coast Service_9620000329_RECON.xlsx"/>
    <n v="225306"/>
    <d v="2021-04-22T00:00:00"/>
    <n v="191.5"/>
    <n v="0"/>
    <s v="TBD"/>
    <n v="0"/>
    <n v="9620000329"/>
  </r>
  <r>
    <x v="69"/>
    <s v="Garys East Coast Service_9620000329_RECON.xlsx"/>
    <n v="225567"/>
    <d v="2021-05-03T00:00:00"/>
    <n v="310.7"/>
    <n v="0"/>
    <s v="TBD"/>
    <n v="0"/>
    <n v="9620000329"/>
  </r>
  <r>
    <x v="69"/>
    <s v="Garys East Coast Service_9620000329_RECON.xlsx"/>
    <n v="225663"/>
    <d v="2021-05-05T00:00:00"/>
    <n v="363.88"/>
    <n v="0"/>
    <s v="TBD"/>
    <n v="0"/>
    <n v="9620000329"/>
  </r>
  <r>
    <x v="69"/>
    <s v="Garys East Coast Service_9620000329_RECON.xlsx"/>
    <n v="225012"/>
    <d v="2021-05-17T00:00:00"/>
    <n v="473.26"/>
    <n v="0"/>
    <s v="TBD"/>
    <n v="0"/>
    <n v="9620000329"/>
  </r>
  <r>
    <x v="69"/>
    <s v="Garys East Coast Service_9620000329_RECON.xlsx"/>
    <n v="225435"/>
    <d v="2021-05-19T00:00:00"/>
    <n v="572.69000000000005"/>
    <n v="0"/>
    <s v="TBD"/>
    <n v="0"/>
    <n v="9620000329"/>
  </r>
  <r>
    <x v="69"/>
    <s v="Garys East Coast Service_9620000329_RECON.xlsx"/>
    <n v="225436"/>
    <d v="2021-05-21T00:00:00"/>
    <n v="764.12"/>
    <n v="0"/>
    <s v="TBD"/>
    <n v="0"/>
    <n v="9620000329"/>
  </r>
  <r>
    <x v="69"/>
    <s v="Garys East Coast Service_9620000329_RECON.xlsx"/>
    <n v="225438"/>
    <d v="2021-05-25T00:00:00"/>
    <n v="536"/>
    <n v="0"/>
    <s v="TBD"/>
    <n v="0"/>
    <n v="9620000329"/>
  </r>
  <r>
    <x v="69"/>
    <s v="Garys East Coast Service_9620000329_RECON.xlsx"/>
    <n v="225917"/>
    <d v="2021-05-28T00:00:00"/>
    <n v="313.79000000000002"/>
    <n v="0"/>
    <s v="TBD"/>
    <n v="0"/>
    <n v="9620000329"/>
  </r>
  <r>
    <x v="69"/>
    <s v="Garys East Coast Service_9620000329_RECON.xlsx"/>
    <n v="225444"/>
    <d v="2021-06-03T00:00:00"/>
    <n v="745.51"/>
    <n v="0"/>
    <s v="TBD"/>
    <n v="0"/>
    <n v="9620000329"/>
  </r>
  <r>
    <x v="69"/>
    <s v="Garys East Coast Service_9620000329_RECON.xlsx"/>
    <n v="226091"/>
    <d v="2021-06-03T00:00:00"/>
    <n v="313.79000000000002"/>
    <n v="0"/>
    <s v="TBD"/>
    <n v="0"/>
    <n v="9620000329"/>
  </r>
  <r>
    <x v="69"/>
    <s v="Garys East Coast Service_9620000329_RECON.xlsx"/>
    <n v="225445"/>
    <d v="2021-06-04T00:00:00"/>
    <n v="733.82"/>
    <n v="0"/>
    <s v="TBD"/>
    <n v="0"/>
    <n v="9620000329"/>
  </r>
  <r>
    <x v="70"/>
    <s v="Golden Valley Beverage_9620000339_RECON.xlsx"/>
    <s v="GVB5695"/>
    <d v="2021-02-01T00:00:00"/>
    <n v="175"/>
    <n v="278491"/>
    <s v="PM"/>
    <n v="0"/>
    <n v="9620000339"/>
  </r>
  <r>
    <x v="70"/>
    <s v="Golden Valley Beverage_9620000339_RECON.xlsx"/>
    <s v="GVB6307"/>
    <d v="2021-05-11T00:00:00"/>
    <n v="355"/>
    <n v="424136"/>
    <s v="TBD"/>
    <n v="0"/>
    <n v="9620000339"/>
  </r>
  <r>
    <x v="70"/>
    <s v="Golden Valley Beverage_9620000339_RECON.xlsx"/>
    <s v="GVB6308"/>
    <d v="2021-05-12T00:00:00"/>
    <n v="440"/>
    <n v="424136"/>
    <s v="TBD"/>
    <n v="0"/>
    <n v="9620000339"/>
  </r>
  <r>
    <x v="71"/>
    <s v="Goodwin Tucker Group_9620000340, 9620000817_RECON.xlsx"/>
    <n v="1259122"/>
    <d v="2021-03-10T00:00:00"/>
    <n v="536.9"/>
    <n v="347017"/>
    <s v="Service Call"/>
    <n v="0"/>
    <n v="9620000340"/>
  </r>
  <r>
    <x v="72"/>
    <s v="Gulf Ice_9620000349_RECON.xlsx"/>
    <n v="346826"/>
    <d v="2021-02-18T00:00:00"/>
    <n v="170"/>
    <n v="0"/>
    <s v="Service Call"/>
    <n v="0"/>
    <n v="9620000349"/>
  </r>
  <r>
    <x v="72"/>
    <s v="Gulf Ice_9620000349_RECON.xlsx"/>
    <n v="349065"/>
    <d v="2021-04-30T00:00:00"/>
    <s v="185,52"/>
    <n v="0"/>
    <s v="TBD"/>
    <n v="0"/>
    <n v="9620000349"/>
  </r>
  <r>
    <x v="72"/>
    <s v="Gulf Ice_9620000349_RECON.xlsx"/>
    <n v="349167"/>
    <d v="2021-05-04T00:00:00"/>
    <n v="268.70999999999998"/>
    <n v="0"/>
    <s v="TBD"/>
    <n v="0"/>
    <n v="9620000349"/>
  </r>
  <r>
    <x v="72"/>
    <s v="Gulf Ice_9620000349_RECON.xlsx"/>
    <n v="349790"/>
    <d v="2021-05-19T00:00:00"/>
    <n v="1972.7"/>
    <n v="0"/>
    <s v="TBD"/>
    <n v="0"/>
    <n v="9620000349"/>
  </r>
  <r>
    <x v="72"/>
    <s v="Gulf Ice_9620000349_RECON.xlsx"/>
    <n v="349950"/>
    <d v="2021-05-25T00:00:00"/>
    <n v="1882.73"/>
    <n v="0"/>
    <s v="TBD"/>
    <n v="0"/>
    <n v="9620000349"/>
  </r>
  <r>
    <x v="72"/>
    <s v="Gulf Ice_9620000349_RECON.xlsx"/>
    <n v="349951"/>
    <d v="2021-05-25T00:00:00"/>
    <n v="3377.94"/>
    <n v="0"/>
    <s v="TBD"/>
    <n v="0"/>
    <n v="9620000349"/>
  </r>
  <r>
    <x v="72"/>
    <s v="Gulf Ice_9620000349_RECON.xlsx"/>
    <n v="349952"/>
    <d v="2021-05-25T00:00:00"/>
    <n v="4169.43"/>
    <n v="0"/>
    <s v="TBD"/>
    <n v="0"/>
    <n v="9620000349"/>
  </r>
  <r>
    <x v="73"/>
    <s v="Hawaii Coffee Company dba Paradise Beverages_9620000352, 9620000818_RECON.xlsx"/>
    <n v="10148387"/>
    <d v="2021-05-19T00:00:00"/>
    <n v="287.95999999999998"/>
    <n v="208581"/>
    <s v="PM"/>
    <n v="0"/>
    <n v="9620000352"/>
  </r>
  <r>
    <x v="73"/>
    <s v="Hawaii Coffee Company dba Paradise Beverages_9620000352, 9620000818_RECON.xlsx"/>
    <n v="10152716"/>
    <d v="2021-05-24T00:00:00"/>
    <n v="575.91999999999996"/>
    <s v="208595 / 220615"/>
    <s v="PM"/>
    <s v="Inv amount is spread across two cases, 208595 &amp;  220615"/>
    <n v="9620000352"/>
  </r>
  <r>
    <x v="74"/>
    <s v="Heritage Foodservice Canada_9620000355_RECON.xlsx"/>
    <n v="5680349"/>
    <d v="2021-02-24T00:00:00"/>
    <n v="256.33"/>
    <s v="ATTENTE"/>
    <s v="TBD"/>
    <n v="0"/>
    <n v="9620000355"/>
  </r>
  <r>
    <x v="74"/>
    <s v="Heritage Foodservice Canada_9620000355_RECON.xlsx"/>
    <n v="5694626"/>
    <d v="2021-04-26T00:00:00"/>
    <n v="1159.3599999999999"/>
    <n v="278104"/>
    <s v="PM"/>
    <s v="DNP"/>
    <n v="9620000355"/>
  </r>
  <r>
    <x v="74"/>
    <s v="Heritage Foodservice Canada_9620000355_RECON.xlsx"/>
    <n v="5699183"/>
    <d v="2021-05-13T00:00:00"/>
    <n v="256.33"/>
    <s v="MAINTENANCE1"/>
    <s v="TBD"/>
    <n v="0"/>
    <n v="9620000355"/>
  </r>
  <r>
    <x v="74"/>
    <s v="Heritage Foodservice Canada_9620000355_RECON.xlsx"/>
    <n v="5699779"/>
    <d v="2021-05-17T00:00:00"/>
    <n v="268.27999999999997"/>
    <n v="375191"/>
    <s v="Service Call"/>
    <n v="0"/>
    <n v="9620000355"/>
  </r>
  <r>
    <x v="74"/>
    <s v="Heritage Foodservice Canada_9620000355_RECON.xlsx"/>
    <n v="5699788"/>
    <d v="2021-05-17T00:00:00"/>
    <n v="149.63"/>
    <n v="375192"/>
    <s v="Service Call"/>
    <n v="0"/>
    <n v="9620000355"/>
  </r>
  <r>
    <x v="74"/>
    <s v="Heritage Foodservice Canada_9620000355_RECON.xlsx"/>
    <n v="5699800"/>
    <d v="2021-05-17T00:00:00"/>
    <n v="187.43"/>
    <n v="375188"/>
    <s v="Service Call"/>
    <n v="0"/>
    <n v="9620000355"/>
  </r>
  <r>
    <x v="74"/>
    <s v="Heritage Foodservice Canada_9620000355_RECON.xlsx"/>
    <n v="5699809"/>
    <d v="2021-05-17T00:00:00"/>
    <n v="124.69"/>
    <n v="375189"/>
    <s v="Service Call"/>
    <n v="0"/>
    <n v="9620000355"/>
  </r>
  <r>
    <x v="74"/>
    <s v="Heritage Foodservice Canada_9620000355_RECON.xlsx"/>
    <n v="5701466"/>
    <d v="2021-05-25T00:00:00"/>
    <n v="183.75"/>
    <n v="352548"/>
    <s v="PM"/>
    <n v="0"/>
    <n v="9620000355"/>
  </r>
  <r>
    <x v="74"/>
    <s v="Heritage Foodservice Canada_9620000355_RECON.xlsx"/>
    <n v="5701451"/>
    <d v="2021-05-25T00:00:00"/>
    <n v="183.75"/>
    <n v="352666"/>
    <s v="PM"/>
    <n v="0"/>
    <n v="9620000355"/>
  </r>
  <r>
    <x v="74"/>
    <s v="Heritage Foodservice Canada_9620000355_RECON.xlsx"/>
    <n v="5701455"/>
    <d v="2021-05-25T00:00:00"/>
    <n v="183.75"/>
    <n v="352679"/>
    <s v="PM"/>
    <n v="0"/>
    <n v="9620000355"/>
  </r>
  <r>
    <x v="74"/>
    <s v="Heritage Foodservice Canada_9620000355_RECON.xlsx"/>
    <n v="5701456"/>
    <d v="2021-05-25T00:00:00"/>
    <n v="183.75"/>
    <n v="352680"/>
    <s v="PM"/>
    <n v="0"/>
    <n v="9620000355"/>
  </r>
  <r>
    <x v="74"/>
    <s v="Heritage Foodservice Canada_9620000355_RECON.xlsx"/>
    <n v="5701454"/>
    <d v="2021-05-25T00:00:00"/>
    <n v="183.75"/>
    <n v="354306"/>
    <s v="PM"/>
    <n v="0"/>
    <n v="9620000355"/>
  </r>
  <r>
    <x v="74"/>
    <s v="Heritage Foodservice Canada_9620000355_RECON.xlsx"/>
    <n v="5701458"/>
    <d v="2021-05-25T00:00:00"/>
    <n v="183.75"/>
    <n v="352669"/>
    <s v="PM"/>
    <n v="0"/>
    <n v="9620000355"/>
  </r>
  <r>
    <x v="74"/>
    <s v="Heritage Foodservice Canada_9620000355_RECON.xlsx"/>
    <n v="5701462"/>
    <d v="2021-05-25T00:00:00"/>
    <n v="183.75"/>
    <n v="352668"/>
    <s v="PM"/>
    <n v="0"/>
    <n v="9620000355"/>
  </r>
  <r>
    <x v="74"/>
    <s v="Heritage Foodservice Canada_9620000355_RECON.xlsx"/>
    <n v="5701644"/>
    <d v="2021-05-26T00:00:00"/>
    <n v="183.75"/>
    <n v="352549"/>
    <s v="PM"/>
    <n v="0"/>
    <n v="9620000355"/>
  </r>
  <r>
    <x v="74"/>
    <s v="Heritage Foodservice Canada_9620000355_RECON.xlsx"/>
    <n v="5703991"/>
    <d v="2021-06-01T00:00:00"/>
    <n v="91.88"/>
    <n v="355280"/>
    <s v="PM"/>
    <n v="0"/>
    <n v="9620000355"/>
  </r>
  <r>
    <x v="74"/>
    <s v="Heritage Foodservice Canada_9620000355_RECON.xlsx"/>
    <n v="5705768"/>
    <d v="2021-06-09T00:00:00"/>
    <n v="174.56"/>
    <n v="378565"/>
    <s v="PM"/>
    <n v="0"/>
    <n v="9620000355"/>
  </r>
  <r>
    <x v="74"/>
    <s v="Heritage Foodservice Canada_9620000355_RECON.xlsx"/>
    <n v="5705769"/>
    <d v="2021-06-09T00:00:00"/>
    <n v="174.56"/>
    <n v="378568"/>
    <s v="PM"/>
    <n v="0"/>
    <n v="9620000355"/>
  </r>
  <r>
    <x v="74"/>
    <s v="Heritage Foodservice Canada_9620000355_RECON.xlsx"/>
    <n v="5705755"/>
    <d v="2021-06-09T00:00:00"/>
    <n v="183.75"/>
    <n v="352675"/>
    <s v="PM"/>
    <n v="0"/>
    <n v="9620000355"/>
  </r>
  <r>
    <x v="74"/>
    <s v="Heritage Foodservice Canada_9620000355_RECON.xlsx"/>
    <n v="5705756"/>
    <d v="2021-06-09T00:00:00"/>
    <n v="183.75"/>
    <n v="352674"/>
    <s v="PM"/>
    <n v="0"/>
    <n v="9620000355"/>
  </r>
  <r>
    <x v="74"/>
    <s v="Heritage Foodservice Canada_9620000355_RECON.xlsx"/>
    <n v="5705760"/>
    <d v="2021-06-09T00:00:00"/>
    <n v="183.75"/>
    <n v="352681"/>
    <s v="PM"/>
    <n v="0"/>
    <n v="9620000355"/>
  </r>
  <r>
    <x v="74"/>
    <s v="Heritage Foodservice Canada_9620000355_RECON.xlsx"/>
    <n v="5707293"/>
    <d v="2021-06-15T00:00:00"/>
    <n v="183.75"/>
    <n v="352677"/>
    <s v="PM"/>
    <n v="0"/>
    <n v="9620000355"/>
  </r>
  <r>
    <x v="75"/>
    <s v="Hot Side Service Company_9620048515_RECON.xlsx"/>
    <n v="22215031021"/>
    <d v="2021-03-10T00:00:00"/>
    <n v="831.83"/>
    <n v="0"/>
    <s v="TBD"/>
    <n v="0"/>
    <n v="9620048515"/>
  </r>
  <r>
    <x v="76"/>
    <s v="International Beverage Works_9620000377_RECON.xlsx"/>
    <n v="190919"/>
    <d v="2019-09-18T00:00:00"/>
    <n v="322.88"/>
    <n v="21326"/>
    <s v="PM"/>
    <s v="In File"/>
    <n v="9620000377"/>
  </r>
  <r>
    <x v="76"/>
    <s v="International Beverage Works_9620000377_RECON.xlsx"/>
    <n v="190920"/>
    <d v="2019-09-18T00:00:00"/>
    <n v="322.88"/>
    <n v="21138"/>
    <s v="PM"/>
    <s v="In File"/>
    <n v="9620000377"/>
  </r>
  <r>
    <x v="76"/>
    <s v="International Beverage Works_9620000377_RECON.xlsx"/>
    <n v="200616"/>
    <d v="2020-06-22T00:00:00"/>
    <n v="188.13"/>
    <n v="250698"/>
    <s v="PM"/>
    <s v="In File"/>
    <n v="9620000377"/>
  </r>
  <r>
    <x v="76"/>
    <s v="International Beverage Works_9620000377_RECON.xlsx"/>
    <n v="200617"/>
    <d v="2020-06-22T00:00:00"/>
    <n v="188.13"/>
    <n v="250673"/>
    <s v="PM"/>
    <s v="In File"/>
    <n v="9620000377"/>
  </r>
  <r>
    <x v="76"/>
    <s v="International Beverage Works_9620000377_RECON.xlsx"/>
    <n v="200618"/>
    <d v="2020-06-22T00:00:00"/>
    <n v="188.13"/>
    <n v="250697"/>
    <s v="PM"/>
    <s v="In File"/>
    <n v="9620000377"/>
  </r>
  <r>
    <x v="76"/>
    <s v="International Beverage Works_9620000377_RECON.xlsx"/>
    <s v="IBW2011240"/>
    <d v="2020-11-23T00:00:00"/>
    <n v="187.25"/>
    <n v="290747"/>
    <s v="PM"/>
    <s v="In File"/>
    <n v="9620000377"/>
  </r>
  <r>
    <x v="76"/>
    <s v="International Beverage Works_9620000377_RECON.xlsx"/>
    <s v="IBW2012151"/>
    <d v="2020-12-07T00:00:00"/>
    <n v="424.63"/>
    <n v="176323"/>
    <s v="PM"/>
    <s v="In File"/>
    <n v="9620000377"/>
  </r>
  <r>
    <x v="76"/>
    <s v="International Beverage Works_9620000377_RECON.xlsx"/>
    <s v="IBW2012152"/>
    <d v="2020-12-07T00:00:00"/>
    <n v="424.63"/>
    <n v="170732"/>
    <s v="PM"/>
    <s v="In File"/>
    <n v="9620000377"/>
  </r>
  <r>
    <x v="76"/>
    <s v="International Beverage Works_9620000377_RECON.xlsx"/>
    <s v="IBW201125"/>
    <d v="2020-12-15T00:00:00"/>
    <n v="668.35"/>
    <n v="319039"/>
    <s v="Service Call"/>
    <s v="In File"/>
    <n v="9620000377"/>
  </r>
  <r>
    <x v="76"/>
    <s v="International Beverage Works_9620000377_RECON.xlsx"/>
    <s v="IBW2101200"/>
    <d v="2021-01-18T00:00:00"/>
    <n v="424.63"/>
    <n v="178212"/>
    <s v="PM"/>
    <s v="In File"/>
    <n v="9620000377"/>
  </r>
  <r>
    <x v="76"/>
    <s v="International Beverage Works_9620000377_RECON.xlsx"/>
    <s v="IBW2101211"/>
    <d v="2021-01-18T00:00:00"/>
    <n v="430"/>
    <n v="256904"/>
    <s v="PM"/>
    <s v="In File"/>
    <n v="9620000377"/>
  </r>
  <r>
    <x v="76"/>
    <s v="International Beverage Works_9620000377_RECON.xlsx"/>
    <s v="IBW2101214"/>
    <d v="2021-01-18T00:00:00"/>
    <n v="430"/>
    <n v="290757"/>
    <s v="PM"/>
    <s v="In File"/>
    <n v="9620000377"/>
  </r>
  <r>
    <x v="76"/>
    <s v="International Beverage Works_9620000377_RECON.xlsx"/>
    <s v="IBW2101217"/>
    <d v="2021-01-18T00:00:00"/>
    <n v="429"/>
    <n v="290770"/>
    <s v="PM"/>
    <s v="In File"/>
    <n v="9620000377"/>
  </r>
  <r>
    <x v="76"/>
    <s v="International Beverage Works_9620000377_RECON.xlsx"/>
    <s v="IBW2101220"/>
    <d v="2021-01-18T00:00:00"/>
    <n v="427"/>
    <n v="290717"/>
    <s v="PM"/>
    <s v="In File"/>
    <n v="9620000377"/>
  </r>
  <r>
    <x v="76"/>
    <s v="International Beverage Works_9620000377_RECON.xlsx"/>
    <s v="IBW2101224R"/>
    <d v="2021-01-20T00:00:00"/>
    <n v="241.88"/>
    <n v="290763"/>
    <s v="PM"/>
    <s v="In File"/>
    <n v="9620000377"/>
  </r>
  <r>
    <x v="76"/>
    <s v="International Beverage Works_9620000377_RECON.xlsx"/>
    <s v="IBW2101225R"/>
    <d v="2021-01-20T00:00:00"/>
    <n v="483.75"/>
    <n v="290766"/>
    <s v="PM"/>
    <s v="In File"/>
    <n v="9620000377"/>
  </r>
  <r>
    <x v="76"/>
    <s v="International Beverage Works_9620000377_RECON.xlsx"/>
    <s v="IBW2101226R"/>
    <d v="2021-01-20T00:00:00"/>
    <n v="241.88"/>
    <n v="290734"/>
    <s v="PM"/>
    <s v="In File"/>
    <n v="9620000377"/>
  </r>
  <r>
    <x v="76"/>
    <s v="International Beverage Works_9620000377_RECON.xlsx"/>
    <s v="IBW210110"/>
    <d v="2021-01-21T00:00:00"/>
    <n v="301"/>
    <n v="345813"/>
    <s v="Service Call"/>
    <s v="In File"/>
    <n v="9620000377"/>
  </r>
  <r>
    <x v="76"/>
    <s v="International Beverage Works_9620000377_RECON.xlsx"/>
    <s v="IBW2101227"/>
    <d v="2021-01-21T00:00:00"/>
    <n v="483.75"/>
    <n v="290756"/>
    <s v="PM"/>
    <s v="In File"/>
    <n v="9620000377"/>
  </r>
  <r>
    <x v="76"/>
    <s v="International Beverage Works_9620000377_RECON.xlsx"/>
    <s v="IBW2101228"/>
    <d v="2021-01-21T00:00:00"/>
    <n v="241.88"/>
    <n v="290739"/>
    <s v="PM"/>
    <s v="In File"/>
    <n v="9620000377"/>
  </r>
  <r>
    <x v="76"/>
    <s v="International Beverage Works_9620000377_RECON.xlsx"/>
    <s v="IBW2101229"/>
    <d v="2021-01-21T00:00:00"/>
    <n v="483.75"/>
    <n v="290773"/>
    <s v="PM"/>
    <s v="In File"/>
    <n v="9620000377"/>
  </r>
  <r>
    <x v="76"/>
    <s v="International Beverage Works_9620000377_RECON.xlsx"/>
    <s v="IBW2101230"/>
    <d v="2021-01-21T00:00:00"/>
    <n v="241.88"/>
    <n v="290740"/>
    <s v="PM"/>
    <s v="In File"/>
    <n v="9620000377"/>
  </r>
  <r>
    <x v="76"/>
    <s v="International Beverage Works_9620000377_RECON.xlsx"/>
    <s v="IBW2101231"/>
    <d v="2021-01-21T00:00:00"/>
    <n v="241.88"/>
    <n v="290726"/>
    <s v="PM"/>
    <s v="In File"/>
    <n v="9620000377"/>
  </r>
  <r>
    <x v="76"/>
    <s v="International Beverage Works_9620000377_RECON.xlsx"/>
    <s v="IBW2101232"/>
    <d v="2021-01-21T00:00:00"/>
    <n v="295.63"/>
    <n v="220603"/>
    <s v="PM"/>
    <s v="In File"/>
    <n v="9620000377"/>
  </r>
  <r>
    <x v="76"/>
    <s v="International Beverage Works_9620000377_RECON.xlsx"/>
    <s v="IBW2101233"/>
    <d v="2021-01-21T00:00:00"/>
    <n v="295.63"/>
    <n v="202855"/>
    <s v="PM"/>
    <s v="In File"/>
    <n v="9620000377"/>
  </r>
  <r>
    <x v="76"/>
    <s v="International Beverage Works_9620000377_RECON.xlsx"/>
    <s v="IBW2101234"/>
    <d v="2021-01-25T00:00:00"/>
    <n v="424.63"/>
    <n v="215123"/>
    <s v="PM"/>
    <s v="In File"/>
    <n v="9620000377"/>
  </r>
  <r>
    <x v="76"/>
    <s v="International Beverage Works_9620000377_RECON.xlsx"/>
    <s v="IBW210122R"/>
    <d v="2021-01-27T00:00:00"/>
    <n v="188.13"/>
    <n v="290743"/>
    <s v="PM"/>
    <s v="In File"/>
    <n v="9620000377"/>
  </r>
  <r>
    <x v="76"/>
    <s v="International Beverage Works_9620000377_RECON.xlsx"/>
    <s v="IBW210123"/>
    <d v="2021-01-27T00:00:00"/>
    <n v="188.13"/>
    <n v="290709"/>
    <s v="PM"/>
    <s v="In File"/>
    <n v="9620000377"/>
  </r>
  <r>
    <x v="76"/>
    <s v="International Beverage Works_9620000377_RECON.xlsx"/>
    <s v="IBW210124"/>
    <d v="2021-01-27T00:00:00"/>
    <n v="186.81"/>
    <n v="290755"/>
    <s v="PM"/>
    <s v="In File"/>
    <n v="9620000377"/>
  </r>
  <r>
    <x v="76"/>
    <s v="International Beverage Works_9620000377_RECON.xlsx"/>
    <s v="IBW210125"/>
    <d v="2021-01-27T00:00:00"/>
    <n v="186.81"/>
    <n v="290732"/>
    <s v="PM"/>
    <s v="In File"/>
    <n v="9620000377"/>
  </r>
  <r>
    <x v="76"/>
    <s v="International Beverage Works_9620000377_RECON.xlsx"/>
    <s v="IBW210126"/>
    <d v="2021-01-27T00:00:00"/>
    <n v="240.19"/>
    <n v="256661"/>
    <s v="PM"/>
    <s v="In File"/>
    <n v="9620000377"/>
  </r>
  <r>
    <x v="76"/>
    <s v="International Beverage Works_9620000377_RECON.xlsx"/>
    <s v="IBW210127"/>
    <d v="2021-01-27T00:00:00"/>
    <n v="240.19"/>
    <n v="251846"/>
    <s v="PM"/>
    <s v="In File"/>
    <n v="9620000377"/>
  </r>
  <r>
    <x v="76"/>
    <s v="International Beverage Works_9620000377_RECON.xlsx"/>
    <s v="IBW210128"/>
    <d v="2021-01-27T00:00:00"/>
    <n v="240.19"/>
    <n v="252261"/>
    <s v="PM"/>
    <s v="In File"/>
    <n v="9620000377"/>
  </r>
  <r>
    <x v="76"/>
    <s v="International Beverage Works_9620000377_RECON.xlsx"/>
    <s v="IBW210129"/>
    <d v="2021-01-27T00:00:00"/>
    <n v="240.19"/>
    <n v="290715"/>
    <s v="PM"/>
    <s v="In File"/>
    <n v="9620000377"/>
  </r>
  <r>
    <x v="76"/>
    <s v="International Beverage Works_9620000377_RECON.xlsx"/>
    <s v="IBW210130"/>
    <d v="2021-01-27T00:00:00"/>
    <n v="240.19"/>
    <n v="290552"/>
    <s v="PM"/>
    <s v="In File"/>
    <n v="9620000377"/>
  </r>
  <r>
    <x v="76"/>
    <s v="International Beverage Works_9620000377_RECON.xlsx"/>
    <s v="IBW210119"/>
    <d v="2021-01-27T00:00:00"/>
    <n v="1431.89"/>
    <n v="346797"/>
    <s v="Service Call"/>
    <s v="In File"/>
    <n v="9620000377"/>
  </r>
  <r>
    <x v="76"/>
    <s v="International Beverage Works_9620000377_RECON.xlsx"/>
    <s v="IBW2101249"/>
    <d v="2021-01-29T00:00:00"/>
    <n v="240.19"/>
    <n v="290727"/>
    <s v="PM"/>
    <s v="In File"/>
    <n v="9620000377"/>
  </r>
  <r>
    <x v="76"/>
    <s v="International Beverage Works_9620000377_RECON.xlsx"/>
    <s v="IBW2101250"/>
    <d v="2021-01-29T00:00:00"/>
    <n v="240.19"/>
    <n v="290762"/>
    <s v="PM"/>
    <s v="In File"/>
    <n v="9620000377"/>
  </r>
  <r>
    <x v="76"/>
    <s v="International Beverage Works_9620000377_RECON.xlsx"/>
    <s v="IBW2101251"/>
    <d v="2021-01-29T00:00:00"/>
    <n v="240.19"/>
    <n v="290767"/>
    <s v="PM"/>
    <s v="In File"/>
    <n v="9620000377"/>
  </r>
  <r>
    <x v="76"/>
    <s v="International Beverage Works_9620000377_RECON.xlsx"/>
    <s v="IBW2101252"/>
    <d v="2021-01-29T00:00:00"/>
    <n v="241.31"/>
    <n v="290730"/>
    <s v="PM"/>
    <s v="In File"/>
    <n v="9620000377"/>
  </r>
  <r>
    <x v="76"/>
    <s v="International Beverage Works_9620000377_RECON.xlsx"/>
    <s v="IBW2101253"/>
    <d v="2021-01-29T00:00:00"/>
    <n v="241.31"/>
    <n v="290748"/>
    <s v="PM"/>
    <s v="In File"/>
    <n v="9620000377"/>
  </r>
  <r>
    <x v="76"/>
    <s v="International Beverage Works_9620000377_RECON.xlsx"/>
    <s v="IBW2101254"/>
    <d v="2021-01-29T00:00:00"/>
    <n v="241.31"/>
    <n v="290698"/>
    <s v="PM"/>
    <s v="In File"/>
    <n v="9620000377"/>
  </r>
  <r>
    <x v="76"/>
    <s v="International Beverage Works_9620000377_RECON.xlsx"/>
    <s v="IBW2101255"/>
    <d v="2021-01-29T00:00:00"/>
    <n v="241.31"/>
    <n v="290723"/>
    <s v="PM"/>
    <s v="In File"/>
    <n v="9620000377"/>
  </r>
  <r>
    <x v="76"/>
    <s v="International Beverage Works_9620000377_RECON.xlsx"/>
    <s v="IBW2101256"/>
    <d v="2021-01-29T00:00:00"/>
    <n v="241.31"/>
    <n v="290746"/>
    <s v="PM"/>
    <s v="In File"/>
    <n v="9620000377"/>
  </r>
  <r>
    <x v="76"/>
    <s v="International Beverage Works_9620000377_RECON.xlsx"/>
    <s v="IBW2101257"/>
    <d v="2021-01-29T00:00:00"/>
    <n v="241.31"/>
    <n v="290752"/>
    <s v="PM"/>
    <s v="In File"/>
    <n v="9620000377"/>
  </r>
  <r>
    <x v="76"/>
    <s v="International Beverage Works_9620000377_RECON.xlsx"/>
    <s v="IBW2101258"/>
    <d v="2021-01-29T00:00:00"/>
    <n v="240.19"/>
    <n v="290750"/>
    <s v="PM"/>
    <s v="Need invoice copy - have WO Req 6/22"/>
    <n v="9620000377"/>
  </r>
  <r>
    <x v="76"/>
    <s v="International Beverage Works_9620000377_RECON.xlsx"/>
    <s v="IBW2101259"/>
    <d v="2021-01-29T00:00:00"/>
    <n v="240.19"/>
    <n v="290759"/>
    <s v="PM"/>
    <s v="In File"/>
    <n v="9620000377"/>
  </r>
  <r>
    <x v="76"/>
    <s v="International Beverage Works_9620000377_RECON.xlsx"/>
    <s v="IBW2101260"/>
    <d v="2021-01-29T00:00:00"/>
    <n v="240.19"/>
    <n v="290728"/>
    <s v="PM"/>
    <s v="In File"/>
    <n v="9620000377"/>
  </r>
  <r>
    <x v="76"/>
    <s v="International Beverage Works_9620000377_RECON.xlsx"/>
    <s v="IBW210306"/>
    <d v="2021-03-25T00:00:00"/>
    <n v="188.65"/>
    <n v="310369"/>
    <s v="PM"/>
    <s v="In File"/>
    <n v="9620000377"/>
  </r>
  <r>
    <x v="76"/>
    <s v="International Beverage Works_9620000377_RECON.xlsx"/>
    <s v="IBW210402"/>
    <d v="2021-04-09T00:00:00"/>
    <n v="107.5"/>
    <n v="364841"/>
    <s v="Service Call"/>
    <s v="In File"/>
    <n v="9620000377"/>
  </r>
  <r>
    <x v="76"/>
    <s v="International Beverage Works_9620000377_RECON.xlsx"/>
    <s v="IBW210403"/>
    <d v="2021-04-09T00:00:00"/>
    <n v="196.35"/>
    <n v="365010"/>
    <s v="Service Call"/>
    <s v="In File"/>
    <n v="9620000377"/>
  </r>
  <r>
    <x v="76"/>
    <s v="International Beverage Works_9620000377_RECON.xlsx"/>
    <s v="IBW210411"/>
    <d v="2021-04-26T00:00:00"/>
    <n v="188.13"/>
    <n v="356550"/>
    <s v="PM"/>
    <s v="In File"/>
    <n v="9620000377"/>
  </r>
  <r>
    <x v="76"/>
    <s v="International Beverage Works_9620000377_RECON.xlsx"/>
    <s v="IBW210412"/>
    <d v="2021-04-27T00:00:00"/>
    <n v="188.13"/>
    <n v="356549"/>
    <s v="PM"/>
    <s v="In File"/>
    <n v="9620000377"/>
  </r>
  <r>
    <x v="76"/>
    <s v="International Beverage Works_9620000377_RECON.xlsx"/>
    <s v="IBW210505"/>
    <d v="2021-05-17T00:00:00"/>
    <n v="296.45"/>
    <n v="358184"/>
    <s v="PM"/>
    <s v="In File"/>
    <n v="9620000377"/>
  </r>
  <r>
    <x v="77"/>
    <s v="J &amp; J Coffee Services_9620000382_Recon.xlsx"/>
    <n v="17640"/>
    <d v="2020-11-12T00:00:00"/>
    <n v="292.45999999999998"/>
    <s v="00114623*"/>
    <s v="PM"/>
    <n v="0"/>
    <n v="9620000382"/>
  </r>
  <r>
    <x v="77"/>
    <s v="J &amp; J Coffee Services_9620000382_Recon.xlsx"/>
    <n v="17675"/>
    <d v="2020-11-20T00:00:00"/>
    <n v="119.64"/>
    <s v="00320749*"/>
    <s v="Service Call"/>
    <s v="DNP"/>
    <n v="9620000382"/>
  </r>
  <r>
    <x v="77"/>
    <s v="J &amp; J Coffee Services_9620000382_Recon.xlsx"/>
    <n v="17840"/>
    <d v="2020-12-02T00:00:00"/>
    <n v="71.790000000000006"/>
    <s v="00117283*"/>
    <s v="PM"/>
    <n v="0"/>
    <n v="9620000382"/>
  </r>
  <r>
    <x v="77"/>
    <s v="J &amp; J Coffee Services_9620000382_Recon.xlsx"/>
    <n v="17845"/>
    <d v="2020-12-03T00:00:00"/>
    <n v="71.790000000000006"/>
    <s v="00113571*"/>
    <s v="PM"/>
    <n v="0"/>
    <n v="9620000382"/>
  </r>
  <r>
    <x v="77"/>
    <s v="J &amp; J Coffee Services_9620000382_Recon.xlsx"/>
    <n v="18346"/>
    <d v="2021-02-03T00:00:00"/>
    <n v="420.08"/>
    <s v="00115725*"/>
    <s v="PM"/>
    <n v="0"/>
    <n v="9620000382"/>
  </r>
  <r>
    <x v="77"/>
    <s v="J &amp; J Coffee Services_9620000382_Recon.xlsx"/>
    <n v="18586"/>
    <d v="2021-03-17T00:00:00"/>
    <n v="71.790000000000006"/>
    <s v="00174077*"/>
    <s v="PM"/>
    <n v="0"/>
    <n v="9620000382"/>
  </r>
  <r>
    <x v="78"/>
    <s v="Jaguar Coffee (FLORIDA)_9620000384_Recon.xlsx"/>
    <n v="70375"/>
    <d v="2019-08-01T00:00:00"/>
    <n v="144"/>
    <n v="74532"/>
    <s v="PM"/>
    <m/>
    <n v="9620000384"/>
  </r>
  <r>
    <x v="78"/>
    <s v="Jaguar Coffee (FLORIDA)_9620000384_Recon.xlsx"/>
    <n v="70388"/>
    <d v="2019-08-01T00:00:00"/>
    <n v="144"/>
    <n v="175604"/>
    <s v="PM"/>
    <m/>
    <n v="9620000384"/>
  </r>
  <r>
    <x v="78"/>
    <s v="Jaguar Coffee (FLORIDA)_9620000384_Recon.xlsx"/>
    <n v="70411"/>
    <d v="2019-08-09T00:00:00"/>
    <n v="144"/>
    <s v="RT0310"/>
    <s v="PM"/>
    <m/>
    <n v="9620000384"/>
  </r>
  <r>
    <x v="78"/>
    <s v="Jaguar Coffee (FLORIDA)_9620000384_Recon.xlsx"/>
    <n v="70909"/>
    <d v="2019-08-29T00:00:00"/>
    <n v="144"/>
    <n v="74610"/>
    <s v="PM"/>
    <m/>
    <n v="9620000384"/>
  </r>
  <r>
    <x v="78"/>
    <s v="Jaguar Coffee (FLORIDA)_9620000384_Recon.xlsx"/>
    <n v="88185"/>
    <d v="2020-09-30T00:00:00"/>
    <n v="359.53"/>
    <n v="311780"/>
    <s v="Service Call"/>
    <s v="MISSING INVOICE"/>
    <n v="9620000384"/>
  </r>
  <r>
    <x v="78"/>
    <s v="Jaguar Coffee (FLORIDA)_9620000384_Recon.xlsx"/>
    <n v="88689"/>
    <d v="2020-10-07T00:00:00"/>
    <n v="379.26"/>
    <s v="DD350631"/>
    <s v="TBD"/>
    <s v="MISSING INVOICE"/>
    <n v="9620000384"/>
  </r>
  <r>
    <x v="78"/>
    <s v="Jaguar Coffee (FLORIDA)_9620000384_Recon.xlsx"/>
    <n v="88819"/>
    <d v="2020-10-13T00:00:00"/>
    <n v="180"/>
    <s v="Loves603"/>
    <s v="TBD"/>
    <s v="MISSING INVOICE"/>
    <n v="9620000384"/>
  </r>
  <r>
    <x v="78"/>
    <s v="Jaguar Coffee (FLORIDA)_9620000384_Recon.xlsx"/>
    <n v="89199"/>
    <d v="2020-10-16T00:00:00"/>
    <n v="90"/>
    <s v="CK2740620"/>
    <s v="PM"/>
    <s v="waiting for vendors response regarding incorrect information on checklist"/>
    <n v="9620000384"/>
  </r>
  <r>
    <x v="78"/>
    <s v="Jaguar Coffee (FLORIDA)_9620000384_Recon.xlsx"/>
    <n v="89414"/>
    <d v="2020-10-26T00:00:00"/>
    <n v="275"/>
    <s v="DD339944"/>
    <s v="PM"/>
    <s v="emailed vendor to revise invoice to labor, trip, etc.. For failed PM 06/23/2021"/>
    <n v="9620000384"/>
  </r>
  <r>
    <x v="78"/>
    <s v="Jaguar Coffee (FLORIDA)_9620000384_Recon.xlsx"/>
    <n v="89849"/>
    <d v="2020-10-28T00:00:00"/>
    <n v="275"/>
    <s v="DD356144"/>
    <s v="PM"/>
    <s v="emailed vendor to revise invoice to labor, trip, etc.. For failed PM 06/28/2021"/>
    <n v="9620000384"/>
  </r>
  <r>
    <x v="78"/>
    <s v="Jaguar Coffee (FLORIDA)_9620000384_Recon.xlsx"/>
    <n v="89748"/>
    <d v="2020-10-29T00:00:00"/>
    <n v="471.26"/>
    <s v="DD350765"/>
    <s v="TBD"/>
    <s v="MISSING INVOICE"/>
    <n v="9620000384"/>
  </r>
  <r>
    <x v="78"/>
    <s v="Jaguar Coffee (FLORIDA)_9620000384_Recon.xlsx"/>
    <n v="89752"/>
    <d v="2020-10-29T00:00:00"/>
    <n v="225"/>
    <s v="DD346314"/>
    <s v="TBD"/>
    <s v="MISSING INVOICE"/>
    <n v="9620000384"/>
  </r>
  <r>
    <x v="78"/>
    <s v="Jaguar Coffee (FLORIDA)_9620000384_Recon.xlsx"/>
    <n v="89758"/>
    <d v="2020-10-29T00:00:00"/>
    <n v="135"/>
    <s v="DD301289"/>
    <s v="TBD"/>
    <s v="MISSING INVOICE"/>
    <n v="9620000384"/>
  </r>
  <r>
    <x v="78"/>
    <s v="Jaguar Coffee (FLORIDA)_9620000384_Recon.xlsx"/>
    <n v="89770"/>
    <d v="2020-10-29T00:00:00"/>
    <n v="586.04999999999995"/>
    <s v="DD351848"/>
    <s v="TBD"/>
    <s v="MISSING INVOICE"/>
    <n v="9620000384"/>
  </r>
  <r>
    <x v="78"/>
    <s v="Jaguar Coffee (FLORIDA)_9620000384_Recon.xlsx"/>
    <n v="89782"/>
    <d v="2020-10-29T00:00:00"/>
    <n v="1891.49"/>
    <s v="DD301606"/>
    <s v="TBD"/>
    <s v="MISSING INVOICE"/>
    <n v="9620000384"/>
  </r>
  <r>
    <x v="78"/>
    <s v="Jaguar Coffee (FLORIDA)_9620000384_Recon.xlsx"/>
    <n v="89811"/>
    <d v="2020-10-29T00:00:00"/>
    <n v="202.5"/>
    <s v="Sodexo12902"/>
    <s v="TBD"/>
    <s v="MISSING INVOICE"/>
    <n v="9620000384"/>
  </r>
  <r>
    <x v="78"/>
    <s v="Jaguar Coffee (FLORIDA)_9620000384_Recon.xlsx"/>
    <n v="89837"/>
    <d v="2020-10-29T00:00:00"/>
    <n v="275"/>
    <s v="DD355480"/>
    <s v="TBD"/>
    <s v="MISSING INVOICE"/>
    <n v="9620000384"/>
  </r>
  <r>
    <x v="78"/>
    <s v="Jaguar Coffee (FLORIDA)_9620000384_Recon.xlsx"/>
    <n v="89921"/>
    <d v="2020-10-29T00:00:00"/>
    <n v="272.07"/>
    <s v="DD344168"/>
    <s v="TBD"/>
    <s v="MISSING INVOICE"/>
    <n v="9620000384"/>
  </r>
  <r>
    <x v="78"/>
    <s v="Jaguar Coffee (FLORIDA)_9620000384_Recon.xlsx"/>
    <n v="89927"/>
    <d v="2020-10-29T00:00:00"/>
    <n v="665.96"/>
    <s v="TMC"/>
    <s v="TBD"/>
    <s v="MISSING INVOICE"/>
    <n v="9620000384"/>
  </r>
  <r>
    <x v="78"/>
    <s v="Jaguar Coffee (FLORIDA)_9620000384_Recon.xlsx"/>
    <n v="89787"/>
    <d v="2020-10-30T00:00:00"/>
    <n v="306.97000000000003"/>
    <s v="DD342001"/>
    <s v="TBD"/>
    <s v="MISSING INVOICE"/>
    <n v="9620000384"/>
  </r>
  <r>
    <x v="78"/>
    <s v="Jaguar Coffee (FLORIDA)_9620000384_Recon.xlsx"/>
    <n v="89790"/>
    <d v="2020-10-30T00:00:00"/>
    <n v="157.5"/>
    <s v="DD352035"/>
    <s v="TBD"/>
    <s v="MISSING INVOICE"/>
    <n v="9620000384"/>
  </r>
  <r>
    <x v="78"/>
    <s v="Jaguar Coffee (FLORIDA)_9620000384_Recon.xlsx"/>
    <n v="89799"/>
    <d v="2020-10-30T00:00:00"/>
    <n v="406.91"/>
    <s v="DD354727"/>
    <s v="TBD"/>
    <s v="MISSING INVOICE"/>
    <n v="9620000384"/>
  </r>
  <r>
    <x v="78"/>
    <s v="Jaguar Coffee (FLORIDA)_9620000384_Recon.xlsx"/>
    <n v="89803"/>
    <d v="2020-10-30T00:00:00"/>
    <n v="558.08000000000004"/>
    <s v="DD354416"/>
    <s v="TBD"/>
    <s v="MISSING INVOICE"/>
    <n v="9620000384"/>
  </r>
  <r>
    <x v="78"/>
    <s v="Jaguar Coffee (FLORIDA)_9620000384_Recon.xlsx"/>
    <n v="89804"/>
    <d v="2020-10-30T00:00:00"/>
    <n v="319.06"/>
    <s v="DD338904"/>
    <s v="TBD"/>
    <s v="MISSING INVOICE"/>
    <n v="9620000384"/>
  </r>
  <r>
    <x v="78"/>
    <s v="Jaguar Coffee (FLORIDA)_9620000384_Recon.xlsx"/>
    <n v="89807"/>
    <d v="2020-10-30T00:00:00"/>
    <n v="237.49"/>
    <s v="DD353701"/>
    <s v="TBD"/>
    <s v="MISSING INVOICE"/>
    <n v="9620000384"/>
  </r>
  <r>
    <x v="78"/>
    <s v="Jaguar Coffee (FLORIDA)_9620000384_Recon.xlsx"/>
    <n v="89812"/>
    <d v="2020-10-30T00:00:00"/>
    <n v="585.9"/>
    <s v="Sodexo12902"/>
    <s v="TBD"/>
    <s v="MISSING INVOICE"/>
    <n v="9620000384"/>
  </r>
  <r>
    <x v="78"/>
    <s v="Jaguar Coffee (FLORIDA)_9620000384_Recon.xlsx"/>
    <n v="89817"/>
    <d v="2020-10-30T00:00:00"/>
    <n v="180"/>
    <s v="DD353001"/>
    <s v="TBD"/>
    <s v="MISSING INVOICE"/>
    <n v="9620000384"/>
  </r>
  <r>
    <x v="78"/>
    <s v="Jaguar Coffee (FLORIDA)_9620000384_Recon.xlsx"/>
    <n v="89819"/>
    <d v="2020-10-30T00:00:00"/>
    <n v="523.65"/>
    <s v="DD343638"/>
    <s v="TBD"/>
    <s v="MISSING INVOICE"/>
    <n v="9620000384"/>
  </r>
  <r>
    <x v="78"/>
    <s v="Jaguar Coffee (FLORIDA)_9620000384_Recon.xlsx"/>
    <n v="89823"/>
    <d v="2020-10-31T00:00:00"/>
    <n v="790.69"/>
    <s v="DD353533"/>
    <s v="TBD"/>
    <s v="MISSING INVOICE"/>
    <n v="9620000384"/>
  </r>
  <r>
    <x v="78"/>
    <s v="Jaguar Coffee (FLORIDA)_9620000384_Recon.xlsx"/>
    <n v="89926"/>
    <d v="2020-10-31T00:00:00"/>
    <n v="337.5"/>
    <s v="DD352521"/>
    <s v="TBD"/>
    <s v="MISSING INVOICE"/>
    <n v="9620000384"/>
  </r>
  <r>
    <x v="78"/>
    <s v="Jaguar Coffee (FLORIDA)_9620000384_Recon.xlsx"/>
    <n v="89928"/>
    <d v="2020-10-31T00:00:00"/>
    <n v="523.65"/>
    <s v="DD301606"/>
    <s v="TBD"/>
    <s v="MISSING INVOICE"/>
    <n v="9620000384"/>
  </r>
  <r>
    <x v="78"/>
    <s v="Jaguar Coffee (FLORIDA)_9620000384_Recon.xlsx"/>
    <n v="90057"/>
    <d v="2020-10-31T00:00:00"/>
    <n v="381.25"/>
    <s v="DD352682"/>
    <s v="TBD"/>
    <s v="MISSING INVOICE"/>
    <n v="9620000384"/>
  </r>
  <r>
    <x v="78"/>
    <s v="Jaguar Coffee (FLORIDA)_9620000384_Recon.xlsx"/>
    <n v="89851"/>
    <d v="2020-11-02T00:00:00"/>
    <n v="180"/>
    <s v="CY10050"/>
    <s v="TBD"/>
    <m/>
    <n v="9620000384"/>
  </r>
  <r>
    <x v="78"/>
    <s v="Jaguar Coffee (FLORIDA)_9620000384_Recon.xlsx"/>
    <n v="89865"/>
    <d v="2020-11-02T00:00:00"/>
    <n v="454.13"/>
    <s v="DD310233"/>
    <s v="TBD"/>
    <m/>
    <n v="9620000384"/>
  </r>
  <r>
    <x v="78"/>
    <s v="Jaguar Coffee (FLORIDA)_9620000384_Recon.xlsx"/>
    <n v="89869"/>
    <d v="2020-11-02T00:00:00"/>
    <n v="196.21"/>
    <s v="DD302514"/>
    <s v="TBD"/>
    <m/>
    <n v="9620000384"/>
  </r>
  <r>
    <x v="78"/>
    <s v="Jaguar Coffee (FLORIDA)_9620000384_Recon.xlsx"/>
    <n v="89929"/>
    <d v="2020-11-02T00:00:00"/>
    <n v="565.04"/>
    <s v="DD355267"/>
    <s v="TBD"/>
    <m/>
    <n v="9620000384"/>
  </r>
  <r>
    <x v="78"/>
    <s v="Jaguar Coffee (FLORIDA)_9620000384_Recon.xlsx"/>
    <n v="89939"/>
    <d v="2020-11-03T00:00:00"/>
    <n v="157.5"/>
    <s v="DD336117"/>
    <s v="TBD"/>
    <m/>
    <n v="9620000384"/>
  </r>
  <r>
    <x v="78"/>
    <s v="Jaguar Coffee (FLORIDA)_9620000384_Recon.xlsx"/>
    <n v="89960"/>
    <d v="2020-11-03T00:00:00"/>
    <n v="586.54999999999995"/>
    <s v="DD340468"/>
    <s v="TBD"/>
    <m/>
    <n v="9620000384"/>
  </r>
  <r>
    <x v="78"/>
    <s v="Jaguar Coffee (FLORIDA)_9620000384_Recon.xlsx"/>
    <n v="89966"/>
    <d v="2020-11-03T00:00:00"/>
    <n v="157.5"/>
    <s v="CK2722290"/>
    <s v="TBD"/>
    <m/>
    <n v="9620000384"/>
  </r>
  <r>
    <x v="78"/>
    <s v="Jaguar Coffee (FLORIDA)_9620000384_Recon.xlsx"/>
    <n v="89985"/>
    <d v="2020-11-03T00:00:00"/>
    <n v="329.81"/>
    <s v="DD346499"/>
    <s v="TBD"/>
    <m/>
    <n v="9620000384"/>
  </r>
  <r>
    <x v="78"/>
    <s v="Jaguar Coffee (FLORIDA)_9620000384_Recon.xlsx"/>
    <n v="90000"/>
    <d v="2020-11-03T00:00:00"/>
    <n v="729.67"/>
    <s v="DD352361"/>
    <s v="TBD"/>
    <m/>
    <n v="9620000384"/>
  </r>
  <r>
    <x v="78"/>
    <s v="Jaguar Coffee (FLORIDA)_9620000384_Recon.xlsx"/>
    <n v="90002"/>
    <d v="2020-11-03T00:00:00"/>
    <n v="563.57000000000005"/>
    <s v="CK2708613"/>
    <s v="TBD"/>
    <m/>
    <n v="9620000384"/>
  </r>
  <r>
    <x v="78"/>
    <s v="Jaguar Coffee (FLORIDA)_9620000384_Recon.xlsx"/>
    <n v="90118"/>
    <d v="2020-11-03T00:00:00"/>
    <n v="247.5"/>
    <s v="E@SFP"/>
    <s v="TBD"/>
    <m/>
    <n v="9620000384"/>
  </r>
  <r>
    <x v="78"/>
    <s v="Jaguar Coffee (FLORIDA)_9620000384_Recon.xlsx"/>
    <n v="90037"/>
    <d v="2020-11-04T00:00:00"/>
    <n v="370.39"/>
    <s v="DD304448"/>
    <s v="TBD"/>
    <m/>
    <n v="9620000384"/>
  </r>
  <r>
    <x v="78"/>
    <s v="Jaguar Coffee (FLORIDA)_9620000384_Recon.xlsx"/>
    <n v="90097"/>
    <d v="2020-11-04T00:00:00"/>
    <n v="181.09"/>
    <s v="CY10050"/>
    <s v="TBD"/>
    <m/>
    <n v="9620000384"/>
  </r>
  <r>
    <x v="78"/>
    <s v="Jaguar Coffee (FLORIDA)_9620000384_Recon.xlsx"/>
    <n v="90101"/>
    <d v="2020-11-04T00:00:00"/>
    <n v="325.04000000000002"/>
    <s v="DD354727"/>
    <s v="TBD"/>
    <m/>
    <n v="9620000384"/>
  </r>
  <r>
    <x v="78"/>
    <s v="Jaguar Coffee (FLORIDA)_9620000384_Recon.xlsx"/>
    <n v="90105"/>
    <d v="2020-11-04T00:00:00"/>
    <n v="1462.4"/>
    <s v="DD355771"/>
    <s v="TBD"/>
    <m/>
    <n v="9620000384"/>
  </r>
  <r>
    <x v="78"/>
    <s v="Jaguar Coffee (FLORIDA)_9620000384_Recon.xlsx"/>
    <n v="90109"/>
    <d v="2020-11-04T00:00:00"/>
    <n v="283.52999999999997"/>
    <s v="DD349921"/>
    <s v="TBD"/>
    <m/>
    <n v="9620000384"/>
  </r>
  <r>
    <x v="78"/>
    <s v="Jaguar Coffee (FLORIDA)_9620000384_Recon.xlsx"/>
    <n v="90138"/>
    <d v="2020-11-04T00:00:00"/>
    <n v="180"/>
    <s v="DD338904"/>
    <s v="TBD"/>
    <m/>
    <n v="9620000384"/>
  </r>
  <r>
    <x v="78"/>
    <s v="Jaguar Coffee (FLORIDA)_9620000384_Recon.xlsx"/>
    <n v="90176"/>
    <d v="2020-11-04T00:00:00"/>
    <n v="845"/>
    <s v="DD350068"/>
    <s v="TBD"/>
    <m/>
    <n v="9620000384"/>
  </r>
  <r>
    <x v="78"/>
    <s v="Jaguar Coffee (FLORIDA)_9620000384_Recon.xlsx"/>
    <n v="90185"/>
    <d v="2020-11-04T00:00:00"/>
    <n v="90"/>
    <s v="DD336448"/>
    <s v="TBD"/>
    <m/>
    <n v="9620000384"/>
  </r>
  <r>
    <x v="78"/>
    <s v="Jaguar Coffee (FLORIDA)_9620000384_Recon.xlsx"/>
    <n v="90264"/>
    <d v="2020-11-04T00:00:00"/>
    <n v="517.5"/>
    <s v="DD348606"/>
    <s v="TBD"/>
    <m/>
    <n v="9620000384"/>
  </r>
  <r>
    <x v="78"/>
    <s v="Jaguar Coffee (FLORIDA)_9620000384_Recon.xlsx"/>
    <n v="90449"/>
    <d v="2020-11-04T00:00:00"/>
    <n v="348"/>
    <s v="CK2744508"/>
    <s v="TBD"/>
    <m/>
    <n v="9620000384"/>
  </r>
  <r>
    <x v="78"/>
    <s v="Jaguar Coffee (FLORIDA)_9620000384_Recon.xlsx"/>
    <n v="90453"/>
    <d v="2020-11-04T00:00:00"/>
    <n v="348"/>
    <s v="CK2741199"/>
    <s v="TBD"/>
    <m/>
    <n v="9620000384"/>
  </r>
  <r>
    <x v="78"/>
    <s v="Jaguar Coffee (FLORIDA)_9620000384_Recon.xlsx"/>
    <n v="90454"/>
    <d v="2020-11-04T00:00:00"/>
    <n v="348"/>
    <s v="CK2741583"/>
    <s v="TBD"/>
    <m/>
    <n v="9620000384"/>
  </r>
  <r>
    <x v="78"/>
    <s v="Jaguar Coffee (FLORIDA)_9620000384_Recon.xlsx"/>
    <n v="90140"/>
    <d v="2020-11-05T00:00:00"/>
    <n v="268.24"/>
    <s v="DD340960"/>
    <s v="TBD"/>
    <m/>
    <n v="9620000384"/>
  </r>
  <r>
    <x v="78"/>
    <s v="Jaguar Coffee (FLORIDA)_9620000384_Recon.xlsx"/>
    <n v="90145"/>
    <d v="2020-11-05T00:00:00"/>
    <n v="157.5"/>
    <s v="DD332895"/>
    <s v="TBD"/>
    <m/>
    <n v="9620000384"/>
  </r>
  <r>
    <x v="78"/>
    <s v="Jaguar Coffee (FLORIDA)_9620000384_Recon.xlsx"/>
    <n v="90188"/>
    <d v="2020-11-05T00:00:00"/>
    <n v="180"/>
    <s v="DD342711"/>
    <s v="TBD"/>
    <m/>
    <n v="9620000384"/>
  </r>
  <r>
    <x v="78"/>
    <s v="Jaguar Coffee (FLORIDA)_9620000384_Recon.xlsx"/>
    <n v="90218"/>
    <d v="2020-11-05T00:00:00"/>
    <n v="541.26"/>
    <s v="DD352682"/>
    <s v="TBD"/>
    <m/>
    <n v="9620000384"/>
  </r>
  <r>
    <x v="78"/>
    <s v="Jaguar Coffee (FLORIDA)_9620000384_Recon.xlsx"/>
    <n v="90247"/>
    <d v="2020-11-05T00:00:00"/>
    <n v="1255.53"/>
    <s v="E@SFP"/>
    <s v="TBD"/>
    <m/>
    <n v="9620000384"/>
  </r>
  <r>
    <x v="78"/>
    <s v="Jaguar Coffee (FLORIDA)_9620000384_Recon.xlsx"/>
    <n v="90455"/>
    <d v="2020-11-05T00:00:00"/>
    <n v="348"/>
    <s v="CK2726039"/>
    <s v="TBD"/>
    <m/>
    <n v="9620000384"/>
  </r>
  <r>
    <x v="78"/>
    <s v="Jaguar Coffee (FLORIDA)_9620000384_Recon.xlsx"/>
    <n v="90457"/>
    <d v="2020-11-05T00:00:00"/>
    <n v="174"/>
    <s v="CK2742372"/>
    <s v="TBD"/>
    <m/>
    <n v="9620000384"/>
  </r>
  <r>
    <x v="78"/>
    <s v="Jaguar Coffee (FLORIDA)_9620000384_Recon.xlsx"/>
    <n v="90458"/>
    <d v="2020-11-05T00:00:00"/>
    <n v="348"/>
    <s v="CK2741876"/>
    <s v="TBD"/>
    <m/>
    <n v="9620000384"/>
  </r>
  <r>
    <x v="78"/>
    <s v="Jaguar Coffee (FLORIDA)_9620000384_Recon.xlsx"/>
    <n v="92638"/>
    <d v="2020-11-05T00:00:00"/>
    <n v="454.98"/>
    <s v="DD330026"/>
    <s v="TBD"/>
    <m/>
    <n v="9620000384"/>
  </r>
  <r>
    <x v="78"/>
    <s v="Jaguar Coffee (FLORIDA)_9620000384_Recon.xlsx"/>
    <n v="90234"/>
    <d v="2020-11-06T00:00:00"/>
    <n v="228.79"/>
    <s v="CK2708613"/>
    <s v="TBD"/>
    <m/>
    <n v="9620000384"/>
  </r>
  <r>
    <x v="78"/>
    <s v="Jaguar Coffee (FLORIDA)_9620000384_Recon.xlsx"/>
    <n v="90250"/>
    <d v="2020-11-06T00:00:00"/>
    <n v="180.72"/>
    <s v="SHS"/>
    <s v="TBD"/>
    <m/>
    <n v="9620000384"/>
  </r>
  <r>
    <x v="78"/>
    <s v="Jaguar Coffee (FLORIDA)_9620000384_Recon.xlsx"/>
    <n v="90252"/>
    <d v="2020-11-06T00:00:00"/>
    <n v="918.84"/>
    <s v="DD330320"/>
    <s v="TBD"/>
    <m/>
    <n v="9620000384"/>
  </r>
  <r>
    <x v="78"/>
    <s v="Jaguar Coffee (FLORIDA)_9620000384_Recon.xlsx"/>
    <n v="90258"/>
    <d v="2020-11-06T00:00:00"/>
    <n v="339.1"/>
    <s v="DD346310"/>
    <s v="TBD"/>
    <m/>
    <n v="9620000384"/>
  </r>
  <r>
    <x v="78"/>
    <s v="Jaguar Coffee (FLORIDA)_9620000384_Recon.xlsx"/>
    <n v="90260"/>
    <d v="2020-11-06T00:00:00"/>
    <n v="540"/>
    <s v="DD354235"/>
    <s v="TBD"/>
    <m/>
    <n v="9620000384"/>
  </r>
  <r>
    <x v="78"/>
    <s v="Jaguar Coffee (FLORIDA)_9620000384_Recon.xlsx"/>
    <n v="90261"/>
    <d v="2020-11-06T00:00:00"/>
    <n v="101.25"/>
    <s v="DD354235"/>
    <s v="TBD"/>
    <m/>
    <n v="9620000384"/>
  </r>
  <r>
    <x v="78"/>
    <s v="Jaguar Coffee (FLORIDA)_9620000384_Recon.xlsx"/>
    <n v="90262"/>
    <d v="2020-11-06T00:00:00"/>
    <n v="591.11"/>
    <s v="DD352521"/>
    <s v="TBD"/>
    <m/>
    <n v="9620000384"/>
  </r>
  <r>
    <x v="78"/>
    <s v="Jaguar Coffee (FLORIDA)_9620000384_Recon.xlsx"/>
    <n v="90460"/>
    <d v="2020-11-06T00:00:00"/>
    <n v="348"/>
    <s v="CK2709759"/>
    <s v="TBD"/>
    <m/>
    <n v="9620000384"/>
  </r>
  <r>
    <x v="78"/>
    <s v="Jaguar Coffee (FLORIDA)_9620000384_Recon.xlsx"/>
    <n v="90461"/>
    <d v="2020-11-06T00:00:00"/>
    <n v="348"/>
    <s v="CK2726271"/>
    <s v="TBD"/>
    <m/>
    <n v="9620000384"/>
  </r>
  <r>
    <x v="78"/>
    <s v="Jaguar Coffee (FLORIDA)_9620000384_Recon.xlsx"/>
    <n v="90462"/>
    <d v="2020-11-06T00:00:00"/>
    <n v="348"/>
    <s v="CK2721296"/>
    <s v="TBD"/>
    <m/>
    <n v="9620000384"/>
  </r>
  <r>
    <x v="78"/>
    <s v="Jaguar Coffee (FLORIDA)_9620000384_Recon.xlsx"/>
    <n v="90463"/>
    <d v="2020-11-06T00:00:00"/>
    <n v="348"/>
    <s v="CK2721231"/>
    <s v="TBD"/>
    <m/>
    <n v="9620000384"/>
  </r>
  <r>
    <x v="78"/>
    <s v="Jaguar Coffee (FLORIDA)_9620000384_Recon.xlsx"/>
    <n v="90464"/>
    <d v="2020-11-06T00:00:00"/>
    <n v="522"/>
    <s v="CK2709833"/>
    <s v="TBD"/>
    <m/>
    <n v="9620000384"/>
  </r>
  <r>
    <x v="78"/>
    <s v="Jaguar Coffee (FLORIDA)_9620000384_Recon.xlsx"/>
    <n v="90465"/>
    <d v="2020-11-07T00:00:00"/>
    <n v="348"/>
    <s v="CK2726186"/>
    <s v="TBD"/>
    <m/>
    <n v="9620000384"/>
  </r>
  <r>
    <x v="78"/>
    <s v="Jaguar Coffee (FLORIDA)_9620000384_Recon.xlsx"/>
    <n v="90469"/>
    <d v="2020-11-08T00:00:00"/>
    <n v="522"/>
    <s v="CK2726161"/>
    <s v="TBD"/>
    <m/>
    <n v="9620000384"/>
  </r>
  <r>
    <x v="78"/>
    <s v="Jaguar Coffee (FLORIDA)_9620000384_Recon.xlsx"/>
    <n v="90471"/>
    <d v="2020-11-08T00:00:00"/>
    <n v="348"/>
    <s v="CK2721167"/>
    <s v="TBD"/>
    <m/>
    <n v="9620000384"/>
  </r>
  <r>
    <x v="78"/>
    <s v="Jaguar Coffee (FLORIDA)_9620000384_Recon.xlsx"/>
    <n v="90472"/>
    <d v="2020-11-08T00:00:00"/>
    <n v="348"/>
    <s v="CK2726236"/>
    <s v="TBD"/>
    <m/>
    <n v="9620000384"/>
  </r>
  <r>
    <x v="78"/>
    <s v="Jaguar Coffee (FLORIDA)_9620000384_Recon.xlsx"/>
    <n v="90473"/>
    <d v="2020-11-09T00:00:00"/>
    <n v="348"/>
    <s v="CK2726299"/>
    <s v="TBD"/>
    <m/>
    <n v="9620000384"/>
  </r>
  <r>
    <x v="78"/>
    <s v="Jaguar Coffee (FLORIDA)_9620000384_Recon.xlsx"/>
    <n v="90474"/>
    <d v="2020-11-09T00:00:00"/>
    <n v="174"/>
    <s v="CK2726147"/>
    <s v="TBD"/>
    <m/>
    <n v="9620000384"/>
  </r>
  <r>
    <x v="78"/>
    <s v="Jaguar Coffee (FLORIDA)_9620000384_Recon.xlsx"/>
    <n v="90475"/>
    <d v="2020-11-09T00:00:00"/>
    <n v="348"/>
    <s v="CK2721150"/>
    <s v="TBD"/>
    <m/>
    <n v="9620000384"/>
  </r>
  <r>
    <x v="78"/>
    <s v="Jaguar Coffee (FLORIDA)_9620000384_Recon.xlsx"/>
    <n v="91299"/>
    <d v="2020-11-09T00:00:00"/>
    <n v="348"/>
    <s v="CK2721212"/>
    <s v="TBD"/>
    <m/>
    <n v="9620000384"/>
  </r>
  <r>
    <x v="78"/>
    <s v="Jaguar Coffee (FLORIDA)_9620000384_Recon.xlsx"/>
    <n v="92024"/>
    <d v="2020-11-09T00:00:00"/>
    <n v="180"/>
    <s v="DD331896"/>
    <s v="TBD"/>
    <m/>
    <n v="9620000384"/>
  </r>
  <r>
    <x v="78"/>
    <s v="Jaguar Coffee (FLORIDA)_9620000384_Recon.xlsx"/>
    <n v="90541"/>
    <d v="2020-11-10T00:00:00"/>
    <n v="174"/>
    <s v="CK2740728"/>
    <s v="TBD"/>
    <m/>
    <n v="9620000384"/>
  </r>
  <r>
    <x v="78"/>
    <s v="Jaguar Coffee (FLORIDA)_9620000384_Recon.xlsx"/>
    <n v="90542"/>
    <d v="2020-11-10T00:00:00"/>
    <n v="348"/>
    <s v="CK2740729"/>
    <s v="TBD"/>
    <m/>
    <n v="9620000384"/>
  </r>
  <r>
    <x v="78"/>
    <s v="Jaguar Coffee (FLORIDA)_9620000384_Recon.xlsx"/>
    <n v="90543"/>
    <d v="2020-11-10T00:00:00"/>
    <n v="174"/>
    <s v="CK2742248"/>
    <s v="TBD"/>
    <m/>
    <n v="9620000384"/>
  </r>
  <r>
    <x v="78"/>
    <s v="Jaguar Coffee (FLORIDA)_9620000384_Recon.xlsx"/>
    <n v="90544"/>
    <d v="2020-11-10T00:00:00"/>
    <n v="174"/>
    <s v="CK2741879"/>
    <s v="TBD"/>
    <m/>
    <n v="9620000384"/>
  </r>
  <r>
    <x v="78"/>
    <s v="Jaguar Coffee (FLORIDA)_9620000384_Recon.xlsx"/>
    <n v="90545"/>
    <d v="2020-11-10T00:00:00"/>
    <n v="348"/>
    <s v="CK2741198"/>
    <s v="TBD"/>
    <m/>
    <n v="9620000384"/>
  </r>
  <r>
    <x v="78"/>
    <s v="Jaguar Coffee (FLORIDA)_9620000384_Recon.xlsx"/>
    <n v="90546"/>
    <d v="2020-11-10T00:00:00"/>
    <n v="522"/>
    <s v="CK2741599"/>
    <s v="TBD"/>
    <m/>
    <n v="9620000384"/>
  </r>
  <r>
    <x v="78"/>
    <s v="Jaguar Coffee (FLORIDA)_9620000384_Recon.xlsx"/>
    <n v="90565"/>
    <d v="2020-11-11T00:00:00"/>
    <n v="348"/>
    <s v="CK2706320"/>
    <s v="TBD"/>
    <m/>
    <n v="9620000384"/>
  </r>
  <r>
    <x v="78"/>
    <s v="Jaguar Coffee (FLORIDA)_9620000384_Recon.xlsx"/>
    <n v="90566"/>
    <d v="2020-11-11T00:00:00"/>
    <n v="348"/>
    <m/>
    <s v="TBD"/>
    <m/>
    <n v="9620000384"/>
  </r>
  <r>
    <x v="78"/>
    <s v="Jaguar Coffee (FLORIDA)_9620000384_Recon.xlsx"/>
    <n v="90567"/>
    <d v="2020-11-11T00:00:00"/>
    <n v="174"/>
    <s v="CK2706338"/>
    <s v="TBD"/>
    <m/>
    <n v="9620000384"/>
  </r>
  <r>
    <x v="78"/>
    <s v="Jaguar Coffee (FLORIDA)_9620000384_Recon.xlsx"/>
    <n v="90574"/>
    <d v="2020-11-12T00:00:00"/>
    <n v="348"/>
    <s v="CK2742417"/>
    <s v="TBD"/>
    <m/>
    <n v="9620000384"/>
  </r>
  <r>
    <x v="78"/>
    <s v="Jaguar Coffee (FLORIDA)_9620000384_Recon.xlsx"/>
    <n v="90575"/>
    <d v="2020-11-12T00:00:00"/>
    <n v="348"/>
    <s v="CK2742003"/>
    <s v="TBD"/>
    <m/>
    <n v="9620000384"/>
  </r>
  <r>
    <x v="78"/>
    <s v="Jaguar Coffee (FLORIDA)_9620000384_Recon.xlsx"/>
    <n v="90959"/>
    <d v="2020-11-12T00:00:00"/>
    <n v="315"/>
    <s v="DD352681"/>
    <s v="TBD"/>
    <m/>
    <n v="9620000384"/>
  </r>
  <r>
    <x v="78"/>
    <s v="Jaguar Coffee (FLORIDA)_9620000384_Recon.xlsx"/>
    <n v="90969"/>
    <d v="2020-11-12T00:00:00"/>
    <n v="174"/>
    <s v="CK2742117"/>
    <s v="TBD"/>
    <m/>
    <n v="9620000384"/>
  </r>
  <r>
    <x v="78"/>
    <s v="Jaguar Coffee (FLORIDA)_9620000384_Recon.xlsx"/>
    <n v="90970"/>
    <d v="2020-11-12T00:00:00"/>
    <n v="522"/>
    <s v="CK2741592"/>
    <s v="TBD"/>
    <m/>
    <n v="9620000384"/>
  </r>
  <r>
    <x v="78"/>
    <s v="Jaguar Coffee (FLORIDA)_9620000384_Recon.xlsx"/>
    <n v="90971"/>
    <d v="2020-11-12T00:00:00"/>
    <n v="174"/>
    <s v="CK2740946"/>
    <s v="TBD"/>
    <m/>
    <n v="9620000384"/>
  </r>
  <r>
    <x v="78"/>
    <s v="Jaguar Coffee (FLORIDA)_9620000384_Recon.xlsx"/>
    <n v="90973"/>
    <d v="2020-11-12T00:00:00"/>
    <n v="174"/>
    <s v="CK2742055"/>
    <s v="TBD"/>
    <m/>
    <n v="9620000384"/>
  </r>
  <r>
    <x v="78"/>
    <s v="Jaguar Coffee (FLORIDA)_9620000384_Recon.xlsx"/>
    <n v="90974"/>
    <d v="2020-11-12T00:00:00"/>
    <n v="348"/>
    <s v="CK2742413"/>
    <s v="TBD"/>
    <m/>
    <n v="9620000384"/>
  </r>
  <r>
    <x v="78"/>
    <s v="Jaguar Coffee (FLORIDA)_9620000384_Recon.xlsx"/>
    <n v="90975"/>
    <d v="2020-11-12T00:00:00"/>
    <n v="174"/>
    <s v="CK2742419"/>
    <s v="TBD"/>
    <m/>
    <n v="9620000384"/>
  </r>
  <r>
    <x v="78"/>
    <s v="Jaguar Coffee (FLORIDA)_9620000384_Recon.xlsx"/>
    <n v="90976"/>
    <d v="2020-11-12T00:00:00"/>
    <n v="348"/>
    <s v="CK2742268"/>
    <s v="TBD"/>
    <m/>
    <n v="9620000384"/>
  </r>
  <r>
    <x v="78"/>
    <s v="Jaguar Coffee (FLORIDA)_9620000384_Recon.xlsx"/>
    <n v="91298"/>
    <d v="2020-11-12T00:00:00"/>
    <n v="348"/>
    <s v="CK2721187"/>
    <s v="TBD"/>
    <m/>
    <n v="9620000384"/>
  </r>
  <r>
    <x v="78"/>
    <s v="Jaguar Coffee (FLORIDA)_9620000384_Recon.xlsx"/>
    <n v="90978"/>
    <d v="2020-11-16T00:00:00"/>
    <n v="348"/>
    <s v="CK2726523"/>
    <s v="TBD"/>
    <m/>
    <n v="9620000384"/>
  </r>
  <r>
    <x v="78"/>
    <s v="Jaguar Coffee (FLORIDA)_9620000384_Recon.xlsx"/>
    <n v="90979"/>
    <d v="2020-11-16T00:00:00"/>
    <n v="348"/>
    <s v="CK2726211"/>
    <s v="TBD"/>
    <m/>
    <n v="9620000384"/>
  </r>
  <r>
    <x v="78"/>
    <s v="Jaguar Coffee (FLORIDA)_9620000384_Recon.xlsx"/>
    <n v="90980"/>
    <d v="2020-11-16T00:00:00"/>
    <n v="348"/>
    <s v="CK2722356"/>
    <s v="TBD"/>
    <m/>
    <n v="9620000384"/>
  </r>
  <r>
    <x v="78"/>
    <s v="Jaguar Coffee (FLORIDA)_9620000384_Recon.xlsx"/>
    <n v="91223"/>
    <d v="2020-11-16T00:00:00"/>
    <n v="520.24"/>
    <s v="TIR"/>
    <s v="TBD"/>
    <m/>
    <n v="9620000384"/>
  </r>
  <r>
    <x v="78"/>
    <s v="Jaguar Coffee (FLORIDA)_9620000384_Recon.xlsx"/>
    <n v="90709"/>
    <d v="2020-11-18T00:00:00"/>
    <n v="180"/>
    <s v="CK2722901"/>
    <s v="TBD"/>
    <m/>
    <n v="9620000384"/>
  </r>
  <r>
    <x v="78"/>
    <s v="Jaguar Coffee (FLORIDA)_9620000384_Recon.xlsx"/>
    <n v="90848"/>
    <d v="2020-11-18T00:00:00"/>
    <n v="180"/>
    <s v="DD310131"/>
    <s v="TBD"/>
    <m/>
    <n v="9620000384"/>
  </r>
  <r>
    <x v="78"/>
    <s v="Jaguar Coffee (FLORIDA)_9620000384_Recon.xlsx"/>
    <n v="90948"/>
    <d v="2020-11-18T00:00:00"/>
    <n v="175"/>
    <s v="KC10"/>
    <s v="TBD"/>
    <m/>
    <n v="9620000384"/>
  </r>
  <r>
    <x v="78"/>
    <s v="Jaguar Coffee (FLORIDA)_9620000384_Recon.xlsx"/>
    <n v="91006"/>
    <d v="2020-11-19T00:00:00"/>
    <n v="667.27"/>
    <s v="DD355697"/>
    <s v="TBD"/>
    <m/>
    <n v="9620000384"/>
  </r>
  <r>
    <x v="78"/>
    <s v="Jaguar Coffee (FLORIDA)_9620000384_Recon.xlsx"/>
    <n v="91017"/>
    <d v="2020-11-19T00:00:00"/>
    <n v="346.32"/>
    <s v="DD343978"/>
    <s v="TBD"/>
    <m/>
    <n v="9620000384"/>
  </r>
  <r>
    <x v="78"/>
    <s v="Jaguar Coffee (FLORIDA)_9620000384_Recon.xlsx"/>
    <n v="91020"/>
    <d v="2020-11-19T00:00:00"/>
    <n v="818.03"/>
    <s v="DD334776"/>
    <s v="TBD"/>
    <m/>
    <n v="9620000384"/>
  </r>
  <r>
    <x v="78"/>
    <s v="Jaguar Coffee (FLORIDA)_9620000384_Recon.xlsx"/>
    <n v="91225"/>
    <d v="2020-11-19T00:00:00"/>
    <n v="348"/>
    <s v="CK2721063"/>
    <s v="TBD"/>
    <m/>
    <n v="9620000384"/>
  </r>
  <r>
    <x v="78"/>
    <s v="Jaguar Coffee (FLORIDA)_9620000384_Recon.xlsx"/>
    <n v="91300"/>
    <d v="2020-11-19T00:00:00"/>
    <n v="348"/>
    <s v="CK2745091"/>
    <s v="TBD"/>
    <m/>
    <n v="9620000384"/>
  </r>
  <r>
    <x v="78"/>
    <s v="Jaguar Coffee (FLORIDA)_9620000384_Recon.xlsx"/>
    <n v="91301"/>
    <d v="2020-11-19T00:00:00"/>
    <n v="348"/>
    <s v="CK2726501"/>
    <s v="TBD"/>
    <m/>
    <n v="9620000384"/>
  </r>
  <r>
    <x v="78"/>
    <s v="Jaguar Coffee (FLORIDA)_9620000384_Recon.xlsx"/>
    <n v="91041"/>
    <d v="2020-11-20T00:00:00"/>
    <n v="574.23"/>
    <s v="DD354235"/>
    <s v="TBD"/>
    <m/>
    <n v="9620000384"/>
  </r>
  <r>
    <x v="78"/>
    <s v="Jaguar Coffee (FLORIDA)_9620000384_Recon.xlsx"/>
    <n v="91113"/>
    <d v="2020-11-20T00:00:00"/>
    <n v="755.05"/>
    <s v="CK2741496"/>
    <s v="TBD"/>
    <m/>
    <n v="9620000384"/>
  </r>
  <r>
    <x v="78"/>
    <s v="Jaguar Coffee (FLORIDA)_9620000384_Recon.xlsx"/>
    <n v="91216"/>
    <d v="2020-11-20T00:00:00"/>
    <n v="640.32000000000005"/>
    <s v="DD330411"/>
    <s v="TBD"/>
    <m/>
    <n v="9620000384"/>
  </r>
  <r>
    <x v="78"/>
    <s v="Jaguar Coffee (FLORIDA)_9620000384_Recon.xlsx"/>
    <n v="91110"/>
    <d v="2020-11-21T00:00:00"/>
    <n v="718.46"/>
    <s v="DD349621"/>
    <s v="TBD"/>
    <m/>
    <n v="9620000384"/>
  </r>
  <r>
    <x v="78"/>
    <s v="Jaguar Coffee (FLORIDA)_9620000384_Recon.xlsx"/>
    <n v="91111"/>
    <d v="2020-11-21T00:00:00"/>
    <n v="727.07"/>
    <s v="DD339298"/>
    <s v="TBD"/>
    <m/>
    <n v="9620000384"/>
  </r>
  <r>
    <x v="78"/>
    <s v="Jaguar Coffee (FLORIDA)_9620000384_Recon.xlsx"/>
    <n v="91112"/>
    <d v="2020-11-21T00:00:00"/>
    <n v="1285.72"/>
    <s v="DD336577"/>
    <s v="TBD"/>
    <m/>
    <n v="9620000384"/>
  </r>
  <r>
    <x v="78"/>
    <s v="Jaguar Coffee (FLORIDA)_9620000384_Recon.xlsx"/>
    <n v="91121"/>
    <d v="2020-11-21T00:00:00"/>
    <n v="1529.13"/>
    <s v="DD301592"/>
    <s v="TBD"/>
    <m/>
    <n v="9620000384"/>
  </r>
  <r>
    <x v="78"/>
    <s v="Jaguar Coffee (FLORIDA)_9620000384_Recon.xlsx"/>
    <n v="91122"/>
    <d v="2020-11-21T00:00:00"/>
    <n v="472.5"/>
    <s v="DD346297"/>
    <s v="TBD"/>
    <m/>
    <n v="9620000384"/>
  </r>
  <r>
    <x v="78"/>
    <s v="Jaguar Coffee (FLORIDA)_9620000384_Recon.xlsx"/>
    <n v="91099"/>
    <d v="2020-11-22T00:00:00"/>
    <n v="270"/>
    <s v="CK2704250"/>
    <s v="TBD"/>
    <m/>
    <n v="9620000384"/>
  </r>
  <r>
    <x v="78"/>
    <s v="Jaguar Coffee (FLORIDA)_9620000384_Recon.xlsx"/>
    <n v="91114"/>
    <d v="2020-11-22T00:00:00"/>
    <n v="603.47"/>
    <s v="DD352553"/>
    <s v="TBD"/>
    <m/>
    <n v="9620000384"/>
  </r>
  <r>
    <x v="78"/>
    <s v="Jaguar Coffee (FLORIDA)_9620000384_Recon.xlsx"/>
    <n v="91115"/>
    <d v="2020-11-22T00:00:00"/>
    <n v="607.5"/>
    <s v="CK2742585"/>
    <s v="TBD"/>
    <m/>
    <n v="9620000384"/>
  </r>
  <r>
    <x v="78"/>
    <s v="Jaguar Coffee (FLORIDA)_9620000384_Recon.xlsx"/>
    <n v="91123"/>
    <d v="2020-11-22T00:00:00"/>
    <n v="554.04"/>
    <s v="DD355771"/>
    <s v="TBD"/>
    <m/>
    <n v="9620000384"/>
  </r>
  <r>
    <x v="78"/>
    <s v="Jaguar Coffee (FLORIDA)_9620000384_Recon.xlsx"/>
    <n v="91124"/>
    <d v="2020-11-22T00:00:00"/>
    <n v="270"/>
    <s v="CK2708541"/>
    <s v="TBD"/>
    <m/>
    <n v="9620000384"/>
  </r>
  <r>
    <x v="78"/>
    <s v="Jaguar Coffee (FLORIDA)_9620000384_Recon.xlsx"/>
    <n v="91146"/>
    <d v="2020-11-23T00:00:00"/>
    <n v="157.5"/>
    <s v="DD308550"/>
    <s v="TBD"/>
    <m/>
    <n v="9620000384"/>
  </r>
  <r>
    <x v="78"/>
    <s v="Jaguar Coffee (FLORIDA)_9620000384_Recon.xlsx"/>
    <n v="91150"/>
    <d v="2020-11-23T00:00:00"/>
    <n v="733.4"/>
    <s v="DD355697"/>
    <s v="TBD"/>
    <m/>
    <n v="9620000384"/>
  </r>
  <r>
    <x v="78"/>
    <s v="Jaguar Coffee (FLORIDA)_9620000384_Recon.xlsx"/>
    <n v="91152"/>
    <d v="2020-11-23T00:00:00"/>
    <n v="195.41"/>
    <s v="DD353326"/>
    <s v="TBD"/>
    <m/>
    <n v="9620000384"/>
  </r>
  <r>
    <x v="78"/>
    <s v="Jaguar Coffee (FLORIDA)_9620000384_Recon.xlsx"/>
    <n v="91153"/>
    <d v="2020-11-23T00:00:00"/>
    <n v="135"/>
    <s v="DD342711"/>
    <s v="TBD"/>
    <m/>
    <n v="9620000384"/>
  </r>
  <r>
    <x v="78"/>
    <s v="Jaguar Coffee (FLORIDA)_9620000384_Recon.xlsx"/>
    <n v="91157"/>
    <d v="2020-11-23T00:00:00"/>
    <n v="283.52999999999997"/>
    <s v="CK2726236"/>
    <s v="TBD"/>
    <m/>
    <n v="9620000384"/>
  </r>
  <r>
    <x v="78"/>
    <s v="Jaguar Coffee (FLORIDA)_9620000384_Recon.xlsx"/>
    <n v="91159"/>
    <d v="2020-11-23T00:00:00"/>
    <n v="180"/>
    <s v="DD354247"/>
    <s v="TBD"/>
    <m/>
    <n v="9620000384"/>
  </r>
  <r>
    <x v="78"/>
    <s v="Jaguar Coffee (FLORIDA)_9620000384_Recon.xlsx"/>
    <n v="91213"/>
    <d v="2020-11-23T00:00:00"/>
    <n v="348"/>
    <s v="CK2721248"/>
    <s v="TBD"/>
    <m/>
    <n v="9620000384"/>
  </r>
  <r>
    <x v="78"/>
    <s v="Jaguar Coffee (FLORIDA)_9620000384_Recon.xlsx"/>
    <n v="91217"/>
    <d v="2020-11-23T00:00:00"/>
    <n v="522"/>
    <s v="CK2654114"/>
    <s v="TBD"/>
    <m/>
    <n v="9620000384"/>
  </r>
  <r>
    <x v="78"/>
    <s v="Jaguar Coffee (FLORIDA)_9620000384_Recon.xlsx"/>
    <n v="91219"/>
    <d v="2020-11-23T00:00:00"/>
    <n v="348"/>
    <s v="CK2721060"/>
    <s v="TBD"/>
    <m/>
    <n v="9620000384"/>
  </r>
  <r>
    <x v="78"/>
    <s v="Jaguar Coffee (FLORIDA)_9620000384_Recon.xlsx"/>
    <n v="91274"/>
    <d v="2020-11-23T00:00:00"/>
    <n v="348"/>
    <s v="CK2726179"/>
    <s v="TBD"/>
    <m/>
    <n v="9620000384"/>
  </r>
  <r>
    <x v="78"/>
    <s v="Jaguar Coffee (FLORIDA)_9620000384_Recon.xlsx"/>
    <n v="91276"/>
    <d v="2020-11-23T00:00:00"/>
    <n v="348"/>
    <s v="CK2726118"/>
    <s v="TBD"/>
    <m/>
    <n v="9620000384"/>
  </r>
  <r>
    <x v="78"/>
    <s v="Jaguar Coffee (FLORIDA)_9620000384_Recon.xlsx"/>
    <n v="91302"/>
    <d v="2020-11-23T00:00:00"/>
    <n v="348"/>
    <s v="CK2721279"/>
    <s v="TBD"/>
    <m/>
    <n v="9620000384"/>
  </r>
  <r>
    <x v="78"/>
    <s v="Jaguar Coffee (FLORIDA)_9620000384_Recon.xlsx"/>
    <n v="91143"/>
    <d v="2020-11-24T00:00:00"/>
    <n v="258.52999999999997"/>
    <s v="DD345813"/>
    <s v="TBD"/>
    <m/>
    <n v="9620000384"/>
  </r>
  <r>
    <x v="78"/>
    <s v="Jaguar Coffee (FLORIDA)_9620000384_Recon.xlsx"/>
    <n v="91147"/>
    <d v="2020-11-24T00:00:00"/>
    <n v="389.61"/>
    <s v="CK2740796"/>
    <s v="TBD"/>
    <m/>
    <n v="9620000384"/>
  </r>
  <r>
    <x v="78"/>
    <s v="Jaguar Coffee (FLORIDA)_9620000384_Recon.xlsx"/>
    <n v="91151"/>
    <d v="2020-11-24T00:00:00"/>
    <n v="773.59"/>
    <s v="DD359644"/>
    <s v="TBD"/>
    <m/>
    <n v="9620000384"/>
  </r>
  <r>
    <x v="78"/>
    <s v="Jaguar Coffee (FLORIDA)_9620000384_Recon.xlsx"/>
    <n v="91164"/>
    <d v="2020-11-24T00:00:00"/>
    <n v="135"/>
    <s v="TIR"/>
    <s v="TBD"/>
    <m/>
    <n v="9620000384"/>
  </r>
  <r>
    <x v="78"/>
    <s v="Jaguar Coffee (FLORIDA)_9620000384_Recon.xlsx"/>
    <n v="91167"/>
    <d v="2020-11-24T00:00:00"/>
    <n v="494.62"/>
    <s v="DD345149"/>
    <s v="TBD"/>
    <m/>
    <n v="9620000384"/>
  </r>
  <r>
    <x v="78"/>
    <s v="Jaguar Coffee (FLORIDA)_9620000384_Recon.xlsx"/>
    <n v="91169"/>
    <d v="2020-11-24T00:00:00"/>
    <n v="453.21"/>
    <s v="DD344739"/>
    <s v="TBD"/>
    <m/>
    <n v="9620000384"/>
  </r>
  <r>
    <x v="78"/>
    <s v="Jaguar Coffee (FLORIDA)_9620000384_Recon.xlsx"/>
    <n v="91172"/>
    <d v="2020-11-24T00:00:00"/>
    <n v="171.34"/>
    <s v="DD357070"/>
    <s v="TBD"/>
    <m/>
    <n v="9620000384"/>
  </r>
  <r>
    <x v="78"/>
    <s v="Jaguar Coffee (FLORIDA)_9620000384_Recon.xlsx"/>
    <n v="91180"/>
    <d v="2020-11-24T00:00:00"/>
    <n v="588.80999999999995"/>
    <s v="DD348606"/>
    <s v="TBD"/>
    <m/>
    <n v="9620000384"/>
  </r>
  <r>
    <x v="78"/>
    <s v="Jaguar Coffee (FLORIDA)_9620000384_Recon.xlsx"/>
    <n v="91226"/>
    <d v="2020-11-24T00:00:00"/>
    <n v="348"/>
    <s v="CK2721043"/>
    <s v="TBD"/>
    <m/>
    <n v="9620000384"/>
  </r>
  <r>
    <x v="78"/>
    <s v="Jaguar Coffee (FLORIDA)_9620000384_Recon.xlsx"/>
    <n v="91228"/>
    <d v="2020-11-24T00:00:00"/>
    <n v="112.5"/>
    <s v="CK2721176"/>
    <s v="TBD"/>
    <m/>
    <n v="9620000384"/>
  </r>
  <r>
    <x v="78"/>
    <s v="Jaguar Coffee (FLORIDA)_9620000384_Recon.xlsx"/>
    <n v="91231"/>
    <d v="2020-11-24T00:00:00"/>
    <n v="348"/>
    <s v="CK2721299"/>
    <s v="TBD"/>
    <m/>
    <n v="9620000384"/>
  </r>
  <r>
    <x v="78"/>
    <s v="Jaguar Coffee (FLORIDA)_9620000384_Recon.xlsx"/>
    <n v="91233"/>
    <d v="2020-11-24T00:00:00"/>
    <n v="348"/>
    <s v="CK2721169"/>
    <s v="TBD"/>
    <m/>
    <n v="9620000384"/>
  </r>
  <r>
    <x v="78"/>
    <s v="Jaguar Coffee (FLORIDA)_9620000384_Recon.xlsx"/>
    <n v="91250"/>
    <d v="2020-11-24T00:00:00"/>
    <n v="194.63"/>
    <s v="DD300231"/>
    <s v="TBD"/>
    <m/>
    <n v="9620000384"/>
  </r>
  <r>
    <x v="78"/>
    <s v="Jaguar Coffee (FLORIDA)_9620000384_Recon.xlsx"/>
    <n v="91251"/>
    <d v="2020-11-24T00:00:00"/>
    <n v="629.08000000000004"/>
    <s v="DD350423"/>
    <s v="TBD"/>
    <m/>
    <n v="9620000384"/>
  </r>
  <r>
    <x v="78"/>
    <s v="Jaguar Coffee (FLORIDA)_9620000384_Recon.xlsx"/>
    <n v="91252"/>
    <d v="2020-11-24T00:00:00"/>
    <n v="263.76"/>
    <s v="CY14402"/>
    <s v="TBD"/>
    <m/>
    <n v="9620000384"/>
  </r>
  <r>
    <x v="78"/>
    <s v="Jaguar Coffee (FLORIDA)_9620000384_Recon.xlsx"/>
    <n v="91273"/>
    <d v="2020-11-24T00:00:00"/>
    <n v="348"/>
    <s v="CK2721101"/>
    <s v="TBD"/>
    <m/>
    <n v="9620000384"/>
  </r>
  <r>
    <x v="78"/>
    <s v="Jaguar Coffee (FLORIDA)_9620000384_Recon.xlsx"/>
    <n v="91277"/>
    <d v="2020-11-24T00:00:00"/>
    <n v="348"/>
    <s v="CK2708972"/>
    <s v="TBD"/>
    <m/>
    <n v="9620000384"/>
  </r>
  <r>
    <x v="78"/>
    <s v="Jaguar Coffee (FLORIDA)_9620000384_Recon.xlsx"/>
    <n v="91262"/>
    <d v="2020-11-25T00:00:00"/>
    <n v="2051.19"/>
    <s v="DD354247"/>
    <s v="TBD"/>
    <m/>
    <n v="9620000384"/>
  </r>
  <r>
    <x v="78"/>
    <s v="Jaguar Coffee (FLORIDA)_9620000384_Recon.xlsx"/>
    <n v="91263"/>
    <d v="2020-11-25T00:00:00"/>
    <n v="341.53"/>
    <s v="DD332895"/>
    <s v="TBD"/>
    <m/>
    <n v="9620000384"/>
  </r>
  <r>
    <x v="78"/>
    <s v="Jaguar Coffee (FLORIDA)_9620000384_Recon.xlsx"/>
    <n v="91280"/>
    <d v="2020-11-26T00:00:00"/>
    <n v="348"/>
    <s v="CK2722504"/>
    <s v="TBD"/>
    <m/>
    <n v="9620000384"/>
  </r>
  <r>
    <x v="78"/>
    <s v="Jaguar Coffee (FLORIDA)_9620000384_Recon.xlsx"/>
    <n v="91282"/>
    <d v="2020-11-26T00:00:00"/>
    <n v="348"/>
    <s v="CK2707340"/>
    <s v="TBD"/>
    <m/>
    <n v="9620000384"/>
  </r>
  <r>
    <x v="78"/>
    <s v="Jaguar Coffee (FLORIDA)_9620000384_Recon.xlsx"/>
    <n v="94542"/>
    <d v="2020-12-02T00:00:00"/>
    <n v="585"/>
    <s v="DD348606"/>
    <s v="TBD"/>
    <m/>
    <n v="9620000384"/>
  </r>
  <r>
    <x v="78"/>
    <s v="Jaguar Coffee (FLORIDA)_9620000384_Recon.xlsx"/>
    <n v="91770"/>
    <d v="2020-12-04T00:00:00"/>
    <n v="202.5"/>
    <s v="DD355771"/>
    <s v="TBD"/>
    <m/>
    <n v="9620000384"/>
  </r>
  <r>
    <x v="78"/>
    <s v="Jaguar Coffee (FLORIDA)_9620000384_Recon.xlsx"/>
    <n v="91783"/>
    <d v="2020-12-04T00:00:00"/>
    <n v="446.39"/>
    <s v="DD343576"/>
    <s v="TBD"/>
    <m/>
    <n v="9620000384"/>
  </r>
  <r>
    <x v="78"/>
    <s v="Jaguar Coffee (FLORIDA)_9620000384_Recon.xlsx"/>
    <n v="91728"/>
    <d v="2020-12-05T00:00:00"/>
    <n v="157.5"/>
    <s v="DD352553"/>
    <s v="TBD"/>
    <m/>
    <n v="9620000384"/>
  </r>
  <r>
    <x v="78"/>
    <s v="Jaguar Coffee (FLORIDA)_9620000384_Recon.xlsx"/>
    <n v="91786"/>
    <d v="2020-12-05T00:00:00"/>
    <n v="436.16"/>
    <s v="DD354903"/>
    <s v="TBD"/>
    <m/>
    <n v="9620000384"/>
  </r>
  <r>
    <x v="78"/>
    <s v="Jaguar Coffee (FLORIDA)_9620000384_Recon.xlsx"/>
    <n v="91796"/>
    <d v="2020-12-06T00:00:00"/>
    <n v="420.24"/>
    <s v="DD307149"/>
    <s v="TBD"/>
    <m/>
    <n v="9620000384"/>
  </r>
  <r>
    <x v="78"/>
    <s v="Jaguar Coffee (FLORIDA)_9620000384_Recon.xlsx"/>
    <n v="91893"/>
    <d v="2020-12-08T00:00:00"/>
    <n v="394.19"/>
    <s v="DD357741"/>
    <s v="TBD"/>
    <m/>
    <n v="9620000384"/>
  </r>
  <r>
    <x v="78"/>
    <s v="Jaguar Coffee (FLORIDA)_9620000384_Recon.xlsx"/>
    <n v="92641"/>
    <d v="2020-12-08T00:00:00"/>
    <n v="476.91"/>
    <s v="DD330026"/>
    <s v="TBD"/>
    <m/>
    <n v="9620000384"/>
  </r>
  <r>
    <x v="78"/>
    <s v="Jaguar Coffee (FLORIDA)_9620000384_Recon.xlsx"/>
    <n v="93643"/>
    <d v="2020-12-09T00:00:00"/>
    <n v="385.67"/>
    <s v="HY2900"/>
    <s v="TBD"/>
    <m/>
    <n v="9620000384"/>
  </r>
  <r>
    <x v="78"/>
    <s v="Jaguar Coffee (FLORIDA)_9620000384_Recon.xlsx"/>
    <n v="92082"/>
    <d v="2020-12-10T00:00:00"/>
    <n v="358.75"/>
    <s v="DD349298"/>
    <s v="TBD"/>
    <m/>
    <n v="9620000384"/>
  </r>
  <r>
    <x v="78"/>
    <s v="Jaguar Coffee (FLORIDA)_9620000384_Recon.xlsx"/>
    <n v="92097"/>
    <d v="2020-12-10T00:00:00"/>
    <n v="135"/>
    <s v="DD355659"/>
    <s v="TBD"/>
    <m/>
    <n v="9620000384"/>
  </r>
  <r>
    <x v="78"/>
    <s v="Jaguar Coffee (FLORIDA)_9620000384_Recon.xlsx"/>
    <n v="91972"/>
    <d v="2020-12-11T00:00:00"/>
    <n v="112.5"/>
    <s v="DD341730"/>
    <s v="TBD"/>
    <m/>
    <n v="9620000384"/>
  </r>
  <r>
    <x v="78"/>
    <s v="Jaguar Coffee (FLORIDA)_9620000384_Recon.xlsx"/>
    <n v="92032"/>
    <d v="2020-12-11T00:00:00"/>
    <n v="2007.38"/>
    <s v="DD335512"/>
    <s v="TBD"/>
    <m/>
    <n v="9620000384"/>
  </r>
  <r>
    <x v="78"/>
    <s v="Jaguar Coffee (FLORIDA)_9620000384_Recon.xlsx"/>
    <n v="92369"/>
    <d v="2020-12-11T00:00:00"/>
    <n v="348"/>
    <s v="CK2707421"/>
    <s v="TBD"/>
    <m/>
    <n v="9620000384"/>
  </r>
  <r>
    <x v="78"/>
    <s v="Jaguar Coffee (FLORIDA)_9620000384_Recon.xlsx"/>
    <n v="92639"/>
    <d v="2020-12-12T00:00:00"/>
    <n v="240.62"/>
    <s v="DD330026"/>
    <s v="TBD"/>
    <m/>
    <n v="9620000384"/>
  </r>
  <r>
    <x v="78"/>
    <s v="Jaguar Coffee (FLORIDA)_9620000384_Recon.xlsx"/>
    <n v="92008"/>
    <d v="2020-12-14T00:00:00"/>
    <n v="1188.8"/>
    <s v="DD355659"/>
    <s v="TBD"/>
    <m/>
    <n v="9620000384"/>
  </r>
  <r>
    <x v="78"/>
    <s v="Jaguar Coffee (FLORIDA)_9620000384_Recon.xlsx"/>
    <n v="92011"/>
    <d v="2020-12-14T00:00:00"/>
    <n v="450"/>
    <s v="DD348606"/>
    <s v="TBD"/>
    <m/>
    <n v="9620000384"/>
  </r>
  <r>
    <x v="78"/>
    <s v="Jaguar Coffee (FLORIDA)_9620000384_Recon.xlsx"/>
    <n v="92012"/>
    <d v="2020-12-14T00:00:00"/>
    <n v="112.5"/>
    <s v="DD343920"/>
    <s v="TBD"/>
    <m/>
    <n v="9620000384"/>
  </r>
  <r>
    <x v="78"/>
    <s v="Jaguar Coffee (FLORIDA)_9620000384_Recon.xlsx"/>
    <n v="92016"/>
    <d v="2020-12-14T00:00:00"/>
    <n v="135"/>
    <s v="DD350016"/>
    <s v="TBD"/>
    <m/>
    <n v="9620000384"/>
  </r>
  <r>
    <x v="78"/>
    <s v="Jaguar Coffee (FLORIDA)_9620000384_Recon.xlsx"/>
    <n v="92017"/>
    <d v="2020-12-14T00:00:00"/>
    <n v="262.95999999999998"/>
    <s v="DD355891"/>
    <s v="TBD"/>
    <m/>
    <n v="9620000384"/>
  </r>
  <r>
    <x v="78"/>
    <s v="Jaguar Coffee (FLORIDA)_9620000384_Recon.xlsx"/>
    <n v="92255"/>
    <d v="2020-12-14T00:00:00"/>
    <n v="275"/>
    <s v="DD300904"/>
    <s v="TBD"/>
    <m/>
    <n v="9620000384"/>
  </r>
  <r>
    <x v="78"/>
    <s v="Jaguar Coffee (FLORIDA)_9620000384_Recon.xlsx"/>
    <n v="92172"/>
    <d v="2020-12-15T00:00:00"/>
    <n v="305.52"/>
    <s v="CK2745078"/>
    <s v="TBD"/>
    <m/>
    <n v="9620000384"/>
  </r>
  <r>
    <x v="78"/>
    <s v="Jaguar Coffee (FLORIDA)_9620000384_Recon.xlsx"/>
    <n v="92186"/>
    <d v="2020-12-17T00:00:00"/>
    <n v="371.5"/>
    <s v="DD357220"/>
    <s v="TBD"/>
    <m/>
    <n v="9620000384"/>
  </r>
  <r>
    <x v="78"/>
    <s v="Jaguar Coffee (FLORIDA)_9620000384_Recon.xlsx"/>
    <n v="92241"/>
    <d v="2020-12-17T00:00:00"/>
    <n v="275"/>
    <s v="DD346010"/>
    <s v="TBD"/>
    <m/>
    <n v="9620000384"/>
  </r>
  <r>
    <x v="78"/>
    <s v="Jaguar Coffee (FLORIDA)_9620000384_Recon.xlsx"/>
    <n v="92333"/>
    <d v="2020-12-17T00:00:00"/>
    <n v="180"/>
    <s v="DD357484"/>
    <s v="TBD"/>
    <m/>
    <n v="9620000384"/>
  </r>
  <r>
    <x v="78"/>
    <s v="Jaguar Coffee (FLORIDA)_9620000384_Recon.xlsx"/>
    <n v="92257"/>
    <d v="2020-12-18T00:00:00"/>
    <n v="90"/>
    <s v="DD336686"/>
    <s v="TBD"/>
    <m/>
    <n v="9620000384"/>
  </r>
  <r>
    <x v="78"/>
    <s v="Jaguar Coffee (FLORIDA)_9620000384_Recon.xlsx"/>
    <n v="92442"/>
    <d v="2020-12-18T00:00:00"/>
    <n v="561.97"/>
    <s v="DD349960"/>
    <s v="TBD"/>
    <m/>
    <n v="9620000384"/>
  </r>
  <r>
    <x v="78"/>
    <s v="Jaguar Coffee (FLORIDA)_9620000384_Recon.xlsx"/>
    <n v="92713"/>
    <d v="2020-12-18T00:00:00"/>
    <n v="611.14"/>
    <s v="DD352297"/>
    <s v="TBD"/>
    <m/>
    <n v="9620000384"/>
  </r>
  <r>
    <x v="78"/>
    <s v="Jaguar Coffee (FLORIDA)_9620000384_Recon.xlsx"/>
    <n v="92736"/>
    <d v="2020-12-18T00:00:00"/>
    <n v="3113.45"/>
    <s v="DT407"/>
    <s v="TBD"/>
    <m/>
    <n v="9620000384"/>
  </r>
  <r>
    <x v="78"/>
    <s v="Jaguar Coffee (FLORIDA)_9620000384_Recon.xlsx"/>
    <n v="94488"/>
    <d v="2020-12-18T00:00:00"/>
    <n v="643"/>
    <s v="Summit219"/>
    <s v="TBD"/>
    <m/>
    <n v="9620000384"/>
  </r>
  <r>
    <x v="78"/>
    <s v="Jaguar Coffee (FLORIDA)_9620000384_Recon.xlsx"/>
    <n v="92214"/>
    <d v="2020-12-21T00:00:00"/>
    <n v="492.55"/>
    <s v="DD355248"/>
    <s v="TBD"/>
    <m/>
    <n v="9620000384"/>
  </r>
  <r>
    <x v="78"/>
    <s v="Jaguar Coffee (FLORIDA)_9620000384_Recon.xlsx"/>
    <n v="92475"/>
    <d v="2020-12-21T00:00:00"/>
    <n v="157.5"/>
    <s v="CK2722117"/>
    <s v="TBD"/>
    <m/>
    <n v="9620000384"/>
  </r>
  <r>
    <x v="78"/>
    <s v="Jaguar Coffee (FLORIDA)_9620000384_Recon.xlsx"/>
    <n v="92650"/>
    <d v="2020-12-22T00:00:00"/>
    <n v="497.62"/>
    <s v="DD346595"/>
    <s v="TBD"/>
    <m/>
    <n v="9620000384"/>
  </r>
  <r>
    <x v="78"/>
    <s v="Jaguar Coffee (FLORIDA)_9620000384_Recon.xlsx"/>
    <n v="92681"/>
    <d v="2020-12-23T00:00:00"/>
    <n v="1137.3499999999999"/>
    <s v="DD332991"/>
    <s v="TBD"/>
    <m/>
    <n v="9620000384"/>
  </r>
  <r>
    <x v="78"/>
    <s v="Jaguar Coffee (FLORIDA)_9620000384_Recon.xlsx"/>
    <n v="92759"/>
    <d v="2020-12-23T00:00:00"/>
    <n v="90"/>
    <s v="DD344388"/>
    <s v="TBD"/>
    <m/>
    <n v="9620000384"/>
  </r>
  <r>
    <x v="78"/>
    <s v="Jaguar Coffee (FLORIDA)_9620000384_Recon.xlsx"/>
    <n v="92697"/>
    <d v="2020-12-24T00:00:00"/>
    <n v="112.5"/>
    <s v="DD358302"/>
    <s v="TBD"/>
    <m/>
    <n v="9620000384"/>
  </r>
  <r>
    <x v="78"/>
    <s v="Jaguar Coffee (FLORIDA)_9620000384_Recon.xlsx"/>
    <n v="92715"/>
    <d v="2020-12-24T00:00:00"/>
    <n v="510.94"/>
    <s v="DD352297"/>
    <s v="TBD"/>
    <m/>
    <n v="9620000384"/>
  </r>
  <r>
    <x v="78"/>
    <s v="Jaguar Coffee (FLORIDA)_9620000384_Recon.xlsx"/>
    <n v="92723"/>
    <d v="2020-12-27T00:00:00"/>
    <n v="384.12"/>
    <s v="DD350803"/>
    <s v="TBD"/>
    <m/>
    <n v="9620000384"/>
  </r>
  <r>
    <x v="78"/>
    <s v="Jaguar Coffee (FLORIDA)_9620000384_Recon.xlsx"/>
    <n v="92598"/>
    <d v="2020-12-28T00:00:00"/>
    <n v="284.83999999999997"/>
    <s v="DD302428"/>
    <s v="TBD"/>
    <m/>
    <n v="9620000384"/>
  </r>
  <r>
    <x v="78"/>
    <s v="Jaguar Coffee (FLORIDA)_9620000384_Recon.xlsx"/>
    <n v="92796"/>
    <d v="2020-12-28T00:00:00"/>
    <n v="275"/>
    <s v="DD340445"/>
    <s v="TBD"/>
    <m/>
    <n v="9620000384"/>
  </r>
  <r>
    <x v="78"/>
    <s v="Jaguar Coffee (FLORIDA)_9620000384_Recon.xlsx"/>
    <n v="92609"/>
    <d v="2020-12-29T00:00:00"/>
    <n v="202.5"/>
    <s v="DD357220"/>
    <s v="TBD"/>
    <m/>
    <n v="9620000384"/>
  </r>
  <r>
    <x v="78"/>
    <s v="Jaguar Coffee (FLORIDA)_9620000384_Recon.xlsx"/>
    <n v="92743"/>
    <d v="2020-12-29T00:00:00"/>
    <n v="112.5"/>
    <s v="DD338649"/>
    <s v="TBD"/>
    <m/>
    <n v="9620000384"/>
  </r>
  <r>
    <x v="78"/>
    <s v="Jaguar Coffee (FLORIDA)_9620000384_Recon.xlsx"/>
    <n v="94545"/>
    <d v="2020-12-29T00:00:00"/>
    <n v="202.5"/>
    <s v="HCH"/>
    <s v="TBD"/>
    <m/>
    <n v="9620000384"/>
  </r>
  <r>
    <x v="78"/>
    <s v="Jaguar Coffee (FLORIDA)_9620000384_Recon.xlsx"/>
    <n v="92883"/>
    <d v="2020-12-30T00:00:00"/>
    <n v="522"/>
    <s v="CK2722805"/>
    <s v="TBD"/>
    <m/>
    <n v="9620000384"/>
  </r>
  <r>
    <x v="78"/>
    <s v="Jaguar Coffee (FLORIDA)_9620000384_Recon.xlsx"/>
    <n v="92885"/>
    <d v="2020-12-30T00:00:00"/>
    <n v="348"/>
    <s v="CK2722407"/>
    <s v="TBD"/>
    <m/>
    <n v="9620000384"/>
  </r>
  <r>
    <x v="78"/>
    <s v="Jaguar Coffee (FLORIDA)_9620000384_Recon.xlsx"/>
    <n v="92909"/>
    <d v="2020-12-31T00:00:00"/>
    <n v="696"/>
    <s v="CK2707697"/>
    <s v="TBD"/>
    <m/>
    <n v="9620000384"/>
  </r>
  <r>
    <x v="78"/>
    <s v="Jaguar Coffee (FLORIDA)_9620000384_Recon.xlsx"/>
    <n v="93181"/>
    <d v="2020-12-31T00:00:00"/>
    <n v="586.04999999999995"/>
    <s v="DD342863"/>
    <s v="TBD"/>
    <m/>
    <n v="9620000384"/>
  </r>
  <r>
    <x v="78"/>
    <s v="Jaguar Coffee (FLORIDA)_9620000384_Recon.xlsx"/>
    <n v="92837"/>
    <d v="2021-01-04T00:00:00"/>
    <n v="798.66"/>
    <s v="DD353252"/>
    <s v="TBD"/>
    <m/>
    <n v="9620000384"/>
  </r>
  <r>
    <x v="78"/>
    <s v="Jaguar Coffee (FLORIDA)_9620000384_Recon.xlsx"/>
    <n v="92847"/>
    <d v="2021-01-04T00:00:00"/>
    <n v="522"/>
    <s v="CK2726146"/>
    <s v="TBD"/>
    <m/>
    <n v="9620000384"/>
  </r>
  <r>
    <x v="78"/>
    <s v="Jaguar Coffee (FLORIDA)_9620000384_Recon.xlsx"/>
    <n v="92849"/>
    <d v="2021-01-04T00:00:00"/>
    <n v="522"/>
    <s v="CK2721301"/>
    <s v="TBD"/>
    <m/>
    <n v="9620000384"/>
  </r>
  <r>
    <x v="78"/>
    <s v="Jaguar Coffee (FLORIDA)_9620000384_Recon.xlsx"/>
    <n v="92861"/>
    <d v="2021-01-04T00:00:00"/>
    <n v="409.92"/>
    <s v="DD353664"/>
    <s v="TBD"/>
    <m/>
    <n v="9620000384"/>
  </r>
  <r>
    <x v="78"/>
    <s v="Jaguar Coffee (FLORIDA)_9620000384_Recon.xlsx"/>
    <n v="92862"/>
    <d v="2021-01-04T00:00:00"/>
    <n v="522"/>
    <s v="CK2722006"/>
    <s v="TBD"/>
    <m/>
    <n v="9620000384"/>
  </r>
  <r>
    <x v="78"/>
    <s v="Jaguar Coffee (FLORIDA)_9620000384_Recon.xlsx"/>
    <n v="92868"/>
    <d v="2021-01-04T00:00:00"/>
    <n v="522"/>
    <s v="CK2722235"/>
    <s v="TBD"/>
    <m/>
    <n v="9620000384"/>
  </r>
  <r>
    <x v="78"/>
    <s v="Jaguar Coffee (FLORIDA)_9620000384_Recon.xlsx"/>
    <n v="92869"/>
    <d v="2021-01-04T00:00:00"/>
    <n v="522"/>
    <s v="CK2726009"/>
    <s v="TBD"/>
    <m/>
    <n v="9620000384"/>
  </r>
  <r>
    <x v="78"/>
    <s v="Jaguar Coffee (FLORIDA)_9620000384_Recon.xlsx"/>
    <n v="92896"/>
    <d v="2021-01-04T00:00:00"/>
    <n v="522"/>
    <s v="CK2722117"/>
    <s v="TBD"/>
    <m/>
    <n v="9620000384"/>
  </r>
  <r>
    <x v="78"/>
    <s v="Jaguar Coffee (FLORIDA)_9620000384_Recon.xlsx"/>
    <n v="92913"/>
    <d v="2021-01-04T00:00:00"/>
    <n v="522"/>
    <s v="CK2721420"/>
    <s v="TBD"/>
    <m/>
    <n v="9620000384"/>
  </r>
  <r>
    <x v="78"/>
    <s v="Jaguar Coffee (FLORIDA)_9620000384_Recon.xlsx"/>
    <n v="92972"/>
    <d v="2021-01-04T00:00:00"/>
    <n v="522"/>
    <s v="CK2721416"/>
    <s v="TBD"/>
    <m/>
    <n v="9620000384"/>
  </r>
  <r>
    <x v="78"/>
    <s v="Jaguar Coffee (FLORIDA)_9620000384_Recon.xlsx"/>
    <n v="92974"/>
    <d v="2021-01-04T00:00:00"/>
    <n v="522"/>
    <s v="CK2721424"/>
    <s v="TBD"/>
    <m/>
    <n v="9620000384"/>
  </r>
  <r>
    <x v="78"/>
    <s v="Jaguar Coffee (FLORIDA)_9620000384_Recon.xlsx"/>
    <n v="92976"/>
    <d v="2021-01-04T00:00:00"/>
    <n v="522"/>
    <s v="CK2721307"/>
    <s v="TBD"/>
    <m/>
    <n v="9620000384"/>
  </r>
  <r>
    <x v="78"/>
    <s v="Jaguar Coffee (FLORIDA)_9620000384_Recon.xlsx"/>
    <n v="93023"/>
    <d v="2021-01-04T00:00:00"/>
    <n v="348"/>
    <s v="CK2721223"/>
    <s v="TBD"/>
    <m/>
    <n v="9620000384"/>
  </r>
  <r>
    <x v="78"/>
    <s v="Jaguar Coffee (FLORIDA)_9620000384_Recon.xlsx"/>
    <n v="93117"/>
    <d v="2021-01-04T00:00:00"/>
    <n v="2596.09"/>
    <s v="DD338388"/>
    <s v="TBD"/>
    <m/>
    <n v="9620000384"/>
  </r>
  <r>
    <x v="78"/>
    <s v="Jaguar Coffee (FLORIDA)_9620000384_Recon.xlsx"/>
    <n v="92970"/>
    <d v="2021-01-05T00:00:00"/>
    <n v="157.5"/>
    <s v="DD353796"/>
    <s v="TBD"/>
    <m/>
    <n v="9620000384"/>
  </r>
  <r>
    <x v="78"/>
    <s v="Jaguar Coffee (FLORIDA)_9620000384_Recon.xlsx"/>
    <n v="93005"/>
    <d v="2021-01-05T00:00:00"/>
    <n v="348"/>
    <s v="CK2708956"/>
    <s v="TBD"/>
    <m/>
    <n v="9620000384"/>
  </r>
  <r>
    <x v="78"/>
    <s v="Jaguar Coffee (FLORIDA)_9620000384_Recon.xlsx"/>
    <n v="93025"/>
    <d v="2021-01-05T00:00:00"/>
    <n v="174"/>
    <s v="CK2707787"/>
    <s v="TBD"/>
    <m/>
    <n v="9620000384"/>
  </r>
  <r>
    <x v="78"/>
    <s v="Jaguar Coffee (FLORIDA)_9620000384_Recon.xlsx"/>
    <n v="93182"/>
    <d v="2021-01-05T00:00:00"/>
    <n v="421.46"/>
    <s v="DD342863"/>
    <s v="TBD"/>
    <m/>
    <n v="9620000384"/>
  </r>
  <r>
    <x v="78"/>
    <s v="Jaguar Coffee (FLORIDA)_9620000384_Recon.xlsx"/>
    <n v="93183"/>
    <d v="2021-01-05T00:00:00"/>
    <n v="157.5"/>
    <s v="DD340942"/>
    <s v="TBD"/>
    <m/>
    <n v="9620000384"/>
  </r>
  <r>
    <x v="78"/>
    <s v="Jaguar Coffee (FLORIDA)_9620000384_Recon.xlsx"/>
    <n v="93184"/>
    <d v="2021-01-05T00:00:00"/>
    <n v="458.41"/>
    <s v="DD30278"/>
    <s v="TBD"/>
    <m/>
    <n v="9620000384"/>
  </r>
  <r>
    <x v="78"/>
    <s v="Jaguar Coffee (FLORIDA)_9620000384_Recon.xlsx"/>
    <n v="93234"/>
    <d v="2021-01-05T00:00:00"/>
    <n v="360"/>
    <s v="DD359195"/>
    <s v="TBD"/>
    <m/>
    <n v="9620000384"/>
  </r>
  <r>
    <x v="78"/>
    <s v="Jaguar Coffee (FLORIDA)_9620000384_Recon.xlsx"/>
    <n v="92980"/>
    <d v="2021-01-06T00:00:00"/>
    <n v="522"/>
    <s v="CK2726270"/>
    <s v="TBD"/>
    <m/>
    <n v="9620000384"/>
  </r>
  <r>
    <x v="78"/>
    <s v="Jaguar Coffee (FLORIDA)_9620000384_Recon.xlsx"/>
    <n v="93011"/>
    <d v="2021-01-06T00:00:00"/>
    <n v="174"/>
    <s v="CK2722207"/>
    <s v="TBD"/>
    <m/>
    <n v="9620000384"/>
  </r>
  <r>
    <x v="78"/>
    <s v="Jaguar Coffee (FLORIDA)_9620000384_Recon.xlsx"/>
    <n v="93021"/>
    <d v="2021-01-06T00:00:00"/>
    <n v="348"/>
    <s v="CK2704733"/>
    <s v="TBD"/>
    <m/>
    <n v="9620000384"/>
  </r>
  <r>
    <x v="78"/>
    <s v="Jaguar Coffee (FLORIDA)_9620000384_Recon.xlsx"/>
    <n v="93029"/>
    <d v="2021-01-06T00:00:00"/>
    <n v="522"/>
    <s v="CK2721142"/>
    <s v="TBD"/>
    <m/>
    <n v="9620000384"/>
  </r>
  <r>
    <x v="78"/>
    <s v="Jaguar Coffee (FLORIDA)_9620000384_Recon.xlsx"/>
    <n v="93112"/>
    <d v="2021-01-06T00:00:00"/>
    <n v="348"/>
    <s v="CK2707404"/>
    <s v="TBD"/>
    <m/>
    <n v="9620000384"/>
  </r>
  <r>
    <x v="78"/>
    <s v="Jaguar Coffee (FLORIDA)_9620000384_Recon.xlsx"/>
    <n v="93113"/>
    <d v="2021-01-06T00:00:00"/>
    <n v="348"/>
    <s v="CK2701722"/>
    <s v="TBD"/>
    <m/>
    <n v="9620000384"/>
  </r>
  <r>
    <x v="78"/>
    <s v="Jaguar Coffee (FLORIDA)_9620000384_Recon.xlsx"/>
    <n v="93116"/>
    <d v="2021-01-06T00:00:00"/>
    <n v="348"/>
    <s v="CK2707643"/>
    <s v="TBD"/>
    <m/>
    <n v="9620000384"/>
  </r>
  <r>
    <x v="78"/>
    <s v="Jaguar Coffee (FLORIDA)_9620000384_Recon.xlsx"/>
    <n v="93122"/>
    <d v="2021-01-06T00:00:00"/>
    <n v="348"/>
    <s v="CK2704865"/>
    <s v="TBD"/>
    <m/>
    <n v="9620000384"/>
  </r>
  <r>
    <x v="78"/>
    <s v="Jaguar Coffee (FLORIDA)_9620000384_Recon.xlsx"/>
    <n v="93135"/>
    <d v="2021-01-06T00:00:00"/>
    <n v="522"/>
    <s v="CK2707402"/>
    <s v="TBD"/>
    <m/>
    <n v="9620000384"/>
  </r>
  <r>
    <x v="78"/>
    <s v="Jaguar Coffee (FLORIDA)_9620000384_Recon.xlsx"/>
    <n v="93136"/>
    <d v="2021-01-06T00:00:00"/>
    <n v="348"/>
    <s v="CK2707329"/>
    <s v="TBD"/>
    <m/>
    <n v="9620000384"/>
  </r>
  <r>
    <x v="78"/>
    <s v="Jaguar Coffee (FLORIDA)_9620000384_Recon.xlsx"/>
    <n v="93137"/>
    <d v="2021-01-06T00:00:00"/>
    <n v="522"/>
    <s v="CK2707403"/>
    <s v="TBD"/>
    <m/>
    <n v="9620000384"/>
  </r>
  <r>
    <x v="78"/>
    <s v="Jaguar Coffee (FLORIDA)_9620000384_Recon.xlsx"/>
    <n v="93273"/>
    <d v="2021-01-06T00:00:00"/>
    <n v="157.5"/>
    <s v="CK2723650"/>
    <s v="TBD"/>
    <m/>
    <n v="9620000384"/>
  </r>
  <r>
    <x v="78"/>
    <s v="Jaguar Coffee (FLORIDA)_9620000384_Recon.xlsx"/>
    <n v="92977"/>
    <d v="2021-01-07T00:00:00"/>
    <n v="522"/>
    <s v="CK2721181"/>
    <s v="TBD"/>
    <m/>
    <n v="9620000384"/>
  </r>
  <r>
    <x v="78"/>
    <s v="Jaguar Coffee (FLORIDA)_9620000384_Recon.xlsx"/>
    <n v="92982"/>
    <d v="2021-01-07T00:00:00"/>
    <n v="522"/>
    <s v="CK2721242"/>
    <s v="TBD"/>
    <m/>
    <n v="9620000384"/>
  </r>
  <r>
    <x v="78"/>
    <s v="Jaguar Coffee (FLORIDA)_9620000384_Recon.xlsx"/>
    <n v="92985"/>
    <d v="2021-01-07T00:00:00"/>
    <n v="522"/>
    <s v="CK2723916"/>
    <s v="TBD"/>
    <m/>
    <n v="9620000384"/>
  </r>
  <r>
    <x v="78"/>
    <s v="Jaguar Coffee (FLORIDA)_9620000384_Recon.xlsx"/>
    <n v="92988"/>
    <d v="2021-01-07T00:00:00"/>
    <n v="522"/>
    <s v="CK2707562"/>
    <s v="TBD"/>
    <m/>
    <n v="9620000384"/>
  </r>
  <r>
    <x v="78"/>
    <s v="Jaguar Coffee (FLORIDA)_9620000384_Recon.xlsx"/>
    <n v="93003"/>
    <d v="2021-01-07T00:00:00"/>
    <n v="522"/>
    <s v="CK2721238"/>
    <s v="TBD"/>
    <m/>
    <n v="9620000384"/>
  </r>
  <r>
    <x v="78"/>
    <s v="Jaguar Coffee (FLORIDA)_9620000384_Recon.xlsx"/>
    <n v="93004"/>
    <d v="2021-01-07T00:00:00"/>
    <n v="348"/>
    <s v="CK2722003"/>
    <s v="TBD"/>
    <m/>
    <n v="9620000384"/>
  </r>
  <r>
    <x v="78"/>
    <s v="Jaguar Coffee (FLORIDA)_9620000384_Recon.xlsx"/>
    <n v="93007"/>
    <d v="2021-01-07T00:00:00"/>
    <n v="348"/>
    <s v="CK2722326"/>
    <s v="TBD"/>
    <m/>
    <n v="9620000384"/>
  </r>
  <r>
    <x v="78"/>
    <s v="Jaguar Coffee (FLORIDA)_9620000384_Recon.xlsx"/>
    <n v="93008"/>
    <d v="2021-01-07T00:00:00"/>
    <n v="522"/>
    <s v="CK2721182"/>
    <s v="TBD"/>
    <m/>
    <n v="9620000384"/>
  </r>
  <r>
    <x v="78"/>
    <s v="Jaguar Coffee (FLORIDA)_9620000384_Recon.xlsx"/>
    <n v="93020"/>
    <d v="2021-01-07T00:00:00"/>
    <n v="522"/>
    <s v="CK2707696"/>
    <s v="TBD"/>
    <m/>
    <n v="9620000384"/>
  </r>
  <r>
    <x v="78"/>
    <s v="Jaguar Coffee (FLORIDA)_9620000384_Recon.xlsx"/>
    <n v="93119"/>
    <d v="2021-01-07T00:00:00"/>
    <n v="522"/>
    <s v="CK2708717"/>
    <s v="TBD"/>
    <m/>
    <n v="9620000384"/>
  </r>
  <r>
    <x v="78"/>
    <s v="Jaguar Coffee (FLORIDA)_9620000384_Recon.xlsx"/>
    <n v="93120"/>
    <d v="2021-01-07T00:00:00"/>
    <n v="348"/>
    <s v="CK2702384"/>
    <s v="TBD"/>
    <m/>
    <n v="9620000384"/>
  </r>
  <r>
    <x v="78"/>
    <s v="Jaguar Coffee (FLORIDA)_9620000384_Recon.xlsx"/>
    <n v="93123"/>
    <d v="2021-01-07T00:00:00"/>
    <n v="522"/>
    <s v="CK2702372"/>
    <s v="TBD"/>
    <m/>
    <n v="9620000384"/>
  </r>
  <r>
    <x v="78"/>
    <s v="Jaguar Coffee (FLORIDA)_9620000384_Recon.xlsx"/>
    <n v="93124"/>
    <d v="2021-01-07T00:00:00"/>
    <n v="348"/>
    <s v="CK2708538"/>
    <s v="TBD"/>
    <m/>
    <n v="9620000384"/>
  </r>
  <r>
    <x v="78"/>
    <s v="Jaguar Coffee (FLORIDA)_9620000384_Recon.xlsx"/>
    <n v="93127"/>
    <d v="2021-01-07T00:00:00"/>
    <n v="348"/>
    <s v="CK2708534"/>
    <s v="TBD"/>
    <m/>
    <n v="9620000384"/>
  </r>
  <r>
    <x v="78"/>
    <s v="Jaguar Coffee (FLORIDA)_9620000384_Recon.xlsx"/>
    <n v="93170"/>
    <d v="2021-01-07T00:00:00"/>
    <n v="348"/>
    <s v="CK2707603"/>
    <s v="TBD"/>
    <m/>
    <n v="9620000384"/>
  </r>
  <r>
    <x v="78"/>
    <s v="Jaguar Coffee (FLORIDA)_9620000384_Recon.xlsx"/>
    <n v="93171"/>
    <d v="2021-01-07T00:00:00"/>
    <n v="522"/>
    <s v="CK2702375"/>
    <s v="TBD"/>
    <m/>
    <n v="9620000384"/>
  </r>
  <r>
    <x v="78"/>
    <s v="Jaguar Coffee (FLORIDA)_9620000384_Recon.xlsx"/>
    <n v="93173"/>
    <d v="2021-01-07T00:00:00"/>
    <n v="522"/>
    <s v="CK2702371"/>
    <s v="TBD"/>
    <m/>
    <n v="9620000384"/>
  </r>
  <r>
    <x v="78"/>
    <s v="Jaguar Coffee (FLORIDA)_9620000384_Recon.xlsx"/>
    <n v="93178"/>
    <d v="2021-01-07T00:00:00"/>
    <n v="522"/>
    <s v="CK2702382"/>
    <s v="TBD"/>
    <m/>
    <n v="9620000384"/>
  </r>
  <r>
    <x v="78"/>
    <s v="Jaguar Coffee (FLORIDA)_9620000384_Recon.xlsx"/>
    <n v="93009"/>
    <d v="2021-01-08T00:00:00"/>
    <n v="348"/>
    <s v="CK2722005"/>
    <s v="TBD"/>
    <m/>
    <n v="9620000384"/>
  </r>
  <r>
    <x v="78"/>
    <s v="Jaguar Coffee (FLORIDA)_9620000384_Recon.xlsx"/>
    <n v="93125"/>
    <d v="2021-01-08T00:00:00"/>
    <n v="522"/>
    <s v="CK2702386"/>
    <s v="TBD"/>
    <m/>
    <n v="9620000384"/>
  </r>
  <r>
    <x v="78"/>
    <s v="Jaguar Coffee (FLORIDA)_9620000384_Recon.xlsx"/>
    <n v="93134"/>
    <d v="2021-01-08T00:00:00"/>
    <n v="522"/>
    <s v="CK2702370"/>
    <s v="TBD"/>
    <m/>
    <n v="9620000384"/>
  </r>
  <r>
    <x v="78"/>
    <s v="Jaguar Coffee (FLORIDA)_9620000384_Recon.xlsx"/>
    <n v="93174"/>
    <d v="2021-01-08T00:00:00"/>
    <n v="522"/>
    <s v="CK2721233"/>
    <s v="TBD"/>
    <m/>
    <n v="9620000384"/>
  </r>
  <r>
    <x v="78"/>
    <s v="Jaguar Coffee (FLORIDA)_9620000384_Recon.xlsx"/>
    <n v="93175"/>
    <d v="2021-01-08T00:00:00"/>
    <n v="348"/>
    <s v="CK2701707"/>
    <s v="TBD"/>
    <m/>
    <n v="9620000384"/>
  </r>
  <r>
    <x v="78"/>
    <s v="Jaguar Coffee (FLORIDA)_9620000384_Recon.xlsx"/>
    <n v="93176"/>
    <d v="2021-01-08T00:00:00"/>
    <n v="522"/>
    <s v="CK2705333"/>
    <s v="TBD"/>
    <m/>
    <n v="9620000384"/>
  </r>
  <r>
    <x v="78"/>
    <s v="Jaguar Coffee (FLORIDA)_9620000384_Recon.xlsx"/>
    <n v="93532"/>
    <d v="2021-01-09T00:00:00"/>
    <n v="941.79"/>
    <s v="DD341394"/>
    <s v="TBD"/>
    <m/>
    <n v="9620000384"/>
  </r>
  <r>
    <x v="78"/>
    <s v="Jaguar Coffee (FLORIDA)_9620000384_Recon.xlsx"/>
    <n v="94167"/>
    <d v="2021-01-09T00:00:00"/>
    <n v="275"/>
    <s v="DD341394"/>
    <s v="TBD"/>
    <m/>
    <n v="9620000384"/>
  </r>
  <r>
    <x v="78"/>
    <s v="Jaguar Coffee (FLORIDA)_9620000384_Recon.xlsx"/>
    <n v="93128"/>
    <d v="2021-01-11T00:00:00"/>
    <n v="522"/>
    <s v="CK2744430"/>
    <s v="TBD"/>
    <m/>
    <n v="9620000384"/>
  </r>
  <r>
    <x v="78"/>
    <s v="Jaguar Coffee (FLORIDA)_9620000384_Recon.xlsx"/>
    <n v="93219"/>
    <d v="2021-01-11T00:00:00"/>
    <n v="379.72"/>
    <s v="DD355248"/>
    <s v="TBD"/>
    <m/>
    <n v="9620000384"/>
  </r>
  <r>
    <x v="78"/>
    <s v="Jaguar Coffee (FLORIDA)_9620000384_Recon.xlsx"/>
    <n v="93172"/>
    <d v="2021-01-12T00:00:00"/>
    <n v="348"/>
    <s v="CK2721229"/>
    <s v="TBD"/>
    <m/>
    <n v="9620000384"/>
  </r>
  <r>
    <x v="78"/>
    <s v="Jaguar Coffee (FLORIDA)_9620000384_Recon.xlsx"/>
    <n v="93177"/>
    <d v="2021-01-12T00:00:00"/>
    <n v="522"/>
    <s v="CK2722426"/>
    <s v="TBD"/>
    <m/>
    <n v="9620000384"/>
  </r>
  <r>
    <x v="78"/>
    <s v="Jaguar Coffee (FLORIDA)_9620000384_Recon.xlsx"/>
    <n v="93422"/>
    <d v="2021-01-12T00:00:00"/>
    <n v="194"/>
    <s v="DD341077"/>
    <s v="TBD"/>
    <m/>
    <n v="9620000384"/>
  </r>
  <r>
    <x v="78"/>
    <s v="Jaguar Coffee (FLORIDA)_9620000384_Recon.xlsx"/>
    <n v="93767"/>
    <d v="2021-01-12T00:00:00"/>
    <n v="174"/>
    <n v="316073"/>
    <s v="PM"/>
    <m/>
    <n v="9620000384"/>
  </r>
  <r>
    <x v="78"/>
    <s v="Jaguar Coffee (FLORIDA)_9620000384_Recon.xlsx"/>
    <n v="93254"/>
    <d v="2021-01-13T00:00:00"/>
    <n v="442.84"/>
    <s v="DD353252"/>
    <s v="TBD"/>
    <m/>
    <n v="9620000384"/>
  </r>
  <r>
    <x v="78"/>
    <s v="Jaguar Coffee (FLORIDA)_9620000384_Recon.xlsx"/>
    <n v="93549"/>
    <d v="2021-01-13T00:00:00"/>
    <n v="135"/>
    <s v="DD310171"/>
    <s v="TBD"/>
    <m/>
    <n v="9620000384"/>
  </r>
  <r>
    <x v="78"/>
    <s v="Jaguar Coffee (FLORIDA)_9620000384_Recon.xlsx"/>
    <n v="94723"/>
    <d v="2021-01-13T00:00:00"/>
    <n v="180"/>
    <s v="CYFSH"/>
    <s v="TBD"/>
    <m/>
    <n v="9620000384"/>
  </r>
  <r>
    <x v="78"/>
    <s v="Jaguar Coffee (FLORIDA)_9620000384_Recon.xlsx"/>
    <n v="93446"/>
    <d v="2021-01-14T00:00:00"/>
    <n v="341.6"/>
    <s v="CK2707683"/>
    <s v="TBD"/>
    <m/>
    <n v="9620000384"/>
  </r>
  <r>
    <x v="78"/>
    <s v="Jaguar Coffee (FLORIDA)_9620000384_Recon.xlsx"/>
    <n v="94641"/>
    <d v="2021-01-15T00:00:00"/>
    <n v="308.98"/>
    <s v="DD343576"/>
    <s v="TBD"/>
    <m/>
    <n v="9620000384"/>
  </r>
  <r>
    <x v="78"/>
    <s v="Jaguar Coffee (FLORIDA)_9620000384_Recon.xlsx"/>
    <n v="93489"/>
    <d v="2021-01-16T00:00:00"/>
    <n v="174"/>
    <s v="CK2741523"/>
    <s v="TBD"/>
    <m/>
    <n v="9620000384"/>
  </r>
  <r>
    <x v="78"/>
    <s v="Jaguar Coffee (FLORIDA)_9620000384_Recon.xlsx"/>
    <n v="93488"/>
    <d v="2021-01-17T00:00:00"/>
    <n v="174"/>
    <s v="CK2741007"/>
    <s v="TBD"/>
    <m/>
    <n v="9620000384"/>
  </r>
  <r>
    <x v="78"/>
    <s v="Jaguar Coffee (FLORIDA)_9620000384_Recon.xlsx"/>
    <n v="94489"/>
    <d v="2021-01-20T00:00:00"/>
    <n v="813"/>
    <s v="CK2701885"/>
    <s v="TBD"/>
    <m/>
    <n v="9620000384"/>
  </r>
  <r>
    <x v="78"/>
    <s v="Jaguar Coffee (FLORIDA)_9620000384_Recon.xlsx"/>
    <n v="95120"/>
    <d v="2021-01-25T00:00:00"/>
    <n v="315"/>
    <s v="CK2723900"/>
    <s v="TBD"/>
    <m/>
    <n v="9620000384"/>
  </r>
  <r>
    <x v="78"/>
    <s v="Jaguar Coffee (FLORIDA)_9620000384_Recon.xlsx"/>
    <n v="94491"/>
    <d v="2021-01-26T00:00:00"/>
    <n v="270"/>
    <s v="CY2905"/>
    <s v="TBD"/>
    <m/>
    <n v="9620000384"/>
  </r>
  <r>
    <x v="78"/>
    <s v="Jaguar Coffee (FLORIDA)_9620000384_Recon.xlsx"/>
    <n v="93991"/>
    <d v="2021-01-27T00:00:00"/>
    <n v="335.55"/>
    <s v="CY130"/>
    <s v="TBD"/>
    <m/>
    <n v="9620000384"/>
  </r>
  <r>
    <x v="78"/>
    <s v="Jaguar Coffee (FLORIDA)_9620000384_Recon.xlsx"/>
    <n v="94006"/>
    <d v="2021-01-28T00:00:00"/>
    <n v="582.5"/>
    <s v="BH1580"/>
    <s v="TBD"/>
    <m/>
    <n v="9620000384"/>
  </r>
  <r>
    <x v="78"/>
    <s v="Jaguar Coffee (FLORIDA)_9620000384_Recon.xlsx"/>
    <n v="94026"/>
    <d v="2021-01-28T00:00:00"/>
    <n v="180"/>
    <s v="DD302428"/>
    <s v="TBD"/>
    <m/>
    <n v="9620000384"/>
  </r>
  <r>
    <x v="78"/>
    <s v="Jaguar Coffee (FLORIDA)_9620000384_Recon.xlsx"/>
    <n v="94138"/>
    <d v="2021-01-28T00:00:00"/>
    <n v="275"/>
    <s v="DD353871"/>
    <s v="TBD"/>
    <m/>
    <n v="9620000384"/>
  </r>
  <r>
    <x v="78"/>
    <s v="Jaguar Coffee (FLORIDA)_9620000384_Recon.xlsx"/>
    <n v="94145"/>
    <d v="2021-01-28T00:00:00"/>
    <n v="275"/>
    <s v="DD354199"/>
    <s v="TBD"/>
    <m/>
    <n v="9620000384"/>
  </r>
  <r>
    <x v="78"/>
    <s v="Jaguar Coffee (FLORIDA)_9620000384_Recon.xlsx"/>
    <n v="94350"/>
    <d v="2021-01-28T00:00:00"/>
    <n v="561.97"/>
    <s v="MHC"/>
    <s v="TBD"/>
    <m/>
    <n v="9620000384"/>
  </r>
  <r>
    <x v="78"/>
    <s v="Jaguar Coffee (FLORIDA)_9620000384_Recon.xlsx"/>
    <n v="94120"/>
    <d v="2021-01-29T00:00:00"/>
    <n v="275"/>
    <s v="DD353556"/>
    <s v="TBD"/>
    <m/>
    <n v="9620000384"/>
  </r>
  <r>
    <x v="78"/>
    <s v="Jaguar Coffee (FLORIDA)_9620000384_Recon.xlsx"/>
    <n v="94137"/>
    <d v="2021-01-30T00:00:00"/>
    <n v="90"/>
    <s v="DD344207"/>
    <s v="TBD"/>
    <m/>
    <n v="9620000384"/>
  </r>
  <r>
    <x v="78"/>
    <s v="Jaguar Coffee (FLORIDA)_9620000384_Recon.xlsx"/>
    <n v="94698"/>
    <d v="2021-02-01T00:00:00"/>
    <n v="675"/>
    <s v="DD354661"/>
    <s v="TBD"/>
    <m/>
    <n v="9620000384"/>
  </r>
  <r>
    <x v="78"/>
    <s v="Jaguar Coffee (FLORIDA)_9620000384_Recon.xlsx"/>
    <n v="95076"/>
    <d v="2021-02-01T00:00:00"/>
    <n v="180"/>
    <s v="CK2721257"/>
    <s v="TBD"/>
    <m/>
    <n v="9620000384"/>
  </r>
  <r>
    <x v="78"/>
    <s v="Jaguar Coffee (FLORIDA)_9620000384_Recon.xlsx"/>
    <n v="94202"/>
    <d v="2021-02-02T00:00:00"/>
    <n v="590.23"/>
    <s v="SODEXOUTM"/>
    <s v="TBD"/>
    <m/>
    <n v="9620000384"/>
  </r>
  <r>
    <x v="78"/>
    <s v="Jaguar Coffee (FLORIDA)_9620000384_Recon.xlsx"/>
    <n v="94703"/>
    <d v="2021-02-02T00:00:00"/>
    <n v="476.13"/>
    <s v="DD336686"/>
    <s v="TBD"/>
    <m/>
    <n v="9620000384"/>
  </r>
  <r>
    <x v="78"/>
    <s v="Jaguar Coffee (FLORIDA)_9620000384_Recon.xlsx"/>
    <n v="94262"/>
    <d v="2021-02-03T00:00:00"/>
    <n v="157.5"/>
    <s v="CK2745029"/>
    <s v="TBD"/>
    <m/>
    <n v="9620000384"/>
  </r>
  <r>
    <x v="78"/>
    <s v="Jaguar Coffee (FLORIDA)_9620000384_Recon.xlsx"/>
    <n v="94525"/>
    <d v="2021-02-03T00:00:00"/>
    <n v="275"/>
    <s v="DD351383"/>
    <s v="TBD"/>
    <m/>
    <n v="9620000384"/>
  </r>
  <r>
    <x v="78"/>
    <s v="Jaguar Coffee (FLORIDA)_9620000384_Recon.xlsx"/>
    <n v="94249"/>
    <d v="2021-02-04T00:00:00"/>
    <n v="295.63"/>
    <s v="AMSL"/>
    <s v="TBD"/>
    <m/>
    <n v="9620000384"/>
  </r>
  <r>
    <x v="78"/>
    <s v="Jaguar Coffee (FLORIDA)_9620000384_Recon.xlsx"/>
    <n v="94424"/>
    <d v="2021-02-04T00:00:00"/>
    <n v="292.5"/>
    <s v="DD344207"/>
    <s v="TBD"/>
    <m/>
    <n v="9620000384"/>
  </r>
  <r>
    <x v="78"/>
    <s v="Jaguar Coffee (FLORIDA)_9620000384_Recon.xlsx"/>
    <n v="94437"/>
    <d v="2021-02-04T00:00:00"/>
    <n v="90"/>
    <s v="DD356318"/>
    <s v="TBD"/>
    <m/>
    <n v="9620000384"/>
  </r>
  <r>
    <x v="78"/>
    <s v="Jaguar Coffee (FLORIDA)_9620000384_Recon.xlsx"/>
    <n v="94438"/>
    <d v="2021-02-04T00:00:00"/>
    <n v="90"/>
    <s v="DD344410"/>
    <s v="TBD"/>
    <m/>
    <n v="9620000384"/>
  </r>
  <r>
    <x v="78"/>
    <s v="Jaguar Coffee (FLORIDA)_9620000384_Recon.xlsx"/>
    <n v="94442"/>
    <d v="2021-02-04T00:00:00"/>
    <n v="90"/>
    <s v="DD341117"/>
    <s v="TBD"/>
    <m/>
    <n v="9620000384"/>
  </r>
  <r>
    <x v="78"/>
    <s v="Jaguar Coffee (FLORIDA)_9620000384_Recon.xlsx"/>
    <n v="94447"/>
    <d v="2021-02-04T00:00:00"/>
    <n v="90"/>
    <s v="DD356309"/>
    <s v="TBD"/>
    <m/>
    <n v="9620000384"/>
  </r>
  <r>
    <x v="78"/>
    <s v="Jaguar Coffee (FLORIDA)_9620000384_Recon.xlsx"/>
    <n v="94449"/>
    <d v="2021-02-04T00:00:00"/>
    <n v="90"/>
    <s v="DD344794"/>
    <s v="TBD"/>
    <m/>
    <n v="9620000384"/>
  </r>
  <r>
    <x v="78"/>
    <s v="Jaguar Coffee (FLORIDA)_9620000384_Recon.xlsx"/>
    <n v="94456"/>
    <d v="2021-02-04T00:00:00"/>
    <n v="90"/>
    <s v="DD356336"/>
    <s v="TBD"/>
    <m/>
    <n v="9620000384"/>
  </r>
  <r>
    <x v="78"/>
    <s v="Jaguar Coffee (FLORIDA)_9620000384_Recon.xlsx"/>
    <n v="94457"/>
    <d v="2021-02-04T00:00:00"/>
    <n v="90"/>
    <s v="DD353637"/>
    <s v="TBD"/>
    <m/>
    <n v="9620000384"/>
  </r>
  <r>
    <x v="78"/>
    <s v="Jaguar Coffee (FLORIDA)_9620000384_Recon.xlsx"/>
    <n v="94721"/>
    <d v="2021-02-04T00:00:00"/>
    <n v="270"/>
    <s v="NCB&amp;B"/>
    <s v="TBD"/>
    <m/>
    <n v="9620000384"/>
  </r>
  <r>
    <x v="78"/>
    <s v="Jaguar Coffee (FLORIDA)_9620000384_Recon.xlsx"/>
    <n v="94492"/>
    <d v="2021-02-05T00:00:00"/>
    <n v="495"/>
    <s v="CY207"/>
    <s v="TBD"/>
    <m/>
    <n v="9620000384"/>
  </r>
  <r>
    <x v="78"/>
    <s v="Jaguar Coffee (FLORIDA)_9620000384_Recon.xlsx"/>
    <n v="94517"/>
    <d v="2021-02-05T00:00:00"/>
    <n v="275"/>
    <s v="DD336686"/>
    <s v="TBD"/>
    <m/>
    <n v="9620000384"/>
  </r>
  <r>
    <x v="78"/>
    <s v="Jaguar Coffee (FLORIDA)_9620000384_Recon.xlsx"/>
    <n v="94704"/>
    <d v="2021-02-05T00:00:00"/>
    <n v="90"/>
    <s v="DD336686"/>
    <s v="TBD"/>
    <m/>
    <n v="9620000384"/>
  </r>
  <r>
    <x v="78"/>
    <s v="Jaguar Coffee (FLORIDA)_9620000384_Recon.xlsx"/>
    <n v="95084"/>
    <d v="2021-02-05T00:00:00"/>
    <n v="643"/>
    <s v="Thorntons703"/>
    <s v="TBD"/>
    <m/>
    <n v="9620000384"/>
  </r>
  <r>
    <x v="78"/>
    <s v="Jaguar Coffee (FLORIDA)_9620000384_Recon.xlsx"/>
    <n v="94367"/>
    <d v="2021-02-08T00:00:00"/>
    <n v="2675.13"/>
    <s v="DD350843"/>
    <s v="TBD"/>
    <m/>
    <n v="9620000384"/>
  </r>
  <r>
    <x v="78"/>
    <s v="Jaguar Coffee (FLORIDA)_9620000384_Recon.xlsx"/>
    <n v="94440"/>
    <d v="2021-02-08T00:00:00"/>
    <n v="90"/>
    <s v="DD351832"/>
    <s v="TBD"/>
    <m/>
    <n v="9620000384"/>
  </r>
  <r>
    <x v="78"/>
    <s v="Jaguar Coffee (FLORIDA)_9620000384_Recon.xlsx"/>
    <n v="94700"/>
    <d v="2021-02-08T00:00:00"/>
    <n v="360"/>
    <s v="DD349915"/>
    <s v="TBD"/>
    <m/>
    <n v="9620000384"/>
  </r>
  <r>
    <x v="78"/>
    <s v="Jaguar Coffee (FLORIDA)_9620000384_Recon.xlsx"/>
    <n v="94749"/>
    <d v="2021-02-09T00:00:00"/>
    <n v="271.83999999999997"/>
    <s v="CKSC"/>
    <s v="TBD"/>
    <m/>
    <n v="9620000384"/>
  </r>
  <r>
    <x v="78"/>
    <s v="Jaguar Coffee (FLORIDA)_9620000384_Recon.xlsx"/>
    <n v="94754"/>
    <d v="2021-02-09T00:00:00"/>
    <n v="157.5"/>
    <s v="Sodexo10920"/>
    <s v="TBD"/>
    <m/>
    <n v="9620000384"/>
  </r>
  <r>
    <x v="78"/>
    <s v="Jaguar Coffee (FLORIDA)_9620000384_Recon.xlsx"/>
    <n v="94735"/>
    <d v="2021-02-11T00:00:00"/>
    <n v="202.5"/>
    <s v="CK2740946"/>
    <s v="TBD"/>
    <m/>
    <n v="9620000384"/>
  </r>
  <r>
    <x v="78"/>
    <s v="Jaguar Coffee (FLORIDA)_9620000384_Recon.xlsx"/>
    <n v="94758"/>
    <d v="2021-02-11T00:00:00"/>
    <n v="535.41999999999996"/>
    <s v="CK2742608"/>
    <s v="TBD"/>
    <m/>
    <n v="9620000384"/>
  </r>
  <r>
    <x v="78"/>
    <s v="Jaguar Coffee (FLORIDA)_9620000384_Recon.xlsx"/>
    <n v="94821"/>
    <d v="2021-02-11T00:00:00"/>
    <n v="275"/>
    <s v="DD357023"/>
    <s v="TBD"/>
    <m/>
    <n v="9620000384"/>
  </r>
  <r>
    <x v="78"/>
    <s v="Jaguar Coffee (FLORIDA)_9620000384_Recon.xlsx"/>
    <n v="94759"/>
    <d v="2021-02-12T00:00:00"/>
    <n v="180"/>
    <s v="MCF"/>
    <s v="TBD"/>
    <m/>
    <n v="9620000384"/>
  </r>
  <r>
    <x v="78"/>
    <s v="Jaguar Coffee (FLORIDA)_9620000384_Recon.xlsx"/>
    <n v="94848"/>
    <d v="2021-02-12T00:00:00"/>
    <n v="275"/>
    <s v="DD344529"/>
    <s v="TBD"/>
    <m/>
    <n v="9620000384"/>
  </r>
  <r>
    <x v="78"/>
    <s v="Jaguar Coffee (FLORIDA)_9620000384_Recon.xlsx"/>
    <n v="95135"/>
    <d v="2021-02-15T00:00:00"/>
    <n v="382.5"/>
    <s v="DD349915"/>
    <s v="TBD"/>
    <m/>
    <n v="9620000384"/>
  </r>
  <r>
    <x v="78"/>
    <s v="Jaguar Coffee (FLORIDA)_9620000384_Recon.xlsx"/>
    <n v="94992"/>
    <d v="2021-02-18T00:00:00"/>
    <n v="247.5"/>
    <s v="CK2741759"/>
    <s v="TBD"/>
    <m/>
    <n v="9620000384"/>
  </r>
  <r>
    <x v="78"/>
    <s v="Jaguar Coffee (FLORIDA)_9620000384_Recon.xlsx"/>
    <n v="95112"/>
    <d v="2021-02-18T00:00:00"/>
    <n v="157.5"/>
    <s v="CK2701885"/>
    <s v="TBD"/>
    <m/>
    <n v="9620000384"/>
  </r>
  <r>
    <x v="78"/>
    <s v="Jaguar Coffee (FLORIDA)_9620000384_Recon.xlsx"/>
    <n v="95171"/>
    <d v="2021-02-18T00:00:00"/>
    <n v="275"/>
    <s v="DD341730"/>
    <s v="TBD"/>
    <m/>
    <n v="9620000384"/>
  </r>
  <r>
    <x v="78"/>
    <s v="Jaguar Coffee (FLORIDA)_9620000384_Recon.xlsx"/>
    <n v="95138"/>
    <d v="2021-02-19T00:00:00"/>
    <n v="508.67"/>
    <s v="CK2745071"/>
    <s v="TBD"/>
    <m/>
    <n v="9620000384"/>
  </r>
  <r>
    <x v="78"/>
    <s v="Jaguar Coffee (FLORIDA)_9620000384_Recon.xlsx"/>
    <n v="95283"/>
    <d v="2021-02-19T00:00:00"/>
    <n v="335.98"/>
    <s v="CK2722111"/>
    <s v="TBD"/>
    <m/>
    <n v="9620000384"/>
  </r>
  <r>
    <x v="78"/>
    <s v="Jaguar Coffee (FLORIDA)_9620000384_Recon.xlsx"/>
    <n v="95187"/>
    <d v="2021-02-23T00:00:00"/>
    <n v="247.5"/>
    <s v="CK2741599"/>
    <s v="TBD"/>
    <m/>
    <n v="9620000384"/>
  </r>
  <r>
    <x v="78"/>
    <s v="Jaguar Coffee (FLORIDA)_9620000384_Recon.xlsx"/>
    <n v="95188"/>
    <d v="2021-02-23T00:00:00"/>
    <n v="202.5"/>
    <s v="CK2741876"/>
    <s v="TBD"/>
    <m/>
    <n v="9620000384"/>
  </r>
  <r>
    <x v="78"/>
    <s v="Jaguar Coffee (FLORIDA)_9620000384_Recon.xlsx"/>
    <n v="95193"/>
    <d v="2021-02-24T00:00:00"/>
    <n v="157.5"/>
    <s v="CK2654244"/>
    <s v="TBD"/>
    <m/>
    <n v="9620000384"/>
  </r>
  <r>
    <x v="78"/>
    <s v="Jaguar Coffee (FLORIDA)_9620000384_Recon.xlsx"/>
    <n v="95206"/>
    <d v="2021-02-24T00:00:00"/>
    <n v="157.5"/>
    <s v="CK2654244"/>
    <s v="TBD"/>
    <m/>
    <n v="9620000384"/>
  </r>
  <r>
    <x v="78"/>
    <s v="Jaguar Coffee (FLORIDA)_9620000384_Recon.xlsx"/>
    <n v="95245"/>
    <d v="2021-02-24T00:00:00"/>
    <n v="495"/>
    <s v="DD350179"/>
    <s v="TBD"/>
    <m/>
    <n v="9620000384"/>
  </r>
  <r>
    <x v="78"/>
    <s v="Jaguar Coffee (FLORIDA)_9620000384_Recon.xlsx"/>
    <n v="95259"/>
    <d v="2021-02-24T00:00:00"/>
    <n v="247.5"/>
    <s v="CK2654190"/>
    <s v="TBD"/>
    <m/>
    <n v="9620000384"/>
  </r>
  <r>
    <x v="78"/>
    <s v="Jaguar Coffee (FLORIDA)_9620000384_Recon.xlsx"/>
    <n v="95273"/>
    <d v="2021-02-25T00:00:00"/>
    <n v="337.5"/>
    <s v="CK2706712"/>
    <s v="TBD"/>
    <m/>
    <n v="9620000384"/>
  </r>
  <r>
    <x v="78"/>
    <s v="Jaguar Coffee (FLORIDA)_9620000384_Recon.xlsx"/>
    <n v="95327"/>
    <d v="2021-02-26T00:00:00"/>
    <n v="325.42"/>
    <s v="CK2740505"/>
    <s v="TBD"/>
    <m/>
    <n v="9620000384"/>
  </r>
  <r>
    <x v="78"/>
    <s v="Jaguar Coffee (FLORIDA)_9620000384_Recon.xlsx"/>
    <n v="95133"/>
    <d v="2021-02-27T00:00:00"/>
    <n v="821.63"/>
    <s v="NMFM"/>
    <s v="TBD"/>
    <m/>
    <n v="9620000384"/>
  </r>
  <r>
    <x v="78"/>
    <s v="Jaguar Coffee (FLORIDA)_9620000384_Recon.xlsx"/>
    <n v="95880"/>
    <d v="2021-02-27T00:00:00"/>
    <n v="316.08"/>
    <s v="DD343576"/>
    <s v="TBD"/>
    <m/>
    <n v="9620000384"/>
  </r>
  <r>
    <x v="78"/>
    <s v="Jaguar Coffee (FLORIDA)_9620000384_Recon.xlsx"/>
    <n v="95403"/>
    <d v="2021-03-02T00:00:00"/>
    <n v="283.52999999999997"/>
    <s v="CK2707334"/>
    <s v="TBD"/>
    <m/>
    <n v="9620000384"/>
  </r>
  <r>
    <x v="78"/>
    <s v="Jaguar Coffee (FLORIDA)_9620000384_Recon.xlsx"/>
    <n v="95406"/>
    <d v="2021-03-02T00:00:00"/>
    <n v="180"/>
    <s v="SW6568"/>
    <s v="TBD"/>
    <m/>
    <n v="9620000384"/>
  </r>
  <r>
    <x v="78"/>
    <s v="Jaguar Coffee (FLORIDA)_9620000384_Recon.xlsx"/>
    <n v="95779"/>
    <d v="2021-03-05T00:00:00"/>
    <n v="180"/>
    <s v="CK2707690"/>
    <s v="TBD"/>
    <m/>
    <n v="9620000384"/>
  </r>
  <r>
    <x v="78"/>
    <s v="Jaguar Coffee (FLORIDA)_9620000384_Recon.xlsx"/>
    <n v="95806"/>
    <d v="2021-03-08T00:00:00"/>
    <n v="315"/>
    <s v="ARAMARK700"/>
    <s v="TBD"/>
    <m/>
    <n v="9620000384"/>
  </r>
  <r>
    <x v="78"/>
    <s v="Jaguar Coffee (FLORIDA)_9620000384_Recon.xlsx"/>
    <n v="95878"/>
    <d v="2021-03-09T00:00:00"/>
    <n v="275"/>
    <s v="DD352974"/>
    <s v="TBD"/>
    <m/>
    <n v="9620000384"/>
  </r>
  <r>
    <x v="78"/>
    <s v="Jaguar Coffee (FLORIDA)_9620000384_Recon.xlsx"/>
    <n v="95905"/>
    <d v="2021-03-09T00:00:00"/>
    <n v="275"/>
    <s v="DD351159"/>
    <s v="TBD"/>
    <m/>
    <n v="9620000384"/>
  </r>
  <r>
    <x v="78"/>
    <s v="Jaguar Coffee (FLORIDA)_9620000384_Recon.xlsx"/>
    <n v="95998"/>
    <d v="2021-03-09T00:00:00"/>
    <n v="863.97"/>
    <s v="CK2741400"/>
    <s v="TBD"/>
    <m/>
    <n v="9620000384"/>
  </r>
  <r>
    <x v="78"/>
    <s v="Jaguar Coffee (FLORIDA)_9620000384_Recon.xlsx"/>
    <n v="95847"/>
    <d v="2021-03-10T00:00:00"/>
    <n v="395"/>
    <s v="DD338964"/>
    <s v="TBD"/>
    <m/>
    <n v="9620000384"/>
  </r>
  <r>
    <x v="78"/>
    <s v="Jaguar Coffee (FLORIDA)_9620000384_Recon.xlsx"/>
    <n v="95927"/>
    <d v="2021-03-10T00:00:00"/>
    <n v="157.5"/>
    <s v="SW6880"/>
    <s v="TBD"/>
    <m/>
    <n v="9620000384"/>
  </r>
  <r>
    <x v="78"/>
    <s v="Jaguar Coffee (FLORIDA)_9620000384_Recon.xlsx"/>
    <n v="95934"/>
    <d v="2021-03-10T00:00:00"/>
    <n v="275"/>
    <s v="DD332988"/>
    <s v="TBD"/>
    <m/>
    <n v="9620000384"/>
  </r>
  <r>
    <x v="78"/>
    <s v="Jaguar Coffee (FLORIDA)_9620000384_Recon.xlsx"/>
    <n v="95948"/>
    <d v="2021-03-10T00:00:00"/>
    <n v="180"/>
    <s v="CK2741405"/>
    <s v="TBD"/>
    <m/>
    <n v="9620000384"/>
  </r>
  <r>
    <x v="78"/>
    <s v="Jaguar Coffee (FLORIDA)_9620000384_Recon.xlsx"/>
    <n v="95755"/>
    <d v="2021-03-11T00:00:00"/>
    <n v="174"/>
    <n v="342595"/>
    <s v="PM"/>
    <m/>
    <n v="9620000384"/>
  </r>
  <r>
    <x v="78"/>
    <s v="Jaguar Coffee (FLORIDA)_9620000384_Recon.xlsx"/>
    <n v="95757"/>
    <d v="2021-03-11T00:00:00"/>
    <n v="174"/>
    <n v="332612"/>
    <s v="PM"/>
    <m/>
    <n v="9620000384"/>
  </r>
  <r>
    <x v="78"/>
    <s v="Jaguar Coffee (FLORIDA)_9620000384_Recon.xlsx"/>
    <n v="95760"/>
    <d v="2021-03-11T00:00:00"/>
    <n v="174"/>
    <n v="342595"/>
    <s v="PM"/>
    <m/>
    <n v="9620000384"/>
  </r>
  <r>
    <x v="78"/>
    <s v="Jaguar Coffee (FLORIDA)_9620000384_Recon.xlsx"/>
    <n v="95762"/>
    <d v="2021-03-11T00:00:00"/>
    <n v="174"/>
    <n v="332620"/>
    <s v="PM"/>
    <m/>
    <n v="9620000384"/>
  </r>
  <r>
    <x v="78"/>
    <s v="Jaguar Coffee (FLORIDA)_9620000384_Recon.xlsx"/>
    <n v="95968"/>
    <d v="2021-03-12T00:00:00"/>
    <n v="245"/>
    <s v="DD350940"/>
    <s v="TBD"/>
    <m/>
    <n v="9620000384"/>
  </r>
  <r>
    <x v="78"/>
    <s v="Jaguar Coffee (FLORIDA)_9620000384_Recon.xlsx"/>
    <n v="96101"/>
    <d v="2021-03-12T00:00:00"/>
    <n v="815.95"/>
    <s v="SW6880"/>
    <s v="TBD"/>
    <m/>
    <n v="9620000384"/>
  </r>
  <r>
    <x v="78"/>
    <s v="Jaguar Coffee (FLORIDA)_9620000384_Recon.xlsx"/>
    <n v="96244"/>
    <d v="2021-03-15T00:00:00"/>
    <n v="403.9"/>
    <s v="CK2722111"/>
    <s v="TBD"/>
    <m/>
    <n v="9620000384"/>
  </r>
  <r>
    <x v="78"/>
    <s v="Jaguar Coffee (FLORIDA)_9620000384_Recon.xlsx"/>
    <n v="96345"/>
    <d v="2021-03-15T00:00:00"/>
    <n v="275"/>
    <s v="DD350843"/>
    <s v="TBD"/>
    <m/>
    <n v="9620000384"/>
  </r>
  <r>
    <x v="78"/>
    <s v="Jaguar Coffee (FLORIDA)_9620000384_Recon.xlsx"/>
    <n v="97395"/>
    <d v="2021-03-15T00:00:00"/>
    <n v="337.5"/>
    <n v="359645"/>
    <s v="TBD"/>
    <m/>
    <n v="9620000384"/>
  </r>
  <r>
    <x v="78"/>
    <s v="Jaguar Coffee (FLORIDA)_9620000384_Recon.xlsx"/>
    <n v="96041"/>
    <d v="2021-03-16T00:00:00"/>
    <n v="180"/>
    <s v="CK2705936"/>
    <s v="TBD"/>
    <m/>
    <n v="9620000384"/>
  </r>
  <r>
    <x v="78"/>
    <s v="Jaguar Coffee (FLORIDA)_9620000384_Recon.xlsx"/>
    <n v="96061"/>
    <d v="2021-03-16T00:00:00"/>
    <n v="315"/>
    <s v="DD356296"/>
    <s v="TBD"/>
    <m/>
    <n v="9620000384"/>
  </r>
  <r>
    <x v="78"/>
    <s v="Jaguar Coffee (FLORIDA)_9620000384_Recon.xlsx"/>
    <n v="96979"/>
    <d v="2021-03-17T00:00:00"/>
    <n v="395"/>
    <s v="DD349924"/>
    <s v="TBD"/>
    <m/>
    <n v="9620000384"/>
  </r>
  <r>
    <x v="78"/>
    <s v="Jaguar Coffee (FLORIDA)_9620000384_Recon.xlsx"/>
    <n v="96292"/>
    <d v="2021-03-19T00:00:00"/>
    <n v="1255.52"/>
    <s v="DD357458"/>
    <s v="TBD"/>
    <m/>
    <n v="9620000384"/>
  </r>
  <r>
    <x v="78"/>
    <s v="Jaguar Coffee (FLORIDA)_9620000384_Recon.xlsx"/>
    <n v="96395"/>
    <d v="2021-03-19T00:00:00"/>
    <n v="225"/>
    <s v="VCS7305"/>
    <s v="TBD"/>
    <m/>
    <n v="9620000384"/>
  </r>
  <r>
    <x v="78"/>
    <s v="Jaguar Coffee (FLORIDA)_9620000384_Recon.xlsx"/>
    <n v="96403"/>
    <d v="2021-03-20T00:00:00"/>
    <n v="209.13"/>
    <s v="DD308492"/>
    <s v="TBD"/>
    <m/>
    <n v="9620000384"/>
  </r>
  <r>
    <x v="78"/>
    <s v="Jaguar Coffee (FLORIDA)_9620000384_Recon.xlsx"/>
    <n v="96510"/>
    <d v="2021-03-20T00:00:00"/>
    <n v="607.5"/>
    <s v="DD330332"/>
    <s v="TBD"/>
    <m/>
    <n v="9620000384"/>
  </r>
  <r>
    <x v="78"/>
    <s v="Jaguar Coffee (FLORIDA)_9620000384_Recon.xlsx"/>
    <n v="96377"/>
    <d v="2021-03-21T00:00:00"/>
    <n v="275"/>
    <s v="DD353453"/>
    <s v="TBD"/>
    <m/>
    <n v="9620000384"/>
  </r>
  <r>
    <x v="78"/>
    <s v="Jaguar Coffee (FLORIDA)_9620000384_Recon.xlsx"/>
    <n v="96188"/>
    <d v="2021-03-22T00:00:00"/>
    <n v="472.14"/>
    <s v="DD350844"/>
    <s v="TBD"/>
    <m/>
    <n v="9620000384"/>
  </r>
  <r>
    <x v="78"/>
    <s v="Jaguar Coffee (FLORIDA)_9620000384_Recon.xlsx"/>
    <n v="96982"/>
    <d v="2021-03-22T00:00:00"/>
    <n v="135"/>
    <s v="DD332989"/>
    <s v="TBD"/>
    <m/>
    <n v="9620000384"/>
  </r>
  <r>
    <x v="78"/>
    <s v="Jaguar Coffee (FLORIDA)_9620000384_Recon.xlsx"/>
    <n v="96344"/>
    <d v="2021-03-23T00:00:00"/>
    <n v="275"/>
    <s v="DD352712"/>
    <s v="TBD"/>
    <m/>
    <n v="9620000384"/>
  </r>
  <r>
    <x v="78"/>
    <s v="Jaguar Coffee (FLORIDA)_9620000384_Recon.xlsx"/>
    <n v="96516"/>
    <d v="2021-03-23T00:00:00"/>
    <n v="382.5"/>
    <s v="DD340542"/>
    <s v="TBD"/>
    <m/>
    <n v="9620000384"/>
  </r>
  <r>
    <x v="78"/>
    <s v="Jaguar Coffee (FLORIDA)_9620000384_Recon.xlsx"/>
    <n v="96572"/>
    <d v="2021-03-23T00:00:00"/>
    <n v="180"/>
    <s v="Loves651"/>
    <s v="TBD"/>
    <m/>
    <n v="9620000384"/>
  </r>
  <r>
    <x v="78"/>
    <s v="Jaguar Coffee (FLORIDA)_9620000384_Recon.xlsx"/>
    <n v="96342"/>
    <d v="2021-03-24T00:00:00"/>
    <n v="275"/>
    <s v="DD354971"/>
    <s v="TBD"/>
    <m/>
    <n v="9620000384"/>
  </r>
  <r>
    <x v="78"/>
    <s v="Jaguar Coffee (FLORIDA)_9620000384_Recon.xlsx"/>
    <n v="96399"/>
    <d v="2021-03-25T00:00:00"/>
    <n v="175"/>
    <s v="HPH"/>
    <s v="TBD"/>
    <m/>
    <n v="9620000384"/>
  </r>
  <r>
    <x v="78"/>
    <s v="Jaguar Coffee (FLORIDA)_9620000384_Recon.xlsx"/>
    <n v="97224"/>
    <d v="2021-03-26T00:00:00"/>
    <n v="373.19"/>
    <s v="DD346859"/>
    <s v="TBD"/>
    <m/>
    <n v="9620000384"/>
  </r>
  <r>
    <x v="78"/>
    <s v="Jaguar Coffee (FLORIDA)_9620000384_Recon.xlsx"/>
    <n v="96788"/>
    <d v="2021-03-27T00:00:00"/>
    <n v="395"/>
    <s v="DD336686"/>
    <s v="TBD"/>
    <m/>
    <n v="9620000384"/>
  </r>
  <r>
    <x v="78"/>
    <s v="Jaguar Coffee (FLORIDA)_9620000384_Recon.xlsx"/>
    <n v="96552"/>
    <d v="2021-03-29T00:00:00"/>
    <n v="205.83"/>
    <s v="DD352723"/>
    <s v="TBD"/>
    <m/>
    <n v="9620000384"/>
  </r>
  <r>
    <x v="78"/>
    <s v="Jaguar Coffee (FLORIDA)_9620000384_Recon.xlsx"/>
    <n v="97384"/>
    <d v="2021-03-30T00:00:00"/>
    <n v="180"/>
    <n v="363761"/>
    <s v="TBD"/>
    <m/>
    <n v="9620000384"/>
  </r>
  <r>
    <x v="78"/>
    <s v="Jaguar Coffee (FLORIDA)_9620000384_Recon.xlsx"/>
    <n v="96830"/>
    <d v="2021-03-31T00:00:00"/>
    <n v="90"/>
    <s v="DD349287"/>
    <s v="TBD"/>
    <m/>
    <n v="9620000384"/>
  </r>
  <r>
    <x v="78"/>
    <s v="Jaguar Coffee (FLORIDA)_9620000384_Recon.xlsx"/>
    <n v="96919"/>
    <d v="2021-03-31T00:00:00"/>
    <n v="174"/>
    <s v="CANTEEN11..."/>
    <s v="TBD"/>
    <m/>
    <n v="9620000384"/>
  </r>
  <r>
    <x v="78"/>
    <s v="Jaguar Coffee (FLORIDA)_9620000384_Recon.xlsx"/>
    <n v="96792"/>
    <d v="2021-04-01T00:00:00"/>
    <n v="275"/>
    <s v="DD355630"/>
    <s v="TBD"/>
    <m/>
    <n v="9620000384"/>
  </r>
  <r>
    <x v="78"/>
    <s v="Jaguar Coffee (FLORIDA)_9620000384_Recon.xlsx"/>
    <n v="96824"/>
    <d v="2021-04-01T00:00:00"/>
    <n v="275"/>
    <s v="DD355349"/>
    <s v="TBD"/>
    <m/>
    <n v="9620000384"/>
  </r>
  <r>
    <x v="78"/>
    <s v="Jaguar Coffee (FLORIDA)_9620000384_Recon.xlsx"/>
    <n v="98562"/>
    <d v="2021-04-02T00:00:00"/>
    <n v="275"/>
    <n v="304381"/>
    <s v="TBD"/>
    <m/>
    <n v="9620000384"/>
  </r>
  <r>
    <x v="78"/>
    <s v="Jaguar Coffee (FLORIDA)_9620000384_Recon.xlsx"/>
    <n v="96973"/>
    <d v="2021-04-06T00:00:00"/>
    <n v="364.79"/>
    <s v="HCA"/>
    <s v="TBD"/>
    <m/>
    <n v="9620000384"/>
  </r>
  <r>
    <x v="78"/>
    <s v="Jaguar Coffee (FLORIDA)_9620000384_Recon.xlsx"/>
    <n v="96985"/>
    <d v="2021-04-06T00:00:00"/>
    <n v="554.28"/>
    <s v="DD310131"/>
    <s v="TBD"/>
    <m/>
    <n v="9620000384"/>
  </r>
  <r>
    <x v="78"/>
    <s v="Jaguar Coffee (FLORIDA)_9620000384_Recon.xlsx"/>
    <n v="97226"/>
    <d v="2021-04-06T00:00:00"/>
    <n v="1506.6"/>
    <s v="DD346859"/>
    <s v="TBD"/>
    <m/>
    <n v="9620000384"/>
  </r>
  <r>
    <x v="78"/>
    <s v="Jaguar Coffee (FLORIDA)_9620000384_Recon.xlsx"/>
    <n v="97394"/>
    <d v="2021-04-06T00:00:00"/>
    <n v="180"/>
    <n v="364917"/>
    <s v="TBD"/>
    <m/>
    <n v="9620000384"/>
  </r>
  <r>
    <x v="78"/>
    <s v="Jaguar Coffee (FLORIDA)_9620000384_Recon.xlsx"/>
    <n v="97739"/>
    <d v="2021-04-06T00:00:00"/>
    <n v="395"/>
    <n v="214735"/>
    <s v="TBD"/>
    <m/>
    <n v="9620000384"/>
  </r>
  <r>
    <x v="78"/>
    <s v="Jaguar Coffee (FLORIDA)_9620000384_Recon.xlsx"/>
    <n v="97086"/>
    <d v="2021-04-07T00:00:00"/>
    <n v="180"/>
    <s v="VC580"/>
    <s v="TBD"/>
    <m/>
    <n v="9620000384"/>
  </r>
  <r>
    <x v="78"/>
    <s v="Jaguar Coffee (FLORIDA)_9620000384_Recon.xlsx"/>
    <n v="97218"/>
    <d v="2021-04-07T00:00:00"/>
    <n v="275"/>
    <s v="DD352810"/>
    <s v="TBD"/>
    <m/>
    <n v="9620000384"/>
  </r>
  <r>
    <x v="78"/>
    <s v="Jaguar Coffee (FLORIDA)_9620000384_Recon.xlsx"/>
    <n v="96995"/>
    <d v="2021-04-08T00:00:00"/>
    <n v="180"/>
    <s v="SW6552"/>
    <s v="TBD"/>
    <m/>
    <n v="9620000384"/>
  </r>
  <r>
    <x v="78"/>
    <s v="Jaguar Coffee (FLORIDA)_9620000384_Recon.xlsx"/>
    <n v="97001"/>
    <d v="2021-04-08T00:00:00"/>
    <n v="1073.45"/>
    <s v="CK2707403"/>
    <s v="TBD"/>
    <m/>
    <n v="9620000384"/>
  </r>
  <r>
    <x v="78"/>
    <s v="Jaguar Coffee (FLORIDA)_9620000384_Recon.xlsx"/>
    <n v="97089"/>
    <d v="2021-04-08T00:00:00"/>
    <n v="479.43"/>
    <s v="ALLSUPS102..."/>
    <s v="TBD"/>
    <m/>
    <n v="9620000384"/>
  </r>
  <r>
    <x v="78"/>
    <s v="Jaguar Coffee (FLORIDA)_9620000384_Recon.xlsx"/>
    <n v="97090"/>
    <d v="2021-04-08T00:00:00"/>
    <n v="180"/>
    <s v="ALLSUPS102..."/>
    <s v="TBD"/>
    <m/>
    <n v="9620000384"/>
  </r>
  <r>
    <x v="78"/>
    <s v="Jaguar Coffee (FLORIDA)_9620000384_Recon.xlsx"/>
    <n v="97207"/>
    <d v="2021-04-08T00:00:00"/>
    <n v="275"/>
    <s v="DD351331"/>
    <s v="TBD"/>
    <m/>
    <n v="9620000384"/>
  </r>
  <r>
    <x v="78"/>
    <s v="Jaguar Coffee (FLORIDA)_9620000384_Recon.xlsx"/>
    <n v="97210"/>
    <d v="2021-04-08T00:00:00"/>
    <n v="90"/>
    <s v="DD340594"/>
    <s v="TBD"/>
    <m/>
    <n v="9620000384"/>
  </r>
  <r>
    <x v="78"/>
    <s v="Jaguar Coffee (FLORIDA)_9620000384_Recon.xlsx"/>
    <n v="97228"/>
    <d v="2021-04-08T00:00:00"/>
    <n v="450"/>
    <s v="DD346859"/>
    <s v="TBD"/>
    <m/>
    <n v="9620000384"/>
  </r>
  <r>
    <x v="78"/>
    <s v="Jaguar Coffee (FLORIDA)_9620000384_Recon.xlsx"/>
    <n v="99023"/>
    <d v="2021-04-08T00:00:00"/>
    <n v="275"/>
    <n v="303674"/>
    <s v="TBD"/>
    <m/>
    <n v="9620000384"/>
  </r>
  <r>
    <x v="78"/>
    <s v="Jaguar Coffee (FLORIDA)_9620000384_Recon.xlsx"/>
    <n v="97100"/>
    <d v="2021-04-09T00:00:00"/>
    <n v="665.68"/>
    <s v="KC8"/>
    <s v="TBD"/>
    <m/>
    <n v="9620000384"/>
  </r>
  <r>
    <x v="78"/>
    <s v="Jaguar Coffee (FLORIDA)_9620000384_Recon.xlsx"/>
    <n v="97102"/>
    <d v="2021-04-09T00:00:00"/>
    <n v="942.89"/>
    <s v="KC8"/>
    <s v="TBD"/>
    <m/>
    <n v="9620000384"/>
  </r>
  <r>
    <x v="78"/>
    <s v="Jaguar Coffee (FLORIDA)_9620000384_Recon.xlsx"/>
    <n v="97220"/>
    <d v="2021-04-09T00:00:00"/>
    <n v="157.5"/>
    <s v="CK2707084"/>
    <s v="TBD"/>
    <m/>
    <n v="9620000384"/>
  </r>
  <r>
    <x v="78"/>
    <s v="Jaguar Coffee (FLORIDA)_9620000384_Recon.xlsx"/>
    <n v="97180"/>
    <d v="2021-04-10T00:00:00"/>
    <n v="275"/>
    <s v="DD340780"/>
    <s v="TBD"/>
    <m/>
    <n v="9620000384"/>
  </r>
  <r>
    <x v="78"/>
    <s v="Jaguar Coffee (FLORIDA)_9620000384_Recon.xlsx"/>
    <n v="97189"/>
    <d v="2021-04-10T00:00:00"/>
    <n v="275"/>
    <s v="DD354979"/>
    <s v="TBD"/>
    <m/>
    <n v="9620000384"/>
  </r>
  <r>
    <x v="78"/>
    <s v="Jaguar Coffee (FLORIDA)_9620000384_Recon.xlsx"/>
    <n v="97200"/>
    <d v="2021-04-10T00:00:00"/>
    <n v="275"/>
    <s v="DD355891"/>
    <s v="TBD"/>
    <m/>
    <n v="9620000384"/>
  </r>
  <r>
    <x v="78"/>
    <s v="Jaguar Coffee (FLORIDA)_9620000384_Recon.xlsx"/>
    <n v="97175"/>
    <d v="2021-04-11T00:00:00"/>
    <n v="275"/>
    <s v="DD334778"/>
    <s v="TBD"/>
    <m/>
    <n v="9620000384"/>
  </r>
  <r>
    <x v="78"/>
    <s v="Jaguar Coffee (FLORIDA)_9620000384_Recon.xlsx"/>
    <n v="97185"/>
    <d v="2021-04-11T00:00:00"/>
    <n v="275"/>
    <s v="DD307149"/>
    <s v="TBD"/>
    <m/>
    <n v="9620000384"/>
  </r>
  <r>
    <x v="78"/>
    <s v="Jaguar Coffee (FLORIDA)_9620000384_Recon.xlsx"/>
    <n v="97191"/>
    <d v="2021-04-11T00:00:00"/>
    <n v="135"/>
    <s v="DD353971"/>
    <s v="TBD"/>
    <m/>
    <n v="9620000384"/>
  </r>
  <r>
    <x v="78"/>
    <s v="Jaguar Coffee (FLORIDA)_9620000384_Recon.xlsx"/>
    <n v="97193"/>
    <d v="2021-04-11T00:00:00"/>
    <n v="275"/>
    <s v="DD304976"/>
    <s v="TBD"/>
    <m/>
    <n v="9620000384"/>
  </r>
  <r>
    <x v="78"/>
    <s v="Jaguar Coffee (FLORIDA)_9620000384_Recon.xlsx"/>
    <n v="97194"/>
    <d v="2021-04-11T00:00:00"/>
    <n v="275"/>
    <s v="DD341155"/>
    <s v="TBD"/>
    <m/>
    <n v="9620000384"/>
  </r>
  <r>
    <x v="78"/>
    <s v="Jaguar Coffee (FLORIDA)_9620000384_Recon.xlsx"/>
    <n v="97196"/>
    <d v="2021-04-11T00:00:00"/>
    <n v="275"/>
    <s v="DD352723"/>
    <s v="TBD"/>
    <m/>
    <n v="9620000384"/>
  </r>
  <r>
    <x v="78"/>
    <s v="Jaguar Coffee (FLORIDA)_9620000384_Recon.xlsx"/>
    <n v="97172"/>
    <d v="2021-04-12T00:00:00"/>
    <n v="275"/>
    <s v="DD352369"/>
    <s v="TBD"/>
    <m/>
    <n v="9620000384"/>
  </r>
  <r>
    <x v="78"/>
    <s v="Jaguar Coffee (FLORIDA)_9620000384_Recon.xlsx"/>
    <n v="97701"/>
    <d v="2021-04-12T00:00:00"/>
    <n v="135"/>
    <n v="220358"/>
    <s v="TBD"/>
    <m/>
    <n v="9620000384"/>
  </r>
  <r>
    <x v="78"/>
    <s v="Jaguar Coffee (FLORIDA)_9620000384_Recon.xlsx"/>
    <n v="97230"/>
    <d v="2021-04-14T00:00:00"/>
    <n v="951.12"/>
    <s v="DD346859"/>
    <s v="TBD"/>
    <m/>
    <n v="9620000384"/>
  </r>
  <r>
    <x v="78"/>
    <s v="Jaguar Coffee (FLORIDA)_9620000384_Recon.xlsx"/>
    <n v="97305"/>
    <d v="2021-04-14T00:00:00"/>
    <n v="275"/>
    <n v="233899"/>
    <s v="TBD"/>
    <m/>
    <n v="9620000384"/>
  </r>
  <r>
    <x v="78"/>
    <s v="Jaguar Coffee (FLORIDA)_9620000384_Recon.xlsx"/>
    <n v="97328"/>
    <d v="2021-04-14T00:00:00"/>
    <n v="292.5"/>
    <n v="4564040640"/>
    <s v="TBD"/>
    <m/>
    <n v="9620000384"/>
  </r>
  <r>
    <x v="78"/>
    <s v="Jaguar Coffee (FLORIDA)_9620000384_Recon.xlsx"/>
    <n v="98732"/>
    <d v="2021-04-14T00:00:00"/>
    <n v="175"/>
    <n v="363110"/>
    <s v="TBD"/>
    <m/>
    <n v="9620000384"/>
  </r>
  <r>
    <x v="78"/>
    <s v="Jaguar Coffee (FLORIDA)_9620000384_Recon.xlsx"/>
    <n v="97302"/>
    <d v="2021-04-15T00:00:00"/>
    <n v="275"/>
    <n v="304129"/>
    <s v="TBD"/>
    <m/>
    <n v="9620000384"/>
  </r>
  <r>
    <x v="78"/>
    <s v="Jaguar Coffee (FLORIDA)_9620000384_Recon.xlsx"/>
    <n v="97303"/>
    <d v="2021-04-15T00:00:00"/>
    <n v="303.12"/>
    <n v="164811"/>
    <s v="TBD"/>
    <m/>
    <n v="9620000384"/>
  </r>
  <r>
    <x v="78"/>
    <s v="Jaguar Coffee (FLORIDA)_9620000384_Recon.xlsx"/>
    <n v="97316"/>
    <d v="2021-04-15T00:00:00"/>
    <n v="337.5"/>
    <n v="367448"/>
    <s v="TBD"/>
    <m/>
    <n v="9620000384"/>
  </r>
  <r>
    <x v="78"/>
    <s v="Jaguar Coffee (FLORIDA)_9620000384_Recon.xlsx"/>
    <n v="97322"/>
    <d v="2021-04-15T00:00:00"/>
    <n v="688.09"/>
    <n v="367108"/>
    <s v="TBD"/>
    <m/>
    <n v="9620000384"/>
  </r>
  <r>
    <x v="78"/>
    <s v="Jaguar Coffee (FLORIDA)_9620000384_Recon.xlsx"/>
    <n v="97324"/>
    <d v="2021-04-15T00:00:00"/>
    <n v="394.4"/>
    <n v="367712"/>
    <s v="TBD"/>
    <m/>
    <n v="9620000384"/>
  </r>
  <r>
    <x v="78"/>
    <s v="Jaguar Coffee (FLORIDA)_9620000384_Recon.xlsx"/>
    <n v="97385"/>
    <d v="2021-04-15T00:00:00"/>
    <n v="343.14"/>
    <n v="366967"/>
    <s v="TBD"/>
    <m/>
    <n v="9620000384"/>
  </r>
  <r>
    <x v="78"/>
    <s v="Jaguar Coffee (FLORIDA)_9620000384_Recon.xlsx"/>
    <n v="97540"/>
    <d v="2021-04-15T00:00:00"/>
    <n v="282.89999999999998"/>
    <n v="367667"/>
    <s v="TBD"/>
    <m/>
    <n v="9620000384"/>
  </r>
  <r>
    <x v="78"/>
    <s v="Jaguar Coffee (FLORIDA)_9620000384_Recon.xlsx"/>
    <n v="97323"/>
    <d v="2021-04-16T00:00:00"/>
    <n v="225"/>
    <n v="367949"/>
    <s v="TBD"/>
    <m/>
    <n v="9620000384"/>
  </r>
  <r>
    <x v="78"/>
    <s v="Jaguar Coffee (FLORIDA)_9620000384_Recon.xlsx"/>
    <n v="97381"/>
    <d v="2021-04-16T00:00:00"/>
    <n v="529.13"/>
    <n v="367283"/>
    <s v="TBD"/>
    <m/>
    <n v="9620000384"/>
  </r>
  <r>
    <x v="78"/>
    <s v="Jaguar Coffee (FLORIDA)_9620000384_Recon.xlsx"/>
    <n v="97546"/>
    <d v="2021-04-16T00:00:00"/>
    <n v="720.4"/>
    <n v="368537"/>
    <s v="TBD"/>
    <m/>
    <n v="9620000384"/>
  </r>
  <r>
    <x v="78"/>
    <s v="Jaguar Coffee (FLORIDA)_9620000384_Recon.xlsx"/>
    <n v="97488"/>
    <d v="2021-04-17T00:00:00"/>
    <n v="90"/>
    <n v="310388"/>
    <s v="TBD"/>
    <m/>
    <n v="9620000384"/>
  </r>
  <r>
    <x v="78"/>
    <s v="Jaguar Coffee (FLORIDA)_9620000384_Recon.xlsx"/>
    <n v="97789"/>
    <d v="2021-04-18T00:00:00"/>
    <n v="175"/>
    <n v="342618"/>
    <s v="TBD"/>
    <m/>
    <n v="9620000384"/>
  </r>
  <r>
    <x v="78"/>
    <s v="Jaguar Coffee (FLORIDA)_9620000384_Recon.xlsx"/>
    <n v="97790"/>
    <d v="2021-04-18T00:00:00"/>
    <n v="175"/>
    <n v="342615"/>
    <s v="TBD"/>
    <m/>
    <n v="9620000384"/>
  </r>
  <r>
    <x v="78"/>
    <s v="Jaguar Coffee (FLORIDA)_9620000384_Recon.xlsx"/>
    <n v="97785"/>
    <d v="2021-04-19T00:00:00"/>
    <n v="175"/>
    <n v="342608"/>
    <s v="TBD"/>
    <m/>
    <n v="9620000384"/>
  </r>
  <r>
    <x v="78"/>
    <s v="Jaguar Coffee (FLORIDA)_9620000384_Recon.xlsx"/>
    <n v="97656"/>
    <d v="2021-04-20T00:00:00"/>
    <n v="135"/>
    <n v="368822"/>
    <s v="TBD"/>
    <m/>
    <n v="9620000384"/>
  </r>
  <r>
    <x v="78"/>
    <s v="Jaguar Coffee (FLORIDA)_9620000384_Recon.xlsx"/>
    <n v="97564"/>
    <d v="2021-04-21T00:00:00"/>
    <n v="180"/>
    <n v="369034"/>
    <s v="TBD"/>
    <m/>
    <n v="9620000384"/>
  </r>
  <r>
    <x v="78"/>
    <s v="Jaguar Coffee (FLORIDA)_9620000384_Recon.xlsx"/>
    <n v="97653"/>
    <d v="2021-04-21T00:00:00"/>
    <n v="275"/>
    <n v="193322"/>
    <s v="TBD"/>
    <m/>
    <n v="9620000384"/>
  </r>
  <r>
    <x v="78"/>
    <s v="Jaguar Coffee (FLORIDA)_9620000384_Recon.xlsx"/>
    <n v="97655"/>
    <d v="2021-04-21T00:00:00"/>
    <n v="275"/>
    <n v="171509"/>
    <s v="TBD"/>
    <m/>
    <n v="9620000384"/>
  </r>
  <r>
    <x v="78"/>
    <s v="Jaguar Coffee (FLORIDA)_9620000384_Recon.xlsx"/>
    <n v="97657"/>
    <d v="2021-04-21T00:00:00"/>
    <n v="275"/>
    <n v="358234"/>
    <s v="TBD"/>
    <m/>
    <n v="9620000384"/>
  </r>
  <r>
    <x v="78"/>
    <s v="Jaguar Coffee (FLORIDA)_9620000384_Recon.xlsx"/>
    <n v="97659"/>
    <d v="2021-04-21T00:00:00"/>
    <n v="275"/>
    <n v="304402"/>
    <s v="TBD"/>
    <m/>
    <n v="9620000384"/>
  </r>
  <r>
    <x v="78"/>
    <s v="Jaguar Coffee (FLORIDA)_9620000384_Recon.xlsx"/>
    <n v="97666"/>
    <d v="2021-04-21T00:00:00"/>
    <n v="402.25"/>
    <n v="363499"/>
    <s v="TBD"/>
    <m/>
    <n v="9620000384"/>
  </r>
  <r>
    <x v="78"/>
    <s v="Jaguar Coffee (FLORIDA)_9620000384_Recon.xlsx"/>
    <n v="97743"/>
    <d v="2021-04-21T00:00:00"/>
    <n v="90"/>
    <n v="357925"/>
    <s v="TBD"/>
    <m/>
    <n v="9620000384"/>
  </r>
  <r>
    <x v="78"/>
    <s v="Jaguar Coffee (FLORIDA)_9620000384_Recon.xlsx"/>
    <n v="97744"/>
    <d v="2021-04-21T00:00:00"/>
    <n v="90"/>
    <n v="325930"/>
    <s v="TBD"/>
    <m/>
    <n v="9620000384"/>
  </r>
  <r>
    <x v="78"/>
    <s v="Jaguar Coffee (FLORIDA)_9620000384_Recon.xlsx"/>
    <n v="97745"/>
    <d v="2021-04-21T00:00:00"/>
    <n v="90"/>
    <n v="325998"/>
    <s v="TBD"/>
    <m/>
    <n v="9620000384"/>
  </r>
  <r>
    <x v="78"/>
    <s v="Jaguar Coffee (FLORIDA)_9620000384_Recon.xlsx"/>
    <n v="97649"/>
    <d v="2021-04-22T00:00:00"/>
    <n v="395"/>
    <n v="180552"/>
    <s v="TBD"/>
    <m/>
    <n v="9620000384"/>
  </r>
  <r>
    <x v="78"/>
    <s v="Jaguar Coffee (FLORIDA)_9620000384_Recon.xlsx"/>
    <n v="97661"/>
    <d v="2021-04-22T00:00:00"/>
    <n v="395"/>
    <n v="214632"/>
    <s v="TBD"/>
    <m/>
    <n v="9620000384"/>
  </r>
  <r>
    <x v="78"/>
    <s v="Jaguar Coffee (FLORIDA)_9620000384_Recon.xlsx"/>
    <n v="97740"/>
    <d v="2021-04-22T00:00:00"/>
    <n v="90"/>
    <n v="326024"/>
    <s v="TBD"/>
    <m/>
    <n v="9620000384"/>
  </r>
  <r>
    <x v="78"/>
    <s v="Jaguar Coffee (FLORIDA)_9620000384_Recon.xlsx"/>
    <n v="97741"/>
    <d v="2021-04-22T00:00:00"/>
    <n v="90"/>
    <n v="357946"/>
    <s v="TBD"/>
    <m/>
    <n v="9620000384"/>
  </r>
  <r>
    <x v="78"/>
    <s v="Jaguar Coffee (FLORIDA)_9620000384_Recon.xlsx"/>
    <n v="97742"/>
    <d v="2021-04-22T00:00:00"/>
    <n v="90"/>
    <n v="325997"/>
    <s v="TBD"/>
    <m/>
    <n v="9620000384"/>
  </r>
  <r>
    <x v="78"/>
    <s v="Jaguar Coffee (FLORIDA)_9620000384_Recon.xlsx"/>
    <n v="97799"/>
    <d v="2021-04-22T00:00:00"/>
    <n v="180"/>
    <n v="369355"/>
    <s v="TBD"/>
    <m/>
    <n v="9620000384"/>
  </r>
  <r>
    <x v="78"/>
    <s v="Jaguar Coffee (FLORIDA)_9620000384_Recon.xlsx"/>
    <n v="97800"/>
    <d v="2021-04-22T00:00:00"/>
    <n v="644.53"/>
    <n v="368565"/>
    <s v="TBD"/>
    <m/>
    <n v="9620000384"/>
  </r>
  <r>
    <x v="78"/>
    <s v="Jaguar Coffee (FLORIDA)_9620000384_Recon.xlsx"/>
    <n v="97801"/>
    <d v="2021-04-22T00:00:00"/>
    <n v="175.42"/>
    <n v="369680"/>
    <s v="TBD"/>
    <m/>
    <n v="9620000384"/>
  </r>
  <r>
    <x v="78"/>
    <s v="Jaguar Coffee (FLORIDA)_9620000384_Recon.xlsx"/>
    <n v="97802"/>
    <d v="2021-04-22T00:00:00"/>
    <n v="151.34"/>
    <n v="369747"/>
    <s v="TBD"/>
    <m/>
    <n v="9620000384"/>
  </r>
  <r>
    <x v="78"/>
    <s v="Jaguar Coffee (FLORIDA)_9620000384_Recon.xlsx"/>
    <n v="97803"/>
    <d v="2021-04-22T00:00:00"/>
    <n v="135"/>
    <n v="369565"/>
    <s v="TBD"/>
    <m/>
    <n v="9620000384"/>
  </r>
  <r>
    <x v="78"/>
    <s v="Jaguar Coffee (FLORIDA)_9620000384_Recon.xlsx"/>
    <n v="97805"/>
    <d v="2021-04-22T00:00:00"/>
    <n v="494.62"/>
    <n v="369324"/>
    <s v="TBD"/>
    <m/>
    <n v="9620000384"/>
  </r>
  <r>
    <x v="78"/>
    <s v="Jaguar Coffee (FLORIDA)_9620000384_Recon.xlsx"/>
    <n v="97806"/>
    <d v="2021-04-22T00:00:00"/>
    <n v="157.5"/>
    <n v="369126"/>
    <s v="TBD"/>
    <m/>
    <n v="9620000384"/>
  </r>
  <r>
    <x v="78"/>
    <s v="Jaguar Coffee (FLORIDA)_9620000384_Recon.xlsx"/>
    <n v="97807"/>
    <d v="2021-04-22T00:00:00"/>
    <n v="157.5"/>
    <n v="369363"/>
    <s v="TBD"/>
    <m/>
    <n v="9620000384"/>
  </r>
  <r>
    <x v="78"/>
    <s v="Jaguar Coffee (FLORIDA)_9620000384_Recon.xlsx"/>
    <n v="97809"/>
    <d v="2021-04-22T00:00:00"/>
    <n v="180"/>
    <n v="369390"/>
    <s v="TBD"/>
    <m/>
    <n v="9620000384"/>
  </r>
  <r>
    <x v="78"/>
    <s v="Jaguar Coffee (FLORIDA)_9620000384_Recon.xlsx"/>
    <n v="97810"/>
    <d v="2021-04-22T00:00:00"/>
    <n v="202.5"/>
    <n v="369381"/>
    <s v="TBD"/>
    <m/>
    <n v="9620000384"/>
  </r>
  <r>
    <x v="78"/>
    <s v="Jaguar Coffee (FLORIDA)_9620000384_Recon.xlsx"/>
    <n v="98038"/>
    <d v="2021-04-22T00:00:00"/>
    <n v="175"/>
    <n v="325999"/>
    <s v="TBD"/>
    <m/>
    <n v="9620000384"/>
  </r>
  <r>
    <x v="78"/>
    <s v="Jaguar Coffee (FLORIDA)_9620000384_Recon.xlsx"/>
    <n v="98039"/>
    <d v="2021-04-22T00:00:00"/>
    <n v="175"/>
    <n v="326066"/>
    <s v="TBD"/>
    <m/>
    <n v="9620000384"/>
  </r>
  <r>
    <x v="78"/>
    <s v="Jaguar Coffee (FLORIDA)_9620000384_Recon.xlsx"/>
    <n v="98042"/>
    <d v="2021-04-22T00:00:00"/>
    <n v="175"/>
    <n v="326056"/>
    <s v="TBD"/>
    <m/>
    <n v="9620000384"/>
  </r>
  <r>
    <x v="78"/>
    <s v="Jaguar Coffee (FLORIDA)_9620000384_Recon.xlsx"/>
    <n v="98043"/>
    <d v="2021-04-22T00:00:00"/>
    <n v="175"/>
    <n v="326057"/>
    <s v="TBD"/>
    <m/>
    <n v="9620000384"/>
  </r>
  <r>
    <x v="78"/>
    <s v="Jaguar Coffee (FLORIDA)_9620000384_Recon.xlsx"/>
    <n v="98044"/>
    <d v="2021-04-22T00:00:00"/>
    <n v="175"/>
    <n v="357942"/>
    <s v="TBD"/>
    <m/>
    <n v="9620000384"/>
  </r>
  <r>
    <x v="78"/>
    <s v="Jaguar Coffee (FLORIDA)_9620000384_Recon.xlsx"/>
    <n v="98045"/>
    <d v="2021-04-22T00:00:00"/>
    <n v="175"/>
    <n v="326065"/>
    <s v="TBD"/>
    <m/>
    <n v="9620000384"/>
  </r>
  <r>
    <x v="78"/>
    <s v="Jaguar Coffee (FLORIDA)_9620000384_Recon.xlsx"/>
    <n v="98051"/>
    <d v="2021-04-22T00:00:00"/>
    <n v="90"/>
    <n v="325996"/>
    <s v="TBD"/>
    <m/>
    <n v="9620000384"/>
  </r>
  <r>
    <x v="78"/>
    <s v="Jaguar Coffee (FLORIDA)_9620000384_Recon.xlsx"/>
    <n v="98057"/>
    <d v="2021-04-22T00:00:00"/>
    <n v="90"/>
    <n v="326073"/>
    <s v="TBD"/>
    <m/>
    <n v="9620000384"/>
  </r>
  <r>
    <x v="78"/>
    <s v="Jaguar Coffee (FLORIDA)_9620000384_Recon.xlsx"/>
    <n v="98060"/>
    <d v="2021-04-22T00:00:00"/>
    <n v="90"/>
    <n v="326069"/>
    <s v="TBD"/>
    <m/>
    <n v="9620000384"/>
  </r>
  <r>
    <x v="78"/>
    <s v="Jaguar Coffee (FLORIDA)_9620000384_Recon.xlsx"/>
    <n v="97645"/>
    <d v="2021-04-23T00:00:00"/>
    <n v="485"/>
    <n v="220860"/>
    <s v="TBD"/>
    <m/>
    <n v="9620000384"/>
  </r>
  <r>
    <x v="78"/>
    <s v="Jaguar Coffee (FLORIDA)_9620000384_Recon.xlsx"/>
    <n v="97647"/>
    <d v="2021-04-23T00:00:00"/>
    <n v="275"/>
    <n v="234143"/>
    <s v="TBD"/>
    <m/>
    <n v="9620000384"/>
  </r>
  <r>
    <x v="78"/>
    <s v="Jaguar Coffee (FLORIDA)_9620000384_Recon.xlsx"/>
    <n v="98031"/>
    <d v="2021-04-23T00:00:00"/>
    <n v="90"/>
    <n v="357939"/>
    <s v="TBD"/>
    <m/>
    <n v="9620000384"/>
  </r>
  <r>
    <x v="78"/>
    <s v="Jaguar Coffee (FLORIDA)_9620000384_Recon.xlsx"/>
    <n v="98054"/>
    <d v="2021-04-23T00:00:00"/>
    <n v="90"/>
    <n v="352546"/>
    <s v="TBD"/>
    <m/>
    <n v="9620000384"/>
  </r>
  <r>
    <x v="78"/>
    <s v="Jaguar Coffee (FLORIDA)_9620000384_Recon.xlsx"/>
    <n v="98062"/>
    <d v="2021-04-23T00:00:00"/>
    <n v="90"/>
    <n v="326174"/>
    <s v="TBD"/>
    <m/>
    <n v="9620000384"/>
  </r>
  <r>
    <x v="78"/>
    <s v="Jaguar Coffee (FLORIDA)_9620000384_Recon.xlsx"/>
    <n v="98064"/>
    <d v="2021-04-23T00:00:00"/>
    <n v="90"/>
    <n v="326060"/>
    <s v="TBD"/>
    <m/>
    <n v="9620000384"/>
  </r>
  <r>
    <x v="78"/>
    <s v="Jaguar Coffee (FLORIDA)_9620000384_Recon.xlsx"/>
    <n v="97651"/>
    <d v="2021-04-24T00:00:00"/>
    <n v="275"/>
    <n v="234123"/>
    <s v="TBD"/>
    <m/>
    <n v="9620000384"/>
  </r>
  <r>
    <x v="78"/>
    <s v="Jaguar Coffee (FLORIDA)_9620000384_Recon.xlsx"/>
    <n v="97733"/>
    <d v="2021-04-24T00:00:00"/>
    <n v="395"/>
    <n v="177659"/>
    <s v="TBD"/>
    <m/>
    <n v="9620000384"/>
  </r>
  <r>
    <x v="78"/>
    <s v="Jaguar Coffee (FLORIDA)_9620000384_Recon.xlsx"/>
    <n v="97736"/>
    <d v="2021-04-24T00:00:00"/>
    <n v="395"/>
    <n v="173691"/>
    <s v="TBD"/>
    <m/>
    <n v="9620000384"/>
  </r>
  <r>
    <x v="78"/>
    <s v="Jaguar Coffee (FLORIDA)_9620000384_Recon.xlsx"/>
    <n v="98030"/>
    <d v="2021-04-24T00:00:00"/>
    <n v="90"/>
    <n v="357938"/>
    <s v="TBD"/>
    <m/>
    <n v="9620000384"/>
  </r>
  <r>
    <x v="78"/>
    <s v="Jaguar Coffee (FLORIDA)_9620000384_Recon.xlsx"/>
    <n v="97826"/>
    <d v="2021-04-26T00:00:00"/>
    <n v="157.5"/>
    <n v="369611"/>
    <s v="TBD"/>
    <m/>
    <n v="9620000384"/>
  </r>
  <r>
    <x v="78"/>
    <s v="Jaguar Coffee (FLORIDA)_9620000384_Recon.xlsx"/>
    <n v="97699"/>
    <d v="2021-04-27T00:00:00"/>
    <n v="275"/>
    <n v="183497"/>
    <s v="TBD"/>
    <m/>
    <n v="9620000384"/>
  </r>
  <r>
    <x v="78"/>
    <s v="Jaguar Coffee (FLORIDA)_9620000384_Recon.xlsx"/>
    <n v="97700"/>
    <d v="2021-04-27T00:00:00"/>
    <n v="275"/>
    <n v="358254"/>
    <s v="TBD"/>
    <m/>
    <n v="9620000384"/>
  </r>
  <r>
    <x v="78"/>
    <s v="Jaguar Coffee (FLORIDA)_9620000384_Recon.xlsx"/>
    <n v="98065"/>
    <d v="2021-04-27T00:00:00"/>
    <n v="679.46"/>
    <n v="371561"/>
    <s v="TBD"/>
    <m/>
    <n v="9620000384"/>
  </r>
  <r>
    <x v="78"/>
    <s v="Jaguar Coffee (FLORIDA)_9620000384_Recon.xlsx"/>
    <n v="99017"/>
    <d v="2021-04-29T00:00:00"/>
    <n v="175"/>
    <n v="326107"/>
    <s v="TBD"/>
    <m/>
    <n v="9620000384"/>
  </r>
  <r>
    <x v="78"/>
    <s v="Jaguar Coffee (FLORIDA)_9620000384_Recon.xlsx"/>
    <n v="97911"/>
    <d v="2021-04-30T00:00:00"/>
    <n v="329.99"/>
    <n v="372661"/>
    <s v="TBD"/>
    <m/>
    <n v="9620000384"/>
  </r>
  <r>
    <x v="78"/>
    <s v="Jaguar Coffee (FLORIDA)_9620000384_Recon.xlsx"/>
    <n v="98235"/>
    <d v="2021-04-30T00:00:00"/>
    <n v="90"/>
    <n v="358239"/>
    <s v="TBD"/>
    <m/>
    <n v="9620000384"/>
  </r>
  <r>
    <x v="78"/>
    <s v="Jaguar Coffee (FLORIDA)_9620000384_Recon.xlsx"/>
    <n v="99009"/>
    <d v="2021-05-05T00:00:00"/>
    <n v="175"/>
    <n v="326365"/>
    <s v="TBD"/>
    <m/>
    <n v="9620000384"/>
  </r>
  <r>
    <x v="78"/>
    <s v="Jaguar Coffee (FLORIDA)_9620000384_Recon.xlsx"/>
    <n v="99010"/>
    <d v="2021-05-05T00:00:00"/>
    <n v="175"/>
    <n v="326366"/>
    <s v="TBD"/>
    <m/>
    <n v="9620000384"/>
  </r>
  <r>
    <x v="78"/>
    <s v="Jaguar Coffee (FLORIDA)_9620000384_Recon.xlsx"/>
    <n v="99011"/>
    <d v="2021-05-05T00:00:00"/>
    <n v="175"/>
    <n v="326368"/>
    <s v="TBD"/>
    <m/>
    <n v="9620000384"/>
  </r>
  <r>
    <x v="78"/>
    <s v="Jaguar Coffee (FLORIDA)_9620000384_Recon.xlsx"/>
    <n v="99018"/>
    <d v="2021-05-05T00:00:00"/>
    <n v="175"/>
    <n v="326343"/>
    <s v="TBD"/>
    <m/>
    <n v="9620000384"/>
  </r>
  <r>
    <x v="78"/>
    <s v="Jaguar Coffee (FLORIDA)_9620000384_Recon.xlsx"/>
    <n v="99019"/>
    <d v="2021-05-05T00:00:00"/>
    <n v="175"/>
    <n v="326344"/>
    <s v="TBD"/>
    <m/>
    <n v="9620000384"/>
  </r>
  <r>
    <x v="78"/>
    <s v="Jaguar Coffee (FLORIDA)_9620000384_Recon.xlsx"/>
    <n v="99020"/>
    <d v="2021-05-05T00:00:00"/>
    <n v="175"/>
    <n v="326234"/>
    <s v="TBD"/>
    <m/>
    <n v="9620000384"/>
  </r>
  <r>
    <x v="78"/>
    <s v="Jaguar Coffee (FLORIDA)_9620000384_Recon.xlsx"/>
    <n v="98386"/>
    <d v="2021-05-06T00:00:00"/>
    <n v="533.54999999999995"/>
    <n v="373935"/>
    <s v="TBD"/>
    <m/>
    <n v="9620000384"/>
  </r>
  <r>
    <x v="78"/>
    <s v="Jaguar Coffee (FLORIDA)_9620000384_Recon.xlsx"/>
    <n v="98387"/>
    <d v="2021-05-06T00:00:00"/>
    <n v="683.07"/>
    <n v="373570"/>
    <s v="TBD"/>
    <m/>
    <n v="9620000384"/>
  </r>
  <r>
    <x v="78"/>
    <s v="Jaguar Coffee (FLORIDA)_9620000384_Recon.xlsx"/>
    <n v="98390"/>
    <d v="2021-05-07T00:00:00"/>
    <n v="202.5"/>
    <n v="373942"/>
    <s v="TBD"/>
    <m/>
    <n v="9620000384"/>
  </r>
  <r>
    <x v="78"/>
    <s v="Jaguar Coffee (FLORIDA)_9620000384_Recon.xlsx"/>
    <n v="98391"/>
    <d v="2021-05-07T00:00:00"/>
    <n v="503.66"/>
    <n v="374308"/>
    <s v="TBD"/>
    <m/>
    <n v="9620000384"/>
  </r>
  <r>
    <x v="78"/>
    <s v="Jaguar Coffee (FLORIDA)_9620000384_Recon.xlsx"/>
    <n v="98392"/>
    <d v="2021-05-07T00:00:00"/>
    <n v="584.67999999999995"/>
    <n v="374115"/>
    <s v="TBD"/>
    <m/>
    <n v="9620000384"/>
  </r>
  <r>
    <x v="78"/>
    <s v="Jaguar Coffee (FLORIDA)_9620000384_Recon.xlsx"/>
    <n v="98393"/>
    <d v="2021-05-07T00:00:00"/>
    <n v="157.5"/>
    <n v="373920"/>
    <s v="TBD"/>
    <m/>
    <n v="9620000384"/>
  </r>
  <r>
    <x v="78"/>
    <s v="Jaguar Coffee (FLORIDA)_9620000384_Recon.xlsx"/>
    <n v="99012"/>
    <d v="2021-05-07T00:00:00"/>
    <n v="175"/>
    <n v="352651"/>
    <s v="TBD"/>
    <m/>
    <n v="9620000384"/>
  </r>
  <r>
    <x v="78"/>
    <s v="Jaguar Coffee (FLORIDA)_9620000384_Recon.xlsx"/>
    <n v="99015"/>
    <d v="2021-05-07T00:00:00"/>
    <n v="175"/>
    <n v="368005"/>
    <s v="TBD"/>
    <m/>
    <n v="9620000384"/>
  </r>
  <r>
    <x v="78"/>
    <s v="Jaguar Coffee (FLORIDA)_9620000384_Recon.xlsx"/>
    <n v="98396"/>
    <d v="2021-05-08T00:00:00"/>
    <n v="169.71"/>
    <n v="374437"/>
    <s v="TBD"/>
    <m/>
    <n v="9620000384"/>
  </r>
  <r>
    <x v="78"/>
    <s v="Jaguar Coffee (FLORIDA)_9620000384_Recon.xlsx"/>
    <n v="98397"/>
    <d v="2021-05-09T00:00:00"/>
    <n v="732.82"/>
    <n v="374195"/>
    <s v="TBD"/>
    <m/>
    <n v="9620000384"/>
  </r>
  <r>
    <x v="78"/>
    <s v="Jaguar Coffee (FLORIDA)_9620000384_Recon.xlsx"/>
    <n v="98724"/>
    <d v="2021-05-09T00:00:00"/>
    <n v="175"/>
    <n v="363115"/>
    <s v="TBD"/>
    <m/>
    <n v="9620000384"/>
  </r>
  <r>
    <x v="78"/>
    <s v="Jaguar Coffee (FLORIDA)_9620000384_Recon.xlsx"/>
    <n v="98726"/>
    <d v="2021-05-09T00:00:00"/>
    <n v="175"/>
    <n v="363107"/>
    <s v="TBD"/>
    <m/>
    <n v="9620000384"/>
  </r>
  <r>
    <x v="78"/>
    <s v="Jaguar Coffee (FLORIDA)_9620000384_Recon.xlsx"/>
    <n v="98727"/>
    <d v="2021-05-09T00:00:00"/>
    <n v="175"/>
    <n v="363114"/>
    <s v="TBD"/>
    <m/>
    <n v="9620000384"/>
  </r>
  <r>
    <x v="78"/>
    <s v="Jaguar Coffee (FLORIDA)_9620000384_Recon.xlsx"/>
    <n v="98728"/>
    <d v="2021-05-09T00:00:00"/>
    <n v="175"/>
    <n v="342613"/>
    <s v="TBD"/>
    <m/>
    <n v="9620000384"/>
  </r>
  <r>
    <x v="78"/>
    <s v="Jaguar Coffee (FLORIDA)_9620000384_Recon.xlsx"/>
    <n v="98729"/>
    <d v="2021-05-09T00:00:00"/>
    <n v="175"/>
    <n v="342614"/>
    <s v="TBD"/>
    <m/>
    <n v="9620000384"/>
  </r>
  <r>
    <x v="78"/>
    <s v="Jaguar Coffee (FLORIDA)_9620000384_Recon.xlsx"/>
    <n v="98730"/>
    <d v="2021-05-09T00:00:00"/>
    <n v="175"/>
    <n v="342600"/>
    <s v="TBD"/>
    <m/>
    <n v="9620000384"/>
  </r>
  <r>
    <x v="78"/>
    <s v="Jaguar Coffee (FLORIDA)_9620000384_Recon.xlsx"/>
    <n v="98731"/>
    <d v="2021-05-09T00:00:00"/>
    <n v="175"/>
    <n v="342603"/>
    <s v="TBD"/>
    <m/>
    <n v="9620000384"/>
  </r>
  <r>
    <x v="78"/>
    <s v="Jaguar Coffee (FLORIDA)_9620000384_Recon.xlsx"/>
    <n v="99016"/>
    <d v="2021-05-09T00:00:00"/>
    <n v="175"/>
    <n v="357270"/>
    <s v="TBD"/>
    <m/>
    <n v="9620000384"/>
  </r>
  <r>
    <x v="78"/>
    <s v="Jaguar Coffee (FLORIDA)_9620000384_Recon.xlsx"/>
    <n v="98401"/>
    <d v="2021-05-10T00:00:00"/>
    <n v="405"/>
    <n v="374174"/>
    <s v="TBD"/>
    <m/>
    <n v="9620000384"/>
  </r>
  <r>
    <x v="78"/>
    <s v="Jaguar Coffee (FLORIDA)_9620000384_Recon.xlsx"/>
    <n v="99014"/>
    <d v="2021-05-10T00:00:00"/>
    <n v="175"/>
    <n v="348530"/>
    <s v="TBD"/>
    <m/>
    <n v="9620000384"/>
  </r>
  <r>
    <x v="78"/>
    <s v="Jaguar Coffee (FLORIDA)_9620000384_Recon.xlsx"/>
    <n v="98661"/>
    <d v="2021-05-11T00:00:00"/>
    <n v="312.5"/>
    <n v="675586"/>
    <s v="TBD"/>
    <m/>
    <n v="9620000384"/>
  </r>
  <r>
    <x v="78"/>
    <s v="Jaguar Coffee (FLORIDA)_9620000384_Recon.xlsx"/>
    <n v="99013"/>
    <d v="2021-05-11T00:00:00"/>
    <n v="175"/>
    <n v="326081"/>
    <s v="TBD"/>
    <m/>
    <n v="9620000384"/>
  </r>
  <r>
    <x v="78"/>
    <s v="Jaguar Coffee (FLORIDA)_9620000384_Recon.xlsx"/>
    <n v="98503"/>
    <d v="2021-05-12T00:00:00"/>
    <n v="1877.06"/>
    <n v="374474"/>
    <s v="TBD"/>
    <m/>
    <n v="9620000384"/>
  </r>
  <r>
    <x v="78"/>
    <s v="Jaguar Coffee (FLORIDA)_9620000384_Recon.xlsx"/>
    <n v="98570"/>
    <d v="2021-05-13T00:00:00"/>
    <n v="2730.15"/>
    <n v="375395"/>
    <s v="TBD"/>
    <m/>
    <n v="9620000384"/>
  </r>
  <r>
    <x v="78"/>
    <s v="Jaguar Coffee (FLORIDA)_9620000384_Recon.xlsx"/>
    <n v="98725"/>
    <d v="2021-05-13T00:00:00"/>
    <n v="2588.58"/>
    <n v="37451"/>
    <s v="TBD"/>
    <m/>
    <n v="9620000384"/>
  </r>
  <r>
    <x v="78"/>
    <s v="Jaguar Coffee (FLORIDA)_9620000384_Recon.xlsx"/>
    <n v="98690"/>
    <d v="2021-05-14T00:00:00"/>
    <n v="135"/>
    <n v="376091"/>
    <s v="TBD"/>
    <m/>
    <n v="9620000384"/>
  </r>
  <r>
    <x v="78"/>
    <s v="Jaguar Coffee (FLORIDA)_9620000384_Recon.xlsx"/>
    <n v="98698"/>
    <d v="2021-05-14T00:00:00"/>
    <n v="494.62"/>
    <n v="372742"/>
    <s v="TBD"/>
    <m/>
    <n v="9620000384"/>
  </r>
  <r>
    <x v="78"/>
    <s v="Jaguar Coffee (FLORIDA)_9620000384_Recon.xlsx"/>
    <n v="98700"/>
    <d v="2021-05-14T00:00:00"/>
    <n v="180"/>
    <n v="372670"/>
    <s v="TBD"/>
    <m/>
    <n v="9620000384"/>
  </r>
  <r>
    <x v="78"/>
    <s v="Jaguar Coffee (FLORIDA)_9620000384_Recon.xlsx"/>
    <n v="98847"/>
    <d v="2021-05-14T00:00:00"/>
    <n v="180"/>
    <n v="375043"/>
    <s v="TBD"/>
    <m/>
    <n v="9620000384"/>
  </r>
  <r>
    <x v="78"/>
    <s v="Jaguar Coffee (FLORIDA)_9620000384_Recon.xlsx"/>
    <n v="98848"/>
    <d v="2021-05-14T00:00:00"/>
    <n v="67.5"/>
    <n v="375044"/>
    <s v="TBD"/>
    <m/>
    <n v="9620000384"/>
  </r>
  <r>
    <x v="78"/>
    <s v="Jaguar Coffee (FLORIDA)_9620000384_Recon.xlsx"/>
    <n v="98699"/>
    <d v="2021-05-15T00:00:00"/>
    <n v="300.26"/>
    <n v="376373"/>
    <s v="TBD"/>
    <m/>
    <n v="9620000384"/>
  </r>
  <r>
    <x v="78"/>
    <s v="Jaguar Coffee (FLORIDA)_9620000384_Recon.xlsx"/>
    <n v="98746"/>
    <d v="2021-05-15T00:00:00"/>
    <n v="650.42999999999995"/>
    <n v="368426"/>
    <s v="TBD"/>
    <m/>
    <n v="9620000384"/>
  </r>
  <r>
    <x v="78"/>
    <s v="Jaguar Coffee (FLORIDA)_9620000384_Recon.xlsx"/>
    <n v="98849"/>
    <d v="2021-05-15T00:00:00"/>
    <n v="157.5"/>
    <n v="376167"/>
    <s v="TBD"/>
    <m/>
    <n v="9620000384"/>
  </r>
  <r>
    <x v="78"/>
    <s v="Jaguar Coffee (FLORIDA)_9620000384_Recon.xlsx"/>
    <n v="98687"/>
    <d v="2021-05-17T00:00:00"/>
    <n v="430.91"/>
    <n v="375694"/>
    <s v="TBD"/>
    <m/>
    <n v="9620000384"/>
  </r>
  <r>
    <x v="78"/>
    <s v="Jaguar Coffee (FLORIDA)_9620000384_Recon.xlsx"/>
    <n v="98693"/>
    <d v="2021-05-17T00:00:00"/>
    <n v="370.65"/>
    <n v="373933"/>
    <s v="TBD"/>
    <m/>
    <n v="9620000384"/>
  </r>
  <r>
    <x v="78"/>
    <s v="Jaguar Coffee (FLORIDA)_9620000384_Recon.xlsx"/>
    <n v="98697"/>
    <d v="2021-05-17T00:00:00"/>
    <n v="157.5"/>
    <n v="376092"/>
    <s v="TBD"/>
    <m/>
    <n v="9620000384"/>
  </r>
  <r>
    <x v="78"/>
    <s v="Jaguar Coffee (FLORIDA)_9620000384_Recon.xlsx"/>
    <n v="98735"/>
    <d v="2021-05-17T00:00:00"/>
    <n v="135"/>
    <n v="376573"/>
    <s v="TBD"/>
    <m/>
    <n v="9620000384"/>
  </r>
  <r>
    <x v="78"/>
    <s v="Jaguar Coffee (FLORIDA)_9620000384_Recon.xlsx"/>
    <n v="98736"/>
    <d v="2021-05-17T00:00:00"/>
    <n v="67.5"/>
    <n v="376574"/>
    <s v="TBD"/>
    <m/>
    <n v="9620000384"/>
  </r>
  <r>
    <x v="78"/>
    <s v="Jaguar Coffee (FLORIDA)_9620000384_Recon.xlsx"/>
    <n v="98810"/>
    <d v="2021-05-17T00:00:00"/>
    <n v="238"/>
    <s v="M16663"/>
    <s v="TBD"/>
    <m/>
    <n v="9620000384"/>
  </r>
  <r>
    <x v="78"/>
    <s v="Jaguar Coffee (FLORIDA)_9620000384_Recon.xlsx"/>
    <n v="98843"/>
    <d v="2021-05-17T00:00:00"/>
    <n v="473"/>
    <n v="1042021"/>
    <s v="TBD"/>
    <m/>
    <n v="9620000384"/>
  </r>
  <r>
    <x v="78"/>
    <s v="Jaguar Coffee (FLORIDA)_9620000384_Recon.xlsx"/>
    <n v="99006"/>
    <d v="2021-05-17T00:00:00"/>
    <n v="175"/>
    <n v="326000"/>
    <s v="TBD"/>
    <m/>
    <n v="9620000384"/>
  </r>
  <r>
    <x v="78"/>
    <s v="Jaguar Coffee (FLORIDA)_9620000384_Recon.xlsx"/>
    <n v="99021"/>
    <d v="2021-05-17T00:00:00"/>
    <n v="275"/>
    <n v="222097"/>
    <s v="TBD"/>
    <m/>
    <n v="9620000384"/>
  </r>
  <r>
    <x v="78"/>
    <s v="Jaguar Coffee (FLORIDA)_9620000384_Recon.xlsx"/>
    <n v="99022"/>
    <d v="2021-05-17T00:00:00"/>
    <n v="275"/>
    <n v="223923"/>
    <s v="TBD"/>
    <m/>
    <n v="9620000384"/>
  </r>
  <r>
    <x v="78"/>
    <s v="Jaguar Coffee (FLORIDA)_9620000384_Recon.xlsx"/>
    <n v="99024"/>
    <d v="2021-05-17T00:00:00"/>
    <n v="275"/>
    <n v="358256"/>
    <s v="TBD"/>
    <m/>
    <n v="9620000384"/>
  </r>
  <r>
    <x v="78"/>
    <s v="Jaguar Coffee (FLORIDA)_9620000384_Recon.xlsx"/>
    <n v="98734"/>
    <d v="2021-05-18T00:00:00"/>
    <n v="157.5"/>
    <n v="376599"/>
    <s v="TBD"/>
    <m/>
    <n v="9620000384"/>
  </r>
  <r>
    <x v="78"/>
    <s v="Jaguar Coffee (FLORIDA)_9620000384_Recon.xlsx"/>
    <n v="98737"/>
    <d v="2021-05-18T00:00:00"/>
    <n v="180"/>
    <n v="376591"/>
    <s v="TBD"/>
    <m/>
    <n v="9620000384"/>
  </r>
  <r>
    <x v="78"/>
    <s v="Jaguar Coffee (FLORIDA)_9620000384_Recon.xlsx"/>
    <n v="98758"/>
    <d v="2021-05-18T00:00:00"/>
    <n v="367.21"/>
    <n v="376253"/>
    <s v="TBD"/>
    <m/>
    <n v="9620000384"/>
  </r>
  <r>
    <x v="78"/>
    <s v="Jaguar Coffee (FLORIDA)_9620000384_Recon.xlsx"/>
    <n v="98763"/>
    <d v="2021-05-18T00:00:00"/>
    <n v="194.5"/>
    <n v="376672"/>
    <s v="TBD"/>
    <m/>
    <n v="9620000384"/>
  </r>
  <r>
    <x v="78"/>
    <s v="Jaguar Coffee (FLORIDA)_9620000384_Recon.xlsx"/>
    <n v="98764"/>
    <d v="2021-05-18T00:00:00"/>
    <n v="98.65"/>
    <n v="376686"/>
    <s v="TBD"/>
    <m/>
    <n v="9620000384"/>
  </r>
  <r>
    <x v="78"/>
    <s v="Jaguar Coffee (FLORIDA)_9620000384_Recon.xlsx"/>
    <n v="98774"/>
    <d v="2021-05-18T00:00:00"/>
    <n v="349.44"/>
    <n v="376703"/>
    <s v="TBD"/>
    <m/>
    <n v="9620000384"/>
  </r>
  <r>
    <x v="78"/>
    <s v="Jaguar Coffee (FLORIDA)_9620000384_Recon.xlsx"/>
    <n v="98785"/>
    <d v="2021-05-18T00:00:00"/>
    <n v="382.5"/>
    <n v="376108"/>
    <s v="TBD"/>
    <m/>
    <n v="9620000384"/>
  </r>
  <r>
    <x v="78"/>
    <s v="Jaguar Coffee (FLORIDA)_9620000384_Recon.xlsx"/>
    <n v="98815"/>
    <d v="2021-05-18T00:00:00"/>
    <n v="761.63"/>
    <n v="375097"/>
    <s v="TBD"/>
    <m/>
    <n v="9620000384"/>
  </r>
  <r>
    <x v="78"/>
    <s v="Jaguar Coffee (FLORIDA)_9620000384_Recon.xlsx"/>
    <n v="98850"/>
    <d v="2021-05-18T00:00:00"/>
    <n v="398.32"/>
    <n v="376894"/>
    <s v="TBD"/>
    <m/>
    <n v="9620000384"/>
  </r>
  <r>
    <x v="78"/>
    <s v="Jaguar Coffee (FLORIDA)_9620000384_Recon.xlsx"/>
    <n v="99004"/>
    <d v="2021-05-18T00:00:00"/>
    <n v="275"/>
    <n v="303763"/>
    <s v="TBD"/>
    <m/>
    <n v="9620000384"/>
  </r>
  <r>
    <x v="78"/>
    <s v="Jaguar Coffee (FLORIDA)_9620000384_Recon.xlsx"/>
    <n v="99007"/>
    <d v="2021-05-18T00:00:00"/>
    <n v="175"/>
    <n v="326333"/>
    <s v="TBD"/>
    <m/>
    <n v="9620000384"/>
  </r>
  <r>
    <x v="78"/>
    <s v="Jaguar Coffee (FLORIDA)_9620000384_Recon.xlsx"/>
    <n v="99008"/>
    <d v="2021-05-18T00:00:00"/>
    <n v="175"/>
    <n v="326334"/>
    <s v="TBD"/>
    <m/>
    <n v="9620000384"/>
  </r>
  <r>
    <x v="78"/>
    <s v="Jaguar Coffee (FLORIDA)_9620000384_Recon.xlsx"/>
    <n v="99025"/>
    <d v="2021-05-18T00:00:00"/>
    <n v="275"/>
    <n v="367564"/>
    <s v="TBD"/>
    <m/>
    <n v="9620000384"/>
  </r>
  <r>
    <x v="78"/>
    <s v="Jaguar Coffee (FLORIDA)_9620000384_Recon.xlsx"/>
    <n v="99026"/>
    <d v="2021-05-18T00:00:00"/>
    <n v="275"/>
    <n v="303763"/>
    <s v="TBD"/>
    <m/>
    <n v="9620000384"/>
  </r>
  <r>
    <x v="78"/>
    <s v="Jaguar Coffee (FLORIDA)_9620000384_Recon.xlsx"/>
    <n v="98773"/>
    <d v="2021-05-19T00:00:00"/>
    <n v="495"/>
    <n v="373175"/>
    <s v="TBD"/>
    <m/>
    <n v="9620000384"/>
  </r>
  <r>
    <x v="78"/>
    <s v="Jaguar Coffee (FLORIDA)_9620000384_Recon.xlsx"/>
    <n v="98780"/>
    <d v="2021-05-19T00:00:00"/>
    <n v="1260.8"/>
    <n v="377247"/>
    <s v="TBD"/>
    <m/>
    <n v="9620000384"/>
  </r>
  <r>
    <x v="78"/>
    <s v="Jaguar Coffee (FLORIDA)_9620000384_Recon.xlsx"/>
    <n v="98795"/>
    <d v="2021-05-19T00:00:00"/>
    <n v="437.92"/>
    <n v="376691"/>
    <s v="TBD"/>
    <m/>
    <n v="9620000384"/>
  </r>
  <r>
    <x v="78"/>
    <s v="Jaguar Coffee (FLORIDA)_9620000384_Recon.xlsx"/>
    <n v="98820"/>
    <d v="2021-05-19T00:00:00"/>
    <n v="696.68"/>
    <n v="376973"/>
    <s v="TBD"/>
    <m/>
    <n v="9620000384"/>
  </r>
  <r>
    <x v="78"/>
    <s v="Jaguar Coffee (FLORIDA)_9620000384_Recon.xlsx"/>
    <n v="98822"/>
    <d v="2021-05-19T00:00:00"/>
    <n v="641.34"/>
    <n v="374197"/>
    <s v="TBD"/>
    <m/>
    <n v="9620000384"/>
  </r>
  <r>
    <x v="78"/>
    <s v="Jaguar Coffee (FLORIDA)_9620000384_Recon.xlsx"/>
    <n v="98866"/>
    <d v="2021-05-19T00:00:00"/>
    <n v="1179.08"/>
    <n v="410859"/>
    <s v="TBD"/>
    <m/>
    <n v="9620000384"/>
  </r>
  <r>
    <x v="78"/>
    <s v="Jaguar Coffee (FLORIDA)_9620000384_Recon.xlsx"/>
    <n v="98823"/>
    <d v="2021-05-20T00:00:00"/>
    <n v="225"/>
    <n v="377437"/>
    <s v="TBD"/>
    <m/>
    <n v="9620000384"/>
  </r>
  <r>
    <x v="78"/>
    <s v="Jaguar Coffee (FLORIDA)_9620000384_Recon.xlsx"/>
    <n v="98825"/>
    <d v="2021-05-20T00:00:00"/>
    <n v="225"/>
    <n v="374540"/>
    <s v="TBD"/>
    <m/>
    <n v="9620000384"/>
  </r>
  <r>
    <x v="78"/>
    <s v="Jaguar Coffee (FLORIDA)_9620000384_Recon.xlsx"/>
    <n v="98827"/>
    <d v="2021-05-20T00:00:00"/>
    <n v="232.56"/>
    <n v="377312"/>
    <s v="TBD"/>
    <m/>
    <n v="9620000384"/>
  </r>
  <r>
    <x v="78"/>
    <s v="Jaguar Coffee (FLORIDA)_9620000384_Recon.xlsx"/>
    <n v="98830"/>
    <d v="2021-05-20T00:00:00"/>
    <n v="429.62"/>
    <n v="377476"/>
    <s v="TBD"/>
    <m/>
    <n v="9620000384"/>
  </r>
  <r>
    <x v="78"/>
    <s v="Jaguar Coffee (FLORIDA)_9620000384_Recon.xlsx"/>
    <n v="98832"/>
    <d v="2021-05-20T00:00:00"/>
    <n v="180"/>
    <n v="377427"/>
    <s v="TBD"/>
    <m/>
    <n v="9620000384"/>
  </r>
  <r>
    <x v="78"/>
    <s v="Jaguar Coffee (FLORIDA)_9620000384_Recon.xlsx"/>
    <n v="98834"/>
    <d v="2021-05-20T00:00:00"/>
    <n v="90"/>
    <n v="377428"/>
    <s v="TBD"/>
    <m/>
    <n v="9620000384"/>
  </r>
  <r>
    <x v="78"/>
    <s v="Jaguar Coffee (FLORIDA)_9620000384_Recon.xlsx"/>
    <n v="98836"/>
    <d v="2021-05-20T00:00:00"/>
    <n v="252.86"/>
    <n v="377375"/>
    <s v="TBD"/>
    <m/>
    <n v="9620000384"/>
  </r>
  <r>
    <x v="78"/>
    <s v="Jaguar Coffee (FLORIDA)_9620000384_Recon.xlsx"/>
    <n v="98841"/>
    <d v="2021-05-20T00:00:00"/>
    <n v="298.79000000000002"/>
    <n v="377422"/>
    <s v="TBD"/>
    <m/>
    <n v="9620000384"/>
  </r>
  <r>
    <x v="78"/>
    <s v="Jaguar Coffee (FLORIDA)_9620000384_Recon.xlsx"/>
    <n v="99134"/>
    <d v="2021-05-20T00:00:00"/>
    <n v="90"/>
    <n v="337333"/>
    <s v="TBD"/>
    <m/>
    <n v="9620000384"/>
  </r>
  <r>
    <x v="78"/>
    <s v="Jaguar Coffee (FLORIDA)_9620000384_Recon.xlsx"/>
    <n v="98958"/>
    <d v="2021-05-21T00:00:00"/>
    <n v="180"/>
    <n v="377740"/>
    <s v="TBD"/>
    <m/>
    <n v="9620000384"/>
  </r>
  <r>
    <x v="78"/>
    <s v="Jaguar Coffee (FLORIDA)_9620000384_Recon.xlsx"/>
    <n v="98959"/>
    <d v="2021-05-21T00:00:00"/>
    <n v="467.5"/>
    <s v="M15734"/>
    <s v="TBD"/>
    <m/>
    <n v="9620000384"/>
  </r>
  <r>
    <x v="78"/>
    <s v="Jaguar Coffee (FLORIDA)_9620000384_Recon.xlsx"/>
    <n v="98963"/>
    <d v="2021-05-21T00:00:00"/>
    <n v="588.97"/>
    <n v="376894"/>
    <s v="TBD"/>
    <m/>
    <n v="9620000384"/>
  </r>
  <r>
    <x v="78"/>
    <s v="Jaguar Coffee (FLORIDA)_9620000384_Recon.xlsx"/>
    <n v="99131"/>
    <d v="2021-05-21T00:00:00"/>
    <n v="175"/>
    <n v="342530"/>
    <s v="TBD"/>
    <m/>
    <n v="9620000384"/>
  </r>
  <r>
    <x v="78"/>
    <s v="Jaguar Coffee (FLORIDA)_9620000384_Recon.xlsx"/>
    <n v="99133"/>
    <d v="2021-05-21T00:00:00"/>
    <n v="175"/>
    <n v="333927"/>
    <s v="TBD"/>
    <m/>
    <n v="9620000384"/>
  </r>
  <r>
    <x v="78"/>
    <s v="Jaguar Coffee (FLORIDA)_9620000384_Recon.xlsx"/>
    <n v="98978"/>
    <d v="2021-05-22T00:00:00"/>
    <n v="390.56"/>
    <n v="378031"/>
    <s v="TBD"/>
    <m/>
    <n v="9620000384"/>
  </r>
  <r>
    <x v="78"/>
    <s v="Jaguar Coffee (FLORIDA)_9620000384_Recon.xlsx"/>
    <n v="98982"/>
    <d v="2021-05-23T00:00:00"/>
    <n v="682.35"/>
    <n v="377899"/>
    <s v="TBD"/>
    <m/>
    <n v="9620000384"/>
  </r>
  <r>
    <x v="78"/>
    <s v="Jaguar Coffee (FLORIDA)_9620000384_Recon.xlsx"/>
    <n v="98985"/>
    <d v="2021-05-24T00:00:00"/>
    <n v="112.5"/>
    <n v="40142610"/>
    <s v="TBD"/>
    <m/>
    <n v="9620000384"/>
  </r>
  <r>
    <x v="78"/>
    <s v="Jaguar Coffee (FLORIDA)_9620000384_Recon.xlsx"/>
    <n v="98986"/>
    <d v="2021-05-24T00:00:00"/>
    <n v="357.5"/>
    <n v="4500523903"/>
    <s v="TBD"/>
    <m/>
    <n v="9620000384"/>
  </r>
  <r>
    <x v="78"/>
    <s v="Jaguar Coffee (FLORIDA)_9620000384_Recon.xlsx"/>
    <n v="99032"/>
    <d v="2021-05-24T00:00:00"/>
    <n v="247.5"/>
    <n v="377558"/>
    <s v="TBD"/>
    <m/>
    <n v="9620000384"/>
  </r>
  <r>
    <x v="78"/>
    <s v="Jaguar Coffee (FLORIDA)_9620000384_Recon.xlsx"/>
    <n v="99041"/>
    <d v="2021-05-24T00:00:00"/>
    <n v="225"/>
    <n v="378259"/>
    <s v="TBD"/>
    <m/>
    <n v="9620000384"/>
  </r>
  <r>
    <x v="78"/>
    <s v="Jaguar Coffee (FLORIDA)_9620000384_Recon.xlsx"/>
    <n v="99061"/>
    <d v="2021-05-24T00:00:00"/>
    <n v="285.89"/>
    <n v="378388"/>
    <s v="TBD"/>
    <m/>
    <n v="9620000384"/>
  </r>
  <r>
    <x v="78"/>
    <s v="Jaguar Coffee (FLORIDA)_9620000384_Recon.xlsx"/>
    <n v="99069"/>
    <d v="2021-05-24T00:00:00"/>
    <n v="222.8"/>
    <n v="377997"/>
    <s v="TBD"/>
    <m/>
    <n v="9620000384"/>
  </r>
  <r>
    <x v="78"/>
    <s v="Jaguar Coffee (FLORIDA)_9620000384_Recon.xlsx"/>
    <n v="99135"/>
    <d v="2021-05-24T00:00:00"/>
    <n v="175"/>
    <n v="333822"/>
    <s v="TBD"/>
    <m/>
    <n v="9620000384"/>
  </r>
  <r>
    <x v="78"/>
    <s v="Jaguar Coffee (FLORIDA)_9620000384_Recon.xlsx"/>
    <n v="99028"/>
    <d v="2021-05-25T00:00:00"/>
    <n v="460.08"/>
    <n v="377436"/>
    <s v="TBD"/>
    <m/>
    <n v="9620000384"/>
  </r>
  <r>
    <x v="78"/>
    <s v="Jaguar Coffee (FLORIDA)_9620000384_Recon.xlsx"/>
    <n v="99075"/>
    <d v="2021-05-25T00:00:00"/>
    <n v="357.5"/>
    <n v="4565877164"/>
    <s v="TBD"/>
    <m/>
    <n v="9620000384"/>
  </r>
  <r>
    <x v="78"/>
    <s v="Jaguar Coffee (FLORIDA)_9620000384_Recon.xlsx"/>
    <n v="99081"/>
    <d v="2021-05-25T00:00:00"/>
    <n v="332.5"/>
    <s v="M16339"/>
    <s v="TBD"/>
    <m/>
    <n v="9620000384"/>
  </r>
  <r>
    <x v="78"/>
    <s v="Jaguar Coffee (FLORIDA)_9620000384_Recon.xlsx"/>
    <n v="99093"/>
    <d v="2021-05-25T00:00:00"/>
    <n v="180"/>
    <n v="378584"/>
    <s v="TBD"/>
    <m/>
    <n v="9620000384"/>
  </r>
  <r>
    <x v="78"/>
    <s v="Jaguar Coffee (FLORIDA)_9620000384_Recon.xlsx"/>
    <n v="99101"/>
    <d v="2021-05-25T00:00:00"/>
    <n v="180"/>
    <n v="378322"/>
    <s v="TBD"/>
    <m/>
    <n v="9620000384"/>
  </r>
  <r>
    <x v="78"/>
    <s v="Jaguar Coffee (FLORIDA)_9620000384_Recon.xlsx"/>
    <n v="99003"/>
    <d v="2021-05-26T00:00:00"/>
    <n v="275"/>
    <n v="233666"/>
    <s v="TBD"/>
    <m/>
    <n v="9620000384"/>
  </r>
  <r>
    <x v="78"/>
    <s v="Jaguar Coffee (FLORIDA)_9620000384_Recon.xlsx"/>
    <n v="99111"/>
    <d v="2021-05-26T00:00:00"/>
    <n v="708.77"/>
    <n v="375327"/>
    <s v="TBD"/>
    <m/>
    <n v="9620000384"/>
  </r>
  <r>
    <x v="79"/>
    <s v="Jaguar Coffee (Sugarland)_9620000385_RECON.xlsx"/>
    <n v="2078"/>
    <d v="2020-02-05T00:00:00"/>
    <n v="322.58999999999997"/>
    <s v="2028033-2597"/>
    <s v="Install"/>
    <m/>
    <n v="9620000385"/>
  </r>
  <r>
    <x v="79"/>
    <s v="Jaguar Coffee (Sugarland)_9620000385_RECON.xlsx"/>
    <n v="2123"/>
    <d v="2020-03-02T00:00:00"/>
    <n v="146.13999999999999"/>
    <n v="261181"/>
    <s v="TBD"/>
    <m/>
    <n v="9620000385"/>
  </r>
  <r>
    <x v="79"/>
    <s v="Jaguar Coffee (Sugarland)_9620000385_RECON.xlsx"/>
    <n v="2147"/>
    <d v="2020-03-14T00:00:00"/>
    <n v="216.14"/>
    <n v="266984"/>
    <s v="TBD"/>
    <m/>
    <n v="9620000385"/>
  </r>
  <r>
    <x v="79"/>
    <s v="Jaguar Coffee (Sugarland)_9620000385_RECON.xlsx"/>
    <n v="2184"/>
    <d v="2020-04-14T00:00:00"/>
    <n v="257.08999999999997"/>
    <s v="108097-MJS"/>
    <s v="Install"/>
    <m/>
    <n v="9620000385"/>
  </r>
  <r>
    <x v="79"/>
    <s v="Jaguar Coffee (Sugarland)_9620000385_RECON.xlsx"/>
    <n v="2208"/>
    <d v="2020-07-07T00:00:00"/>
    <n v="1412.1"/>
    <s v="228534LAPORTTX"/>
    <s v="Install"/>
    <m/>
    <n v="9620000385"/>
  </r>
  <r>
    <x v="80"/>
    <s v="Joe Warren &amp; Sons_9620056812, 9620054532_RECON.xlsx"/>
    <n v="222003"/>
    <d v="2020-11-24T00:00:00"/>
    <n v="172.5"/>
    <s v="110419Recall"/>
    <s v="TBD"/>
    <s v="Invoice Requires Further Research"/>
    <n v="9620054532"/>
  </r>
  <r>
    <x v="80"/>
    <s v="Joe Warren &amp; Sons_9620056812, 9620054532_RECON.xlsx"/>
    <n v="205451"/>
    <d v="2020-12-29T00:00:00"/>
    <n v="593.62"/>
    <n v="0"/>
    <s v="TBD"/>
    <n v="0"/>
    <n v="9620054532"/>
  </r>
  <r>
    <x v="80"/>
    <s v="Joe Warren &amp; Sons_9620056812, 9620054532_RECON.xlsx"/>
    <n v="211946"/>
    <d v="2021-05-23T00:00:00"/>
    <n v="316.25"/>
    <n v="0"/>
    <s v="TBD"/>
    <n v="0"/>
    <n v="9620054532"/>
  </r>
  <r>
    <x v="80"/>
    <s v="Joe Warren &amp; Sons_9620056812, 9620054532_RECON.xlsx"/>
    <n v="201488"/>
    <d v="2021-05-21T00:00:00"/>
    <n v="1079"/>
    <n v="0"/>
    <s v="TBD"/>
    <n v="0"/>
    <n v="9620054532"/>
  </r>
  <r>
    <x v="80"/>
    <s v="Joe Warren &amp; Sons_9620056812, 9620054532_RECON.xlsx"/>
    <n v="234751"/>
    <d v="2021-06-08T00:00:00"/>
    <n v="316.25"/>
    <n v="0"/>
    <s v="TBD"/>
    <n v="0"/>
    <n v="9620054532"/>
  </r>
  <r>
    <x v="80"/>
    <s v="Joe Warren &amp; Sons_9620056812, 9620054532_RECON.xlsx"/>
    <n v="234752"/>
    <d v="2021-06-08T00:00:00"/>
    <n v="431.25"/>
    <n v="0"/>
    <s v="TBD"/>
    <n v="0"/>
    <n v="9620054532"/>
  </r>
  <r>
    <x v="81"/>
    <s v="Johnson Mechanical_9620000397_RECON.xlsx"/>
    <n v="134328"/>
    <d v="2020-11-03T00:00:00"/>
    <n v="1970.92"/>
    <n v="3151263"/>
    <s v="TBD"/>
    <n v="0"/>
    <n v="9620000397"/>
  </r>
  <r>
    <x v="81"/>
    <s v="Johnson Mechanical_9620000397_RECON.xlsx"/>
    <n v="136494"/>
    <d v="2021-03-10T00:00:00"/>
    <n v="301"/>
    <n v="355737"/>
    <s v="Service Call"/>
    <n v="0"/>
    <n v="9620000397"/>
  </r>
  <r>
    <x v="81"/>
    <s v="Johnson Mechanical_9620000397_RECON.xlsx"/>
    <n v="134937"/>
    <d v="2020-12-14T00:00:00"/>
    <n v="844.47"/>
    <n v="324204"/>
    <s v="Service Call"/>
    <n v="0"/>
    <n v="9620000397"/>
  </r>
  <r>
    <x v="81"/>
    <s v="Johnson Mechanical_9620000397_RECON.xlsx"/>
    <n v="134324"/>
    <d v="2020-11-03T00:00:00"/>
    <n v="331.31"/>
    <n v="315076"/>
    <s v="Service Call"/>
    <n v="0"/>
    <n v="9620000397"/>
  </r>
  <r>
    <x v="81"/>
    <s v="Johnson Mechanical_9620000397_RECON.xlsx"/>
    <n v="133951"/>
    <d v="2020-10-16T00:00:00"/>
    <n v="791.98"/>
    <s v="00310772/00310971"/>
    <s v="Service Call"/>
    <n v="0"/>
    <n v="9620000397"/>
  </r>
  <r>
    <x v="81"/>
    <s v="Johnson Mechanical_9620000397_RECON.xlsx"/>
    <n v="134331"/>
    <d v="2020-11-03T00:00:00"/>
    <n v="2675.11"/>
    <n v="308071"/>
    <s v="Service Call"/>
    <n v="0"/>
    <n v="9620000397"/>
  </r>
  <r>
    <x v="81"/>
    <s v="Johnson Mechanical_9620000397_RECON.xlsx"/>
    <n v="133663"/>
    <d v="2020-10-02T00:00:00"/>
    <n v="328.29"/>
    <n v="306500"/>
    <s v="Service Call"/>
    <n v="0"/>
    <n v="9620000397"/>
  </r>
  <r>
    <x v="81"/>
    <s v="Johnson Mechanical_9620000397_RECON.xlsx"/>
    <n v="134929"/>
    <d v="2020-12-14T00:00:00"/>
    <n v="492.14"/>
    <n v="281761"/>
    <s v="Service Call"/>
    <n v="0"/>
    <n v="9620000397"/>
  </r>
  <r>
    <x v="81"/>
    <s v="Johnson Mechanical_9620000397_RECON.xlsx"/>
    <n v="136116"/>
    <d v="2021-02-17T00:00:00"/>
    <n v="458.69"/>
    <n v="1020209936"/>
    <s v="Install"/>
    <n v="0"/>
    <n v="9620000397"/>
  </r>
  <r>
    <x v="81"/>
    <s v="Johnson Mechanical_9620000397_RECON.xlsx"/>
    <n v="136498"/>
    <d v="2021-03-10T00:00:00"/>
    <n v="605"/>
    <n v="319980"/>
    <s v="PM"/>
    <n v="0"/>
    <n v="9620000397"/>
  </r>
  <r>
    <x v="81"/>
    <s v="Johnson Mechanical_9620000397_RECON.xlsx"/>
    <n v="136500"/>
    <d v="2021-03-10T00:00:00"/>
    <n v="261"/>
    <n v="319983"/>
    <s v="PM"/>
    <n v="0"/>
    <n v="9620000397"/>
  </r>
  <r>
    <x v="82"/>
    <s v="Jones Enterprises_WMF_9620000399_Recon.xlsx"/>
    <n v="9569"/>
    <d v="2020-08-04T00:00:00"/>
    <n v="602.76"/>
    <n v="298792"/>
    <s v="Service Call"/>
    <n v="0"/>
    <n v="9620000399"/>
  </r>
  <r>
    <x v="82"/>
    <s v="Jones Enterprises_WMF_9620000399_Recon.xlsx"/>
    <n v="9662"/>
    <d v="2020-10-09T00:00:00"/>
    <n v="650.82000000000005"/>
    <n v="310434"/>
    <s v="Service Call"/>
    <n v="0"/>
    <n v="9620000399"/>
  </r>
  <r>
    <x v="82"/>
    <s v="Jones Enterprises_WMF_9620000399_Recon.xlsx"/>
    <n v="9663"/>
    <d v="2020-10-09T00:00:00"/>
    <n v="1187"/>
    <n v="307084"/>
    <s v="Service Call"/>
    <n v="0"/>
    <n v="9620000399"/>
  </r>
  <r>
    <x v="82"/>
    <s v="Jones Enterprises_WMF_9620000399_Recon.xlsx"/>
    <n v="9665"/>
    <d v="2020-10-09T00:00:00"/>
    <n v="348.45"/>
    <n v="310588"/>
    <s v="Service Call"/>
    <n v="0"/>
    <n v="9620000399"/>
  </r>
  <r>
    <x v="82"/>
    <s v="Jones Enterprises_WMF_9620000399_Recon.xlsx"/>
    <n v="9667"/>
    <d v="2020-10-12T00:00:00"/>
    <n v="383.75"/>
    <n v="311880"/>
    <s v="Service Call"/>
    <n v="0"/>
    <n v="9620000399"/>
  </r>
  <r>
    <x v="82"/>
    <s v="Jones Enterprises_WMF_9620000399_Recon.xlsx"/>
    <n v="9669"/>
    <d v="2020-10-12T00:00:00"/>
    <n v="200"/>
    <n v="310576"/>
    <s v="Service Call"/>
    <n v="0"/>
    <n v="9620000399"/>
  </r>
  <r>
    <x v="82"/>
    <s v="Jones Enterprises_WMF_9620000399_Recon.xlsx"/>
    <n v="9670"/>
    <d v="2020-10-12T00:00:00"/>
    <n v="258.75"/>
    <n v="311928"/>
    <s v="Service Call"/>
    <n v="0"/>
    <n v="9620000399"/>
  </r>
  <r>
    <x v="82"/>
    <s v="Jones Enterprises_WMF_9620000399_Recon.xlsx"/>
    <n v="9757"/>
    <d v="2020-11-15T00:00:00"/>
    <n v="497.95"/>
    <n v="316503"/>
    <s v="Service Call"/>
    <n v="0"/>
    <n v="9620000399"/>
  </r>
  <r>
    <x v="82"/>
    <s v="Jones Enterprises_WMF_9620000399_Recon.xlsx"/>
    <n v="9828"/>
    <d v="2020-12-21T00:00:00"/>
    <n v="828.29"/>
    <n v="316903"/>
    <s v="Service Call"/>
    <n v="0"/>
    <n v="9620000399"/>
  </r>
  <r>
    <x v="82"/>
    <s v="Jones Enterprises_WMF_9620000399_Recon.xlsx"/>
    <n v="9842"/>
    <d v="2020-12-21T00:00:00"/>
    <n v="760.6"/>
    <n v="326803"/>
    <s v="Service Call"/>
    <n v="0"/>
    <n v="9620000399"/>
  </r>
  <r>
    <x v="82"/>
    <s v="Jones Enterprises_WMF_9620000399_Recon.xlsx"/>
    <n v="10176"/>
    <d v="2021-05-18T00:00:00"/>
    <n v="532.79999999999995"/>
    <n v="0"/>
    <s v="TBD"/>
    <n v="0"/>
    <n v="9620000399"/>
  </r>
  <r>
    <x v="82"/>
    <s v="Jones Enterprises_WMF_9620000399_Recon.xlsx"/>
    <n v="10177"/>
    <d v="2021-05-18T00:00:00"/>
    <n v="311.95"/>
    <n v="0"/>
    <s v="TBD"/>
    <n v="0"/>
    <n v="9620000399"/>
  </r>
  <r>
    <x v="82"/>
    <s v="Jones Enterprises_WMF_9620000399_Recon.xlsx"/>
    <n v="10178"/>
    <d v="2021-05-18T00:00:00"/>
    <n v="568.57000000000005"/>
    <n v="0"/>
    <s v="TBD"/>
    <n v="0"/>
    <n v="9620000399"/>
  </r>
  <r>
    <x v="82"/>
    <s v="Jones Enterprises_WMF_9620000399_Recon.xlsx"/>
    <n v="10185"/>
    <d v="2021-05-23T00:00:00"/>
    <n v="464.59"/>
    <n v="0"/>
    <s v="TBD"/>
    <n v="0"/>
    <n v="9620000399"/>
  </r>
  <r>
    <x v="82"/>
    <s v="Jones Enterprises_WMF_9620000399_Recon.xlsx"/>
    <n v="10186"/>
    <d v="2021-05-23T00:00:00"/>
    <n v="448.75"/>
    <n v="0"/>
    <s v="TBD"/>
    <n v="0"/>
    <n v="9620000399"/>
  </r>
  <r>
    <x v="82"/>
    <s v="Jones Enterprises_WMF_9620000399_Recon.xlsx"/>
    <n v="10193"/>
    <d v="2021-05-25T00:00:00"/>
    <n v="525"/>
    <n v="0"/>
    <s v="TBD"/>
    <n v="0"/>
    <n v="9620000399"/>
  </r>
  <r>
    <x v="82"/>
    <s v="Jones Enterprises_WMF_9620000399_Recon.xlsx"/>
    <n v="10194"/>
    <d v="2021-05-25T00:00:00"/>
    <n v="631"/>
    <n v="0"/>
    <s v="TBD"/>
    <n v="0"/>
    <n v="9620000399"/>
  </r>
  <r>
    <x v="82"/>
    <s v="Jones Enterprises_WMF_9620000399_Recon.xlsx"/>
    <n v="10195"/>
    <d v="2021-05-25T00:00:00"/>
    <n v="308.99"/>
    <n v="0"/>
    <s v="TBD"/>
    <n v="0"/>
    <n v="9620000399"/>
  </r>
  <r>
    <x v="82"/>
    <s v="Jones Enterprises_WMF_9620000399_Recon.xlsx"/>
    <n v="10216"/>
    <d v="2021-06-07T00:00:00"/>
    <n v="866.66"/>
    <n v="0"/>
    <s v="TBD"/>
    <n v="0"/>
    <n v="9620000399"/>
  </r>
  <r>
    <x v="82"/>
    <s v="Jones Enterprises_WMF_9620000399_Recon.xlsx"/>
    <n v="10217"/>
    <d v="2021-06-07T00:00:00"/>
    <n v="520.59"/>
    <n v="0"/>
    <s v="TBD"/>
    <n v="0"/>
    <n v="9620000399"/>
  </r>
  <r>
    <x v="82"/>
    <s v="Jones Enterprises_WMF_9620000399_Recon.xlsx"/>
    <n v="10218"/>
    <d v="2021-06-07T00:00:00"/>
    <n v="551.75"/>
    <n v="0"/>
    <s v="TBD"/>
    <n v="0"/>
    <n v="9620000399"/>
  </r>
  <r>
    <x v="82"/>
    <s v="Jones Enterprises_WMF_9620000399_Recon.xlsx"/>
    <n v="10219"/>
    <d v="2021-06-07T00:00:00"/>
    <n v="452.39"/>
    <n v="0"/>
    <s v="TBD"/>
    <n v="0"/>
    <n v="9620000399"/>
  </r>
  <r>
    <x v="82"/>
    <s v="Jones Enterprises_WMF_9620000399_Recon.xlsx"/>
    <n v="10220"/>
    <d v="2021-06-07T00:00:00"/>
    <n v="455.47"/>
    <n v="0"/>
    <s v="TBD"/>
    <n v="0"/>
    <n v="9620000399"/>
  </r>
  <r>
    <x v="82"/>
    <s v="Jones Enterprises_WMF_9620000399_Recon.xlsx"/>
    <n v="10221"/>
    <d v="2021-06-07T00:00:00"/>
    <n v="300"/>
    <n v="0"/>
    <s v="TBD"/>
    <n v="0"/>
    <n v="9620000399"/>
  </r>
  <r>
    <x v="82"/>
    <s v="Jones Enterprises_WMF_9620000399_Recon.xlsx"/>
    <n v="10222"/>
    <d v="2021-06-07T00:00:00"/>
    <n v="255.51"/>
    <n v="0"/>
    <s v="TBD"/>
    <n v="0"/>
    <n v="9620000399"/>
  </r>
  <r>
    <x v="82"/>
    <s v="Jones Enterprises_WMF_9620000399_Recon.xlsx"/>
    <n v="10223"/>
    <d v="2021-06-07T00:00:00"/>
    <n v="793.12"/>
    <n v="0"/>
    <s v="TBD"/>
    <n v="0"/>
    <n v="9620000399"/>
  </r>
  <r>
    <x v="82"/>
    <s v="Jones Enterprises_WMF_9620000399_Recon.xlsx"/>
    <n v="10224"/>
    <d v="2021-06-07T00:00:00"/>
    <n v="200"/>
    <n v="0"/>
    <s v="TBD"/>
    <n v="0"/>
    <n v="9620000399"/>
  </r>
  <r>
    <x v="82"/>
    <s v="Jones Enterprises_WMF_9620000399_Recon.xlsx"/>
    <n v="10225"/>
    <d v="2021-06-07T00:00:00"/>
    <n v="1348.78"/>
    <n v="0"/>
    <s v="TBD"/>
    <n v="0"/>
    <n v="9620000399"/>
  </r>
  <r>
    <x v="82"/>
    <s v="Jones Enterprises_WMF_9620000399_Recon.xlsx"/>
    <n v="10226"/>
    <d v="2021-06-07T00:00:00"/>
    <n v="1001.67"/>
    <n v="0"/>
    <s v="TBD"/>
    <n v="0"/>
    <n v="9620000399"/>
  </r>
  <r>
    <x v="82"/>
    <s v="Jones Enterprises_WMF_9620000399_Recon.xlsx"/>
    <n v="10227"/>
    <d v="2021-06-07T00:00:00"/>
    <n v="250"/>
    <n v="0"/>
    <s v="TBD"/>
    <n v="0"/>
    <n v="9620000399"/>
  </r>
  <r>
    <x v="82"/>
    <s v="Jones Enterprises_WMF_9620000399_Recon.xlsx"/>
    <n v="10228"/>
    <d v="2021-06-09T00:00:00"/>
    <n v="1073.21"/>
    <n v="0"/>
    <s v="TBD"/>
    <n v="0"/>
    <n v="9620000399"/>
  </r>
  <r>
    <x v="82"/>
    <s v="Jones Enterprises_WMF_9620000399_Recon.xlsx"/>
    <n v="10229"/>
    <d v="2021-06-09T00:00:00"/>
    <n v="1220.83"/>
    <n v="0"/>
    <s v="TBD"/>
    <n v="0"/>
    <n v="9620000399"/>
  </r>
  <r>
    <x v="82"/>
    <s v="Jones Enterprises_WMF_9620000399_Recon.xlsx"/>
    <n v="10230"/>
    <d v="2021-06-09T00:00:00"/>
    <n v="247.69"/>
    <n v="0"/>
    <s v="TBD"/>
    <n v="0"/>
    <n v="9620000399"/>
  </r>
  <r>
    <x v="82"/>
    <s v="Jones Enterprises_WMF_9620000399_Recon.xlsx"/>
    <n v="10231"/>
    <d v="2021-06-09T00:00:00"/>
    <n v="350"/>
    <n v="0"/>
    <s v="TBD"/>
    <n v="0"/>
    <n v="9620000399"/>
  </r>
  <r>
    <x v="82"/>
    <s v="Jones Enterprises_WMF_9620000399_Recon.xlsx"/>
    <n v="10243"/>
    <d v="2021-06-11T00:00:00"/>
    <n v="275"/>
    <n v="0"/>
    <s v="TBD"/>
    <n v="0"/>
    <n v="9620000399"/>
  </r>
  <r>
    <x v="82"/>
    <s v="Jones Enterprises_WMF_9620000399_Recon.xlsx"/>
    <n v="10244"/>
    <d v="2021-06-11T00:00:00"/>
    <n v="275"/>
    <n v="0"/>
    <s v="TBD"/>
    <n v="0"/>
    <n v="9620000399"/>
  </r>
  <r>
    <x v="82"/>
    <s v="Jones Enterprises_WMF_9620000399_Recon.xlsx"/>
    <n v="10245"/>
    <d v="2021-06-11T00:00:00"/>
    <n v="275"/>
    <n v="0"/>
    <s v="TBD"/>
    <n v="0"/>
    <n v="9620000399"/>
  </r>
  <r>
    <x v="82"/>
    <s v="Jones Enterprises_WMF_9620000399_Recon.xlsx"/>
    <n v="10246"/>
    <d v="2021-06-11T00:00:00"/>
    <n v="275"/>
    <n v="0"/>
    <s v="TBD"/>
    <n v="0"/>
    <n v="9620000399"/>
  </r>
  <r>
    <x v="82"/>
    <s v="Jones Enterprises_WMF_9620000399_Recon.xlsx"/>
    <n v="10247"/>
    <d v="2021-06-11T00:00:00"/>
    <n v="275"/>
    <n v="0"/>
    <s v="TBD"/>
    <n v="0"/>
    <n v="9620000399"/>
  </r>
  <r>
    <x v="82"/>
    <s v="Jones Enterprises_WMF_9620000399_Recon.xlsx"/>
    <n v="10248"/>
    <d v="2021-06-11T00:00:00"/>
    <n v="476.39"/>
    <n v="0"/>
    <s v="TBD"/>
    <n v="0"/>
    <n v="9620000399"/>
  </r>
  <r>
    <x v="82"/>
    <s v="Jones Enterprises_WMF_9620000399_Recon.xlsx"/>
    <n v="10249"/>
    <d v="2021-06-11T00:00:00"/>
    <n v="200"/>
    <n v="0"/>
    <s v="TBD"/>
    <n v="0"/>
    <n v="9620000399"/>
  </r>
  <r>
    <x v="82"/>
    <s v="Jones Enterprises_WMF_9620000399_Recon.xlsx"/>
    <n v="10250"/>
    <d v="2021-06-11T00:00:00"/>
    <n v="767.35"/>
    <n v="0"/>
    <s v="TBD"/>
    <n v="0"/>
    <n v="9620000399"/>
  </r>
  <r>
    <x v="82"/>
    <s v="Jones Enterprises_WMF_9620000399_Recon.xlsx"/>
    <n v="9984"/>
    <d v="2021-03-02T00:00:00"/>
    <n v="885.56"/>
    <n v="0"/>
    <s v="TBD"/>
    <n v="0"/>
    <n v="9620000399"/>
  </r>
  <r>
    <x v="82"/>
    <s v="Jones Enterprises_WMF_9620000399_Recon.xlsx"/>
    <n v="9985"/>
    <d v="2021-03-02T00:00:00"/>
    <n v="1072.3699999999999"/>
    <n v="0"/>
    <s v="TBD"/>
    <n v="0"/>
    <n v="9620000399"/>
  </r>
  <r>
    <x v="82"/>
    <s v="Jones Enterprises_WMF_9620000399_Recon.xlsx"/>
    <n v="10031"/>
    <d v="2021-03-11T00:00:00"/>
    <n v="566.01"/>
    <n v="0"/>
    <s v="TBD"/>
    <n v="0"/>
    <n v="9620000399"/>
  </r>
  <r>
    <x v="82"/>
    <s v="Jones Enterprises_WMF_9620000399_Recon.xlsx"/>
    <n v="10039"/>
    <d v="2021-03-18T00:00:00"/>
    <n v="507.14"/>
    <n v="0"/>
    <s v="TBD"/>
    <n v="0"/>
    <n v="9620000399"/>
  </r>
  <r>
    <x v="82"/>
    <s v="Jones Enterprises_WMF_9620000399_Recon.xlsx"/>
    <n v="10056"/>
    <d v="2021-03-24T00:00:00"/>
    <n v="1431.18"/>
    <n v="0"/>
    <s v="TBD"/>
    <n v="0"/>
    <n v="9620000399"/>
  </r>
  <r>
    <x v="82"/>
    <s v="Jones Enterprises_WMF_9620000399_Recon.xlsx"/>
    <n v="10076"/>
    <d v="2021-04-05T00:00:00"/>
    <n v="298.94"/>
    <n v="0"/>
    <s v="TBD"/>
    <n v="0"/>
    <n v="9620000399"/>
  </r>
  <r>
    <x v="82"/>
    <s v="Jones Enterprises_WMF_9620000399_Recon.xlsx"/>
    <n v="10156"/>
    <d v="2021-05-10T00:00:00"/>
    <n v="436.54"/>
    <n v="0"/>
    <s v="TBD"/>
    <n v="0"/>
    <n v="9620000399"/>
  </r>
  <r>
    <x v="83"/>
    <s v="K &amp; B Beverage_9620000403_RECON.xlsx"/>
    <n v="7162"/>
    <d v="2020-11-04T00:00:00"/>
    <n v="135"/>
    <n v="0"/>
    <s v="Service Call"/>
    <s v="DNP"/>
    <n v="9620000403"/>
  </r>
  <r>
    <x v="83"/>
    <s v="K &amp; B Beverage_9620000403_RECON.xlsx"/>
    <n v="7384"/>
    <d v="2021-02-12T00:00:00"/>
    <n v="170"/>
    <n v="0"/>
    <s v="TBD"/>
    <s v="Invoice Requires Further Research"/>
    <n v="9620000403"/>
  </r>
  <r>
    <x v="83"/>
    <s v="K &amp; B Beverage_9620000403_RECON.xlsx"/>
    <n v="7387"/>
    <d v="2021-02-15T00:00:00"/>
    <n v="205"/>
    <n v="346853"/>
    <s v="Service Call"/>
    <s v="DNP"/>
    <n v="9620000403"/>
  </r>
  <r>
    <x v="83"/>
    <s v="K &amp; B Beverage_9620000403_RECON.xlsx"/>
    <n v="7841"/>
    <d v="2021-05-26T00:00:00"/>
    <n v="580"/>
    <n v="0"/>
    <s v="TBD"/>
    <n v="0"/>
    <n v="9620000403"/>
  </r>
  <r>
    <x v="83"/>
    <s v="K &amp; B Beverage_9620000403_RECON.xlsx"/>
    <n v="7646"/>
    <d v="2021-05-27T00:00:00"/>
    <n v="672.5"/>
    <n v="0"/>
    <s v="TBD"/>
    <n v="0"/>
    <n v="9620000403"/>
  </r>
  <r>
    <x v="83"/>
    <s v="K &amp; B Beverage_9620000403_RECON.xlsx"/>
    <n v="7845"/>
    <d v="2021-06-10T00:00:00"/>
    <n v="240"/>
    <n v="0"/>
    <s v="TBD"/>
    <n v="0"/>
    <n v="9620000403"/>
  </r>
  <r>
    <x v="84"/>
    <s v="K &amp; G Equipment Service_9620000405_RECON.xlsx"/>
    <n v="20827"/>
    <d v="2020-10-17T00:00:00"/>
    <n v="475.74"/>
    <n v="314115"/>
    <s v="Service Call"/>
    <s v="Invoice requires further research - In File - Asset # does not match"/>
    <n v="9620000405"/>
  </r>
  <r>
    <x v="84"/>
    <s v="K &amp; G Equipment Service_9620000405_RECON.xlsx"/>
    <n v="20828"/>
    <d v="2020-10-17T00:00:00"/>
    <n v="118.28"/>
    <n v="314117"/>
    <s v="Service Call"/>
    <s v="Invoice requires further research - In File - Asset # does not match"/>
    <n v="9620000405"/>
  </r>
  <r>
    <x v="84"/>
    <s v="K &amp; G Equipment Service_9620000405_RECON.xlsx"/>
    <n v="20940"/>
    <d v="2020-11-28T00:00:00"/>
    <n v="180"/>
    <n v="302417"/>
    <s v="Service Call"/>
    <s v="Invoice requires further research - In File"/>
    <n v="9620000405"/>
  </r>
  <r>
    <x v="84"/>
    <s v="K &amp; G Equipment Service_9620000405_RECON.xlsx"/>
    <n v="20941"/>
    <d v="2020-11-28T00:00:00"/>
    <n v="60"/>
    <n v="320418"/>
    <s v="Service Call"/>
    <s v="Invoice requires further research - In File"/>
    <n v="9620000405"/>
  </r>
  <r>
    <x v="84"/>
    <s v="K &amp; G Equipment Service_9620000405_RECON.xlsx"/>
    <n v="201009"/>
    <d v="2020-12-19T00:00:00"/>
    <n v="275"/>
    <n v="206794"/>
    <s v="PM"/>
    <s v="Invoice requires further research - In File"/>
    <n v="9620000405"/>
  </r>
  <r>
    <x v="84"/>
    <s v="K &amp; G Equipment Service_9620000405_RECON.xlsx"/>
    <n v="21021"/>
    <d v="2021-01-09T00:00:00"/>
    <n v="275"/>
    <n v="203106"/>
    <s v="PM"/>
    <s v="Invoice requires further research - In File"/>
    <n v="9620000405"/>
  </r>
  <r>
    <x v="84"/>
    <s v="K &amp; G Equipment Service_9620000405_RECON.xlsx"/>
    <n v="21028"/>
    <d v="2021-01-16T00:00:00"/>
    <n v="459.57"/>
    <n v="343438"/>
    <s v="Service Call"/>
    <s v="Invoice requires further research - In File"/>
    <n v="9620000405"/>
  </r>
  <r>
    <x v="84"/>
    <s v="K &amp; G Equipment Service_9620000405_RECON.xlsx"/>
    <n v="21031"/>
    <d v="2021-01-16T00:00:00"/>
    <n v="92.64"/>
    <n v="343365"/>
    <s v="Service Call"/>
    <s v="Invoice requires further research - In File"/>
    <n v="9620000405"/>
  </r>
  <r>
    <x v="84"/>
    <s v="K &amp; G Equipment Service_9620000405_RECON.xlsx"/>
    <n v="21034"/>
    <d v="2021-01-16T00:00:00"/>
    <n v="195"/>
    <n v="343686"/>
    <s v="Service Call"/>
    <s v="Invoice requires further research - need invoice"/>
    <n v="9620000405"/>
  </r>
  <r>
    <x v="84"/>
    <s v="K &amp; G Equipment Service_9620000405_RECON.xlsx"/>
    <n v="21096"/>
    <d v="2021-02-15T00:00:00"/>
    <n v="395"/>
    <n v="189387"/>
    <s v="PM"/>
    <s v="Invoice requires further research - need invoice"/>
    <n v="9620000405"/>
  </r>
  <r>
    <x v="84"/>
    <s v="K &amp; G Equipment Service_9620000405_RECON.xlsx"/>
    <n v="21192"/>
    <d v="2021-03-31T00:00:00"/>
    <n v="275"/>
    <n v="208447"/>
    <s v="PM"/>
    <s v="Need invoice and work order.  (Wrong invoice filed in Salesforce)"/>
    <n v="9620000405"/>
  </r>
  <r>
    <x v="84"/>
    <s v="K &amp; G Equipment Service_9620000405_RECON.xlsx"/>
    <n v="21249"/>
    <d v="2021-04-24T00:00:00"/>
    <n v="328.2"/>
    <n v="367678"/>
    <s v="Service Call"/>
    <s v="need invoice"/>
    <n v="9620000405"/>
  </r>
  <r>
    <x v="84"/>
    <s v="K &amp; G Equipment Service_9620000405_RECON.xlsx"/>
    <n v="21261"/>
    <d v="2021-04-30T00:00:00"/>
    <n v="305"/>
    <n v="123143"/>
    <s v="PM"/>
    <s v="In file"/>
    <n v="9620000405"/>
  </r>
  <r>
    <x v="84"/>
    <s v="K &amp; G Equipment Service_9620000405_RECON.xlsx"/>
    <n v="21290"/>
    <d v="2021-05-15T00:00:00"/>
    <n v="275"/>
    <n v="169015"/>
    <s v="PM"/>
    <s v="need invoice"/>
    <n v="9620000405"/>
  </r>
  <r>
    <x v="84"/>
    <s v="K &amp; G Equipment Service_9620000405_RECON.xlsx"/>
    <n v="21299"/>
    <d v="2021-05-22T00:00:00"/>
    <n v="298.2"/>
    <n v="376506"/>
    <s v="Service Call"/>
    <s v="In file"/>
    <n v="9620000405"/>
  </r>
  <r>
    <x v="84"/>
    <s v="K &amp; G Equipment Service_9620000405_RECON.xlsx"/>
    <n v="21310"/>
    <d v="2021-05-22T00:00:00"/>
    <n v="233.44"/>
    <n v="375417"/>
    <s v="Service Call"/>
    <s v="In file"/>
    <n v="9620000405"/>
  </r>
  <r>
    <x v="84"/>
    <s v="K &amp; G Equipment Service_9620000405_RECON.xlsx"/>
    <n v="21320"/>
    <d v="2021-05-29T00:00:00"/>
    <n v="165"/>
    <n v="377837"/>
    <s v="Service Call"/>
    <s v="In file"/>
    <n v="9620000405"/>
  </r>
  <r>
    <x v="84"/>
    <s v="K &amp; G Equipment Service_9620000405_RECON.xlsx"/>
    <n v="21321"/>
    <d v="2021-05-29T00:00:00"/>
    <n v="453.44"/>
    <n v="377836"/>
    <s v="Service Call"/>
    <s v="In file"/>
    <n v="9620000405"/>
  </r>
  <r>
    <x v="84"/>
    <s v="K &amp; G Equipment Service_9620000405_RECON.xlsx"/>
    <n v="21322"/>
    <d v="2021-05-29T00:00:00"/>
    <n v="482.04"/>
    <n v="209679"/>
    <s v="PM"/>
    <s v="In file"/>
    <n v="9620000405"/>
  </r>
  <r>
    <x v="84"/>
    <s v="K &amp; G Equipment Service_9620000405_RECON.xlsx"/>
    <n v="21333"/>
    <d v="2021-05-29T00:00:00"/>
    <n v="300"/>
    <n v="377709"/>
    <s v="Service Call"/>
    <s v="need invoice"/>
    <n v="9620000405"/>
  </r>
  <r>
    <x v="85"/>
    <s v="KD Service Group_9620000835, 9620000409, 9620000836_RECON.xlsx"/>
    <n v="1012212"/>
    <d v="2020-09-14T00:00:00"/>
    <n v="227.5"/>
    <s v="147251-2354"/>
    <s v="Service Call"/>
    <s v="What is our next step to resolve this? Have we requested case?"/>
    <n v="9620000835"/>
  </r>
  <r>
    <x v="85"/>
    <s v="KD Service Group_9620000835, 9620000409, 9620000836_RECON.xlsx"/>
    <n v="1012211"/>
    <d v="2020-09-14T00:00:00"/>
    <n v="350"/>
    <s v="147251-2346"/>
    <s v="Service Call"/>
    <s v="Did we receive? Yes"/>
    <n v="9620000835"/>
  </r>
  <r>
    <x v="85"/>
    <s v="KD Service Group_9620000835, 9620000409, 9620000836_RECON.xlsx"/>
    <n v="1012210"/>
    <d v="2020-09-14T00:00:00"/>
    <n v="157.5"/>
    <s v="147251-5940"/>
    <s v="Service Call"/>
    <s v="Did we receive? Yes"/>
    <n v="9620000835"/>
  </r>
  <r>
    <x v="85"/>
    <s v="KD Service Group_9620000835, 9620000409, 9620000836_RECON.xlsx"/>
    <n v="1015816"/>
    <d v="2021-02-01T00:00:00"/>
    <n v="188.78"/>
    <n v="291540"/>
    <s v="PM"/>
    <s v="was this invoice denied or does PM team need to fix this?"/>
    <n v="9620000835"/>
  </r>
  <r>
    <x v="85"/>
    <s v="KD Service Group_9620000835, 9620000409, 9620000836_RECON.xlsx"/>
    <n v="1015814"/>
    <d v="2021-02-01T00:00:00"/>
    <n v="188.78"/>
    <n v="291546"/>
    <s v="PM"/>
    <s v="was this invoice denied or does PM team need to fix this?"/>
    <n v="9620000835"/>
  </r>
  <r>
    <x v="85"/>
    <s v="KD Service Group_9620000835, 9620000409, 9620000836_RECON.xlsx"/>
    <n v="1016948"/>
    <d v="2021-03-09T00:00:00"/>
    <n v="728.15"/>
    <n v="222988"/>
    <s v="PM"/>
    <s v="Paid"/>
    <n v="9620000835"/>
  </r>
  <r>
    <x v="85"/>
    <s v="KD Service Group_9620000835, 9620000409, 9620000836_RECON.xlsx"/>
    <n v="1017891"/>
    <d v="2021-03-30T00:00:00"/>
    <n v="579.83000000000004"/>
    <s v="R8334942"/>
    <s v="Service Call"/>
    <s v="Did we receive?"/>
    <n v="9620000835"/>
  </r>
  <r>
    <x v="85"/>
    <s v="KD Service Group_9620000835, 9620000409, 9620000836_RECON.xlsx"/>
    <n v="1018200"/>
    <d v="2021-04-09T00:00:00"/>
    <n v="436.14"/>
    <n v="4500491186"/>
    <s v="Install"/>
    <n v="0"/>
    <n v="9620000835"/>
  </r>
  <r>
    <x v="85"/>
    <s v="KD Service Group_9620000835, 9620000409, 9620000836_RECON.xlsx"/>
    <n v="1019116"/>
    <d v="2021-05-19T00:00:00"/>
    <n v="868.4"/>
    <n v="679971"/>
    <s v="TBD"/>
    <n v="0"/>
    <n v="9620000835"/>
  </r>
  <r>
    <x v="85"/>
    <s v="KD Service Group_9620000835, 9620000409, 9620000836_RECON.xlsx"/>
    <n v="1019267"/>
    <d v="2021-05-25T00:00:00"/>
    <n v="385.39"/>
    <n v="208698"/>
    <s v="TBD"/>
    <s v="(SF) Per vendor: C1001692 ? is the credit invoice for the original invoice 1014859 -  not an open credit."/>
    <n v="9620000835"/>
  </r>
  <r>
    <x v="85"/>
    <s v="KD Service Group_9620000835, 9620000409, 9620000836_RECON.xlsx"/>
    <n v="1019266"/>
    <d v="2021-05-25T00:00:00"/>
    <n v="296.64999999999998"/>
    <n v="208698"/>
    <s v="TBD"/>
    <s v="(SF) Per vendor: C1001692 ? is the credit invoice for the original invoice 1014859 -  not an open credit."/>
    <n v="9620000835"/>
  </r>
  <r>
    <x v="86"/>
    <s v="Keep It Brewing_9620000410_RECON.xlsx"/>
    <n v="15511"/>
    <d v="2020-11-30T00:00:00"/>
    <n v="258.5"/>
    <n v="0"/>
    <s v="TBD"/>
    <n v="0"/>
    <n v="9620000410"/>
  </r>
  <r>
    <x v="86"/>
    <s v="Keep It Brewing_9620000410_RECON.xlsx"/>
    <n v="15526"/>
    <d v="2020-12-04T00:00:00"/>
    <n v="744.78"/>
    <n v="0"/>
    <s v="TBD"/>
    <n v="0"/>
    <n v="9620000410"/>
  </r>
  <r>
    <x v="86"/>
    <s v="Keep It Brewing_9620000410_RECON.xlsx"/>
    <n v="15583"/>
    <d v="2021-01-08T00:00:00"/>
    <n v="426"/>
    <n v="0"/>
    <s v="TBD"/>
    <n v="0"/>
    <n v="9620000410"/>
  </r>
  <r>
    <x v="86"/>
    <s v="Keep It Brewing_9620000410_RECON.xlsx"/>
    <n v="15781"/>
    <d v="2021-03-24T00:00:00"/>
    <n v="429.14"/>
    <n v="0"/>
    <s v="TBD"/>
    <n v="0"/>
    <n v="9620000410"/>
  </r>
  <r>
    <x v="87"/>
    <s v="Kens Beverage_9620000837, 9620000838, 9620000414_RECON.xlsx"/>
    <n v="2265372"/>
    <d v="2020-03-24T00:00:00"/>
    <n v="186.81"/>
    <s v="Dawn will process"/>
    <s v="TBD"/>
    <n v="0"/>
    <n v="9620000414"/>
  </r>
  <r>
    <x v="87"/>
    <s v="Kens Beverage_9620000837, 9620000838, 9620000414_RECON.xlsx"/>
    <n v="2265390"/>
    <d v="2020-03-11T00:00:00"/>
    <n v="187.69"/>
    <s v="Dawn will process"/>
    <s v="TBD"/>
    <n v="0"/>
    <n v="9620000414"/>
  </r>
  <r>
    <x v="87"/>
    <s v="Kens Beverage_9620000837, 9620000838, 9620000414_RECON.xlsx"/>
    <n v="2265401"/>
    <d v="2020-07-24T00:00:00"/>
    <n v="175"/>
    <s v="Dawn will process"/>
    <s v="TBD"/>
    <n v="0"/>
    <n v="9620000414"/>
  </r>
  <r>
    <x v="87"/>
    <s v="Kens Beverage_9620000837, 9620000838, 9620000414_RECON.xlsx"/>
    <n v="2265412"/>
    <d v="2020-03-17T00:00:00"/>
    <n v="320.25"/>
    <s v="Dawn will process"/>
    <s v="TBD"/>
    <n v="0"/>
    <n v="9620000414"/>
  </r>
  <r>
    <x v="87"/>
    <s v="Kens Beverage_9620000837, 9620000838, 9620000414_RECON.xlsx"/>
    <n v="2265416"/>
    <d v="2020-03-25T00:00:00"/>
    <n v="187.69"/>
    <s v="Dawn will process"/>
    <s v="TBD"/>
    <n v="0"/>
    <n v="9620000414"/>
  </r>
  <r>
    <x v="87"/>
    <s v="Kens Beverage_9620000837, 9620000838, 9620000414_RECON.xlsx"/>
    <n v="2265427"/>
    <d v="2020-03-09T00:00:00"/>
    <n v="175"/>
    <s v="Dawn will process"/>
    <s v="TBD"/>
    <n v="0"/>
    <n v="9620000414"/>
  </r>
  <r>
    <x v="87"/>
    <s v="Kens Beverage_9620000837, 9620000838, 9620000414_RECON.xlsx"/>
    <n v="2265437"/>
    <d v="2020-07-27T00:00:00"/>
    <n v="192.15"/>
    <n v="0"/>
    <s v="TBD"/>
    <n v="0"/>
    <n v="9620000414"/>
  </r>
  <r>
    <x v="87"/>
    <s v="Kens Beverage_9620000837, 9620000838, 9620000414_RECON.xlsx"/>
    <n v="2265446"/>
    <d v="2020-03-09T00:00:00"/>
    <n v="175"/>
    <s v="Dawn will process"/>
    <s v="TBD"/>
    <n v="0"/>
    <n v="9620000414"/>
  </r>
  <r>
    <x v="87"/>
    <s v="Kens Beverage_9620000837, 9620000838, 9620000414_RECON.xlsx"/>
    <n v="2265488"/>
    <d v="2020-03-10T00:00:00"/>
    <n v="187.69"/>
    <s v="Dawn will process"/>
    <s v="TBD"/>
    <n v="0"/>
    <n v="9620000414"/>
  </r>
  <r>
    <x v="87"/>
    <s v="Kens Beverage_9620000837, 9620000838, 9620000414_RECON.xlsx"/>
    <n v="2265506"/>
    <d v="2020-03-10T00:00:00"/>
    <n v="175"/>
    <s v="Dawn will process"/>
    <s v="TBD"/>
    <n v="0"/>
    <n v="9620000414"/>
  </r>
  <r>
    <x v="87"/>
    <s v="Kens Beverage_9620000837, 9620000838, 9620000414_RECON.xlsx"/>
    <n v="2265507"/>
    <d v="2020-03-10T00:00:00"/>
    <n v="175"/>
    <s v="Dawn will process"/>
    <s v="TBD"/>
    <n v="0"/>
    <n v="9620000414"/>
  </r>
  <r>
    <x v="87"/>
    <s v="Kens Beverage_9620000837, 9620000838, 9620000414_RECON.xlsx"/>
    <n v="2265517"/>
    <d v="2020-04-16T00:00:00"/>
    <n v="96.08"/>
    <s v="Dawn will process"/>
    <s v="TBD"/>
    <n v="0"/>
    <n v="9620000414"/>
  </r>
  <r>
    <x v="87"/>
    <s v="Kens Beverage_9620000837, 9620000838, 9620000414_RECON.xlsx"/>
    <n v="2265531"/>
    <d v="2020-04-24T00:00:00"/>
    <n v="325.58999999999997"/>
    <n v="0"/>
    <s v="TBD"/>
    <s v="Missing invoice"/>
    <n v="9620000414"/>
  </r>
  <r>
    <x v="87"/>
    <s v="Kens Beverage_9620000837, 9620000838, 9620000414_RECON.xlsx"/>
    <n v="2265532"/>
    <d v="2020-03-17T00:00:00"/>
    <n v="186.81"/>
    <n v="0"/>
    <s v="TBD"/>
    <s v="Missing Invoice"/>
    <n v="9620000414"/>
  </r>
  <r>
    <x v="87"/>
    <s v="Kens Beverage_9620000837, 9620000838, 9620000414_RECON.xlsx"/>
    <n v="2265539"/>
    <d v="2020-03-25T00:00:00"/>
    <n v="187.69"/>
    <s v="Dawn will process"/>
    <s v="TBD"/>
    <n v="0"/>
    <n v="9620000414"/>
  </r>
  <r>
    <x v="87"/>
    <s v="Kens Beverage_9620000837, 9620000838, 9620000414_RECON.xlsx"/>
    <n v="2265540"/>
    <d v="2020-03-17T00:00:00"/>
    <n v="175"/>
    <n v="0"/>
    <s v="TBD"/>
    <s v="Missing Invoice"/>
    <n v="9620000414"/>
  </r>
  <r>
    <x v="87"/>
    <s v="Kens Beverage_9620000837, 9620000838, 9620000414_RECON.xlsx"/>
    <n v="2265550"/>
    <d v="2020-03-17T00:00:00"/>
    <n v="186.81"/>
    <n v="0"/>
    <s v="TBD"/>
    <s v="Missing Invoice"/>
    <n v="9620000414"/>
  </r>
  <r>
    <x v="87"/>
    <s v="Kens Beverage_9620000837, 9620000838, 9620000414_RECON.xlsx"/>
    <n v="2265559"/>
    <d v="2020-03-17T00:00:00"/>
    <n v="187.69"/>
    <n v="0"/>
    <s v="TBD"/>
    <s v="Missing Invoice"/>
    <n v="9620000414"/>
  </r>
  <r>
    <x v="87"/>
    <s v="Kens Beverage_9620000837, 9620000838, 9620000414_RECON.xlsx"/>
    <n v="2265566"/>
    <d v="2020-03-17T00:00:00"/>
    <n v="187.69"/>
    <n v="0"/>
    <s v="TBD"/>
    <s v="Missing Invoice"/>
    <n v="9620000414"/>
  </r>
  <r>
    <x v="87"/>
    <s v="Kens Beverage_9620000837, 9620000838, 9620000414_RECON.xlsx"/>
    <n v="2265621"/>
    <d v="2020-03-10T00:00:00"/>
    <n v="187.69"/>
    <s v="Dawn will process"/>
    <s v="TBD"/>
    <n v="0"/>
    <n v="9620000414"/>
  </r>
  <r>
    <x v="87"/>
    <s v="Kens Beverage_9620000837, 9620000838, 9620000414_RECON.xlsx"/>
    <n v="2265638"/>
    <d v="2020-03-27T00:00:00"/>
    <n v="325.58999999999997"/>
    <n v="0"/>
    <s v="TBD"/>
    <s v="Missing invoice"/>
    <n v="9620000414"/>
  </r>
  <r>
    <x v="87"/>
    <s v="Kens Beverage_9620000837, 9620000838, 9620000414_RECON.xlsx"/>
    <n v="2265648"/>
    <d v="2020-04-17T00:00:00"/>
    <n v="190.8"/>
    <n v="0"/>
    <s v="TBD"/>
    <s v="Missing invoice"/>
    <n v="9620000414"/>
  </r>
  <r>
    <x v="87"/>
    <s v="Kens Beverage_9620000837, 9620000838, 9620000414_RECON.xlsx"/>
    <n v="2265649"/>
    <d v="2020-03-09T00:00:00"/>
    <n v="175"/>
    <s v="Dawn will process"/>
    <s v="TBD"/>
    <n v="0"/>
    <n v="9620000414"/>
  </r>
  <r>
    <x v="87"/>
    <s v="Kens Beverage_9620000837, 9620000838, 9620000414_RECON.xlsx"/>
    <n v="2265651"/>
    <d v="2020-03-10T00:00:00"/>
    <n v="175"/>
    <s v="Dawn will process"/>
    <s v="TBD"/>
    <n v="0"/>
    <n v="9620000414"/>
  </r>
  <r>
    <x v="87"/>
    <s v="Kens Beverage_9620000837, 9620000838, 9620000414_RECON.xlsx"/>
    <n v="2265657"/>
    <d v="2020-03-20T00:00:00"/>
    <n v="175"/>
    <s v="Dawn will process"/>
    <s v="TBD"/>
    <n v="0"/>
    <n v="9620000414"/>
  </r>
  <r>
    <x v="87"/>
    <s v="Kens Beverage_9620000837, 9620000838, 9620000414_RECON.xlsx"/>
    <n v="2265659"/>
    <d v="2020-03-20T00:00:00"/>
    <n v="187.69"/>
    <s v="Dawn will process"/>
    <s v="TBD"/>
    <n v="0"/>
    <n v="9620000414"/>
  </r>
  <r>
    <x v="87"/>
    <s v="Kens Beverage_9620000837, 9620000838, 9620000414_RECON.xlsx"/>
    <n v="2265661"/>
    <d v="2020-03-09T00:00:00"/>
    <n v="175"/>
    <s v="Dawn will process"/>
    <s v="TBD"/>
    <n v="0"/>
    <n v="9620000414"/>
  </r>
  <r>
    <x v="87"/>
    <s v="Kens Beverage_9620000837, 9620000838, 9620000414_RECON.xlsx"/>
    <n v="2265662"/>
    <d v="2020-03-09T00:00:00"/>
    <n v="175"/>
    <s v="Dawn will process"/>
    <s v="TBD"/>
    <n v="0"/>
    <n v="9620000414"/>
  </r>
  <r>
    <x v="87"/>
    <s v="Kens Beverage_9620000837, 9620000838, 9620000414_RECON.xlsx"/>
    <n v="2265667"/>
    <d v="2020-03-23T00:00:00"/>
    <n v="175"/>
    <s v="Dawn will process"/>
    <s v="TBD"/>
    <n v="0"/>
    <n v="9620000414"/>
  </r>
  <r>
    <x v="87"/>
    <s v="Kens Beverage_9620000837, 9620000838, 9620000414_RECON.xlsx"/>
    <n v="2265671"/>
    <d v="2020-03-10T00:00:00"/>
    <n v="175"/>
    <s v="Dawn will process"/>
    <s v="TBD"/>
    <n v="0"/>
    <n v="9620000414"/>
  </r>
  <r>
    <x v="87"/>
    <s v="Kens Beverage_9620000837, 9620000838, 9620000414_RECON.xlsx"/>
    <n v="2265691"/>
    <d v="2020-03-25T00:00:00"/>
    <n v="187.69"/>
    <s v="Dawn will process"/>
    <s v="TBD"/>
    <n v="0"/>
    <n v="9620000414"/>
  </r>
  <r>
    <x v="87"/>
    <s v="Kens Beverage_9620000837, 9620000838, 9620000414_RECON.xlsx"/>
    <n v="2265717"/>
    <d v="2020-03-20T00:00:00"/>
    <n v="325.58999999999997"/>
    <s v="Dawn will process"/>
    <s v="TBD"/>
    <n v="0"/>
    <n v="9620000414"/>
  </r>
  <r>
    <x v="87"/>
    <s v="Kens Beverage_9620000837, 9620000838, 9620000414_RECON.xlsx"/>
    <n v="2265725"/>
    <d v="2020-03-09T00:00:00"/>
    <n v="175"/>
    <s v="Dawn will process"/>
    <s v="TBD"/>
    <n v="0"/>
    <n v="9620000414"/>
  </r>
  <r>
    <x v="87"/>
    <s v="Kens Beverage_9620000837, 9620000838, 9620000414_RECON.xlsx"/>
    <n v="2265738"/>
    <d v="2020-03-25T00:00:00"/>
    <n v="187.69"/>
    <s v="Dawn will process"/>
    <s v="TBD"/>
    <n v="0"/>
    <n v="9620000414"/>
  </r>
  <r>
    <x v="87"/>
    <s v="Kens Beverage_9620000837, 9620000838, 9620000414_RECON.xlsx"/>
    <n v="2265752"/>
    <d v="2020-03-10T00:00:00"/>
    <n v="187.69"/>
    <s v="Dawn will process"/>
    <s v="TBD"/>
    <n v="0"/>
    <n v="9620000414"/>
  </r>
  <r>
    <x v="87"/>
    <s v="Kens Beverage_9620000837, 9620000838, 9620000414_RECON.xlsx"/>
    <n v="2265755"/>
    <d v="2020-03-20T00:00:00"/>
    <n v="187.69"/>
    <s v="Dawn will process"/>
    <s v="TBD"/>
    <n v="0"/>
    <n v="9620000414"/>
  </r>
  <r>
    <x v="87"/>
    <s v="Kens Beverage_9620000837, 9620000838, 9620000414_RECON.xlsx"/>
    <n v="2265756"/>
    <d v="2020-03-20T00:00:00"/>
    <n v="175"/>
    <s v="Dawn will process"/>
    <s v="TBD"/>
    <n v="0"/>
    <n v="9620000414"/>
  </r>
  <r>
    <x v="87"/>
    <s v="Kens Beverage_9620000837, 9620000838, 9620000414_RECON.xlsx"/>
    <n v="2265762"/>
    <d v="2020-04-02T00:00:00"/>
    <n v="175"/>
    <n v="0"/>
    <s v="TBD"/>
    <s v="Missing invoice"/>
    <n v="9620000414"/>
  </r>
  <r>
    <x v="87"/>
    <s v="Kens Beverage_9620000837, 9620000838, 9620000414_RECON.xlsx"/>
    <n v="2265776"/>
    <d v="2020-03-09T00:00:00"/>
    <n v="175"/>
    <s v="Dawn will process"/>
    <s v="TBD"/>
    <n v="0"/>
    <n v="9620000414"/>
  </r>
  <r>
    <x v="87"/>
    <s v="Kens Beverage_9620000837, 9620000838, 9620000414_RECON.xlsx"/>
    <n v="2265792"/>
    <d v="2020-03-26T00:00:00"/>
    <n v="327.11"/>
    <n v="0"/>
    <s v="TBD"/>
    <s v="Missing invoice"/>
    <n v="9620000414"/>
  </r>
  <r>
    <x v="87"/>
    <s v="Kens Beverage_9620000837, 9620000838, 9620000414_RECON.xlsx"/>
    <n v="2265796"/>
    <d v="2020-03-09T00:00:00"/>
    <n v="125"/>
    <s v="Dawn will process"/>
    <s v="TBD"/>
    <n v="0"/>
    <n v="9620000414"/>
  </r>
  <r>
    <x v="87"/>
    <s v="Kens Beverage_9620000837, 9620000838, 9620000414_RECON.xlsx"/>
    <n v="2271301"/>
    <d v="2020-03-18T00:00:00"/>
    <n v="175"/>
    <s v="Dawn will process"/>
    <s v="TBD"/>
    <n v="0"/>
    <n v="9620000414"/>
  </r>
  <r>
    <x v="87"/>
    <s v="Kens Beverage_9620000837, 9620000838, 9620000414_RECON.xlsx"/>
    <n v="2278251"/>
    <s v="5/05/20 "/>
    <s v="316.41  "/>
    <n v="0"/>
    <s v="TBD"/>
    <s v="Missing invoice"/>
    <n v="9620000414"/>
  </r>
  <r>
    <x v="87"/>
    <s v="Kens Beverage_9620000837, 9620000838, 9620000414_RECON.xlsx"/>
    <n v="2281132"/>
    <d v="2020-05-28T00:00:00"/>
    <n v="525"/>
    <n v="288863"/>
    <s v="PM"/>
    <n v="0"/>
    <n v="9620000414"/>
  </r>
  <r>
    <x v="87"/>
    <s v="Kens Beverage_9620000837, 9620000838, 9620000414_RECON.xlsx"/>
    <n v="2281149"/>
    <d v="2020-05-28T00:00:00"/>
    <n v="525"/>
    <s v="257719/250863/252242"/>
    <s v="PM"/>
    <n v="0"/>
    <n v="9620000414"/>
  </r>
  <r>
    <x v="87"/>
    <s v="Kens Beverage_9620000837, 9620000838, 9620000414_RECON.xlsx"/>
    <n v="2281297"/>
    <d v="2020-06-03T00:00:00"/>
    <n v="560.44000000000005"/>
    <n v="0"/>
    <s v="TBD"/>
    <s v="Missing invoice"/>
    <n v="9620000414"/>
  </r>
  <r>
    <x v="87"/>
    <s v="Kens Beverage_9620000837, 9620000838, 9620000414_RECON.xlsx"/>
    <n v="2291681"/>
    <d v="2020-05-15T00:00:00"/>
    <n v="196.25"/>
    <n v="0"/>
    <s v="TBD"/>
    <s v="Missing invoice"/>
    <n v="9620000414"/>
  </r>
  <r>
    <x v="87"/>
    <s v="Kens Beverage_9620000837, 9620000838, 9620000414_RECON.xlsx"/>
    <n v="2351082"/>
    <d v="2020-12-01T00:00:00"/>
    <n v="525"/>
    <n v="0"/>
    <s v="TBD"/>
    <n v="0"/>
    <n v="9620000414"/>
  </r>
  <r>
    <x v="87"/>
    <s v="Kens Beverage_9620000837, 9620000838, 9620000414_RECON.xlsx"/>
    <n v="2351091"/>
    <d v="2020-12-01T00:00:00"/>
    <n v="700"/>
    <n v="0"/>
    <s v="TBD"/>
    <n v="0"/>
    <n v="9620000414"/>
  </r>
  <r>
    <x v="87"/>
    <s v="Kens Beverage_9620000837, 9620000838, 9620000414_RECON.xlsx"/>
    <n v="2351094"/>
    <d v="2020-12-01T00:00:00"/>
    <n v="525"/>
    <n v="0"/>
    <s v="TBD"/>
    <n v="0"/>
    <n v="9620000414"/>
  </r>
  <r>
    <x v="87"/>
    <s v="Kens Beverage_9620000837, 9620000838, 9620000414_RECON.xlsx"/>
    <n v="2351095"/>
    <d v="2020-12-03T00:00:00"/>
    <n v="525"/>
    <n v="0"/>
    <s v="TBD"/>
    <n v="0"/>
    <n v="9620000414"/>
  </r>
  <r>
    <x v="87"/>
    <s v="Kens Beverage_9620000837, 9620000838, 9620000414_RECON.xlsx"/>
    <n v="2351106"/>
    <d v="2020-12-03T00:00:00"/>
    <n v="525"/>
    <n v="0"/>
    <s v="TBD"/>
    <n v="0"/>
    <n v="9620000414"/>
  </r>
  <r>
    <x v="87"/>
    <s v="Kens Beverage_9620000837, 9620000838, 9620000414_RECON.xlsx"/>
    <n v="2351109"/>
    <d v="2020-12-01T00:00:00"/>
    <n v="525"/>
    <n v="0"/>
    <s v="TBD"/>
    <n v="0"/>
    <n v="9620000414"/>
  </r>
  <r>
    <x v="87"/>
    <s v="Kens Beverage_9620000837, 9620000838, 9620000414_RECON.xlsx"/>
    <n v="2351113"/>
    <d v="2020-12-30T00:00:00"/>
    <n v="85"/>
    <n v="0"/>
    <s v="TBD"/>
    <n v="0"/>
    <n v="9620000414"/>
  </r>
  <r>
    <x v="87"/>
    <s v="Kens Beverage_9620000837, 9620000838, 9620000414_RECON.xlsx"/>
    <n v="2351130"/>
    <d v="2020-12-14T00:00:00"/>
    <n v="525"/>
    <n v="0"/>
    <s v="TBD"/>
    <n v="0"/>
    <n v="9620000414"/>
  </r>
  <r>
    <x v="87"/>
    <s v="Kens Beverage_9620000837, 9620000838, 9620000414_RECON.xlsx"/>
    <n v="2351131"/>
    <d v="2020-12-30T00:00:00"/>
    <n v="85"/>
    <n v="0"/>
    <s v="TBD"/>
    <n v="0"/>
    <n v="9620000414"/>
  </r>
  <r>
    <x v="87"/>
    <s v="Kens Beverage_9620000837, 9620000838, 9620000414_RECON.xlsx"/>
    <n v="2351132"/>
    <d v="2020-12-30T00:00:00"/>
    <n v="85"/>
    <n v="0"/>
    <s v="TBD"/>
    <n v="0"/>
    <n v="9620000414"/>
  </r>
  <r>
    <x v="87"/>
    <s v="Kens Beverage_9620000837, 9620000838, 9620000414_RECON.xlsx"/>
    <n v="2351139"/>
    <d v="2020-12-29T00:00:00"/>
    <n v="525"/>
    <n v="0"/>
    <s v="TBD"/>
    <n v="0"/>
    <n v="9620000414"/>
  </r>
  <r>
    <x v="87"/>
    <s v="Kens Beverage_9620000837, 9620000838, 9620000414_RECON.xlsx"/>
    <n v="2351150"/>
    <d v="2020-12-30T00:00:00"/>
    <n v="85"/>
    <n v="0"/>
    <s v="TBD"/>
    <n v="0"/>
    <n v="9620000414"/>
  </r>
  <r>
    <x v="87"/>
    <s v="Kens Beverage_9620000837, 9620000838, 9620000414_RECON.xlsx"/>
    <n v="2351156"/>
    <d v="2020-12-10T00:00:00"/>
    <n v="350"/>
    <n v="0"/>
    <s v="TBD"/>
    <n v="0"/>
    <n v="9620000414"/>
  </r>
  <r>
    <x v="87"/>
    <s v="Kens Beverage_9620000837, 9620000838, 9620000414_RECON.xlsx"/>
    <n v="2351157"/>
    <d v="2020-12-03T00:00:00"/>
    <n v="525"/>
    <n v="0"/>
    <s v="TBD"/>
    <n v="0"/>
    <n v="9620000414"/>
  </r>
  <r>
    <x v="87"/>
    <s v="Kens Beverage_9620000837, 9620000838, 9620000414_RECON.xlsx"/>
    <n v="2351162"/>
    <d v="2020-12-30T00:00:00"/>
    <n v="85"/>
    <n v="0"/>
    <s v="TBD"/>
    <n v="0"/>
    <n v="9620000414"/>
  </r>
  <r>
    <x v="87"/>
    <s v="Kens Beverage_9620000837, 9620000838, 9620000414_RECON.xlsx"/>
    <n v="2351164"/>
    <d v="2020-12-30T00:00:00"/>
    <n v="85"/>
    <n v="0"/>
    <s v="TBD"/>
    <n v="0"/>
    <n v="9620000414"/>
  </r>
  <r>
    <x v="87"/>
    <s v="Kens Beverage_9620000837, 9620000838, 9620000414_RECON.xlsx"/>
    <n v="2351165"/>
    <d v="2020-12-02T00:00:00"/>
    <n v="525"/>
    <n v="0"/>
    <s v="TBD"/>
    <n v="0"/>
    <n v="9620000414"/>
  </r>
  <r>
    <x v="87"/>
    <s v="Kens Beverage_9620000837, 9620000838, 9620000414_RECON.xlsx"/>
    <n v="2351168"/>
    <d v="2020-12-30T00:00:00"/>
    <n v="85"/>
    <n v="0"/>
    <s v="TBD"/>
    <n v="0"/>
    <n v="9620000414"/>
  </r>
  <r>
    <x v="87"/>
    <s v="Kens Beverage_9620000837, 9620000838, 9620000414_RECON.xlsx"/>
    <n v="2374013"/>
    <d v="2021-04-16T00:00:00"/>
    <n v="986.69"/>
    <n v="0"/>
    <s v="TBD"/>
    <n v="0"/>
    <n v="9620000414"/>
  </r>
  <r>
    <x v="87"/>
    <s v="Kens Beverage_9620000837, 9620000838, 9620000414_RECON.xlsx"/>
    <n v="2383069"/>
    <d v="2021-01-11T00:00:00"/>
    <n v="2459.31"/>
    <n v="0"/>
    <s v="TBD"/>
    <n v="0"/>
    <n v="9620000414"/>
  </r>
  <r>
    <x v="87"/>
    <s v="Kens Beverage_9620000837, 9620000838, 9620000414_RECON.xlsx"/>
    <n v="2402994"/>
    <d v="2021-05-24T00:00:00"/>
    <n v="1989.68"/>
    <n v="0"/>
    <s v="TBD"/>
    <n v="0"/>
    <n v="9620000414"/>
  </r>
  <r>
    <x v="87"/>
    <s v="Kens Beverage_9620000837, 9620000838, 9620000414_RECON.xlsx"/>
    <n v="2425343"/>
    <d v="2021-03-31T00:00:00"/>
    <n v="1984.7"/>
    <n v="0"/>
    <s v="TBD"/>
    <n v="0"/>
    <n v="9620000414"/>
  </r>
  <r>
    <x v="87"/>
    <s v="Kens Beverage_9620000837, 9620000838, 9620000414_RECON.xlsx"/>
    <n v="2427567"/>
    <d v="2021-04-23T00:00:00"/>
    <n v="773.35"/>
    <n v="0"/>
    <s v="TBD"/>
    <n v="0"/>
    <n v="9620000414"/>
  </r>
  <r>
    <x v="87"/>
    <s v="Kens Beverage_9620000837, 9620000838, 9620000414_RECON.xlsx"/>
    <n v="2450191"/>
    <d v="2021-05-18T00:00:00"/>
    <n v="436.34"/>
    <n v="0"/>
    <s v="TBD"/>
    <n v="0"/>
    <n v="9620000414"/>
  </r>
  <r>
    <x v="87"/>
    <s v="Kens Beverage_9620000837, 9620000838, 9620000414_RECON.xlsx"/>
    <n v="2450822"/>
    <d v="2021-05-19T00:00:00"/>
    <n v="373.63"/>
    <n v="0"/>
    <s v="TBD"/>
    <n v="0"/>
    <n v="9620000414"/>
  </r>
  <r>
    <x v="87"/>
    <s v="Kens Beverage_9620000837, 9620000838, 9620000414_RECON.xlsx"/>
    <n v="2455196"/>
    <d v="2021-06-08T00:00:00"/>
    <n v="364.65"/>
    <n v="0"/>
    <s v="TBD"/>
    <n v="0"/>
    <n v="9620000414"/>
  </r>
  <r>
    <x v="87"/>
    <s v="Kens Beverage_9620000837, 9620000838, 9620000414_RECON.xlsx"/>
    <n v="2455209"/>
    <d v="2021-06-08T00:00:00"/>
    <n v="186.38"/>
    <n v="0"/>
    <s v="TBD"/>
    <n v="0"/>
    <n v="9620000414"/>
  </r>
  <r>
    <x v="87"/>
    <s v="Kens Beverage_9620000837, 9620000838, 9620000414_RECON.xlsx"/>
    <n v="2455212"/>
    <d v="2021-06-08T00:00:00"/>
    <n v="362.1"/>
    <n v="0"/>
    <s v="TBD"/>
    <n v="0"/>
    <n v="9620000414"/>
  </r>
  <r>
    <x v="87"/>
    <s v="Kens Beverage_9620000837, 9620000838, 9620000414_RECON.xlsx"/>
    <n v="2455214"/>
    <d v="2021-06-08T00:00:00"/>
    <n v="362.95"/>
    <n v="0"/>
    <s v="TBD"/>
    <n v="0"/>
    <n v="9620000414"/>
  </r>
  <r>
    <x v="88"/>
    <s v="Liquid Ice_9620054012_RECON.xlsx"/>
    <n v="86875"/>
    <d v="2021-05-18T00:00:00"/>
    <n v="991.56"/>
    <n v="379451"/>
    <s v="TBD"/>
    <s v="Need checklist"/>
    <n v="9620054012"/>
  </r>
  <r>
    <x v="88"/>
    <s v="Liquid Ice_9620054012_RECON.xlsx"/>
    <n v="84598"/>
    <d v="2021-01-25T00:00:00"/>
    <n v="275"/>
    <n v="351671"/>
    <s v="TBD"/>
    <s v="In file"/>
    <n v="9620054012"/>
  </r>
  <r>
    <x v="88"/>
    <s v="Liquid Ice_9620054012_RECON.xlsx"/>
    <n v="84269"/>
    <d v="2021-01-04T00:00:00"/>
    <n v="275"/>
    <n v="112061"/>
    <s v="PM"/>
    <s v="In file"/>
    <n v="9620054012"/>
  </r>
  <r>
    <x v="88"/>
    <s v="Liquid Ice_9620054012_RECON.xlsx"/>
    <n v="86264"/>
    <d v="2021-04-12T00:00:00"/>
    <n v="190"/>
    <n v="0"/>
    <s v="TBD"/>
    <s v="Need Invoice and checklist"/>
    <n v="9620054012"/>
  </r>
  <r>
    <x v="88"/>
    <s v="Liquid Ice_9620054012_RECON.xlsx"/>
    <n v="86543"/>
    <d v="2021-04-26T00:00:00"/>
    <n v="612.16"/>
    <n v="314554"/>
    <s v="TBD"/>
    <s v="In file - replaced invoice 82892"/>
    <n v="9620054012"/>
  </r>
  <r>
    <x v="88"/>
    <s v="Liquid Ice_9620054012_RECON.xlsx"/>
    <n v="86844"/>
    <d v="2021-05-11T00:00:00"/>
    <n v="190"/>
    <n v="0"/>
    <s v="TBD"/>
    <s v="In file"/>
    <n v="9620054012"/>
  </r>
  <r>
    <x v="88"/>
    <s v="Liquid Ice_9620054012_RECON.xlsx"/>
    <n v="84465"/>
    <d v="2021-01-11T00:00:00"/>
    <n v="395"/>
    <n v="110743"/>
    <s v="PM"/>
    <s v="In file"/>
    <n v="9620054012"/>
  </r>
  <r>
    <x v="88"/>
    <s v="Liquid Ice_9620054012_RECON.xlsx"/>
    <n v="86722"/>
    <d v="2021-05-05T00:00:00"/>
    <n v="190"/>
    <n v="377996"/>
    <s v="TBD"/>
    <s v="Need checklist"/>
    <n v="9620054012"/>
  </r>
  <r>
    <x v="88"/>
    <s v="Liquid Ice_9620054012_RECON.xlsx"/>
    <n v="86699"/>
    <d v="2021-05-12T00:00:00"/>
    <n v="190"/>
    <n v="377724"/>
    <s v="TBD"/>
    <s v="Need checklist"/>
    <n v="9620054012"/>
  </r>
  <r>
    <x v="88"/>
    <s v="Liquid Ice_9620054012_RECON.xlsx"/>
    <n v="84364"/>
    <d v="2021-01-08T00:00:00"/>
    <n v="190"/>
    <n v="326631"/>
    <s v="Service Call"/>
    <s v="Need checklist"/>
    <n v="9620054012"/>
  </r>
  <r>
    <x v="88"/>
    <s v="Liquid Ice_9620054012_RECON.xlsx"/>
    <n v="85176"/>
    <d v="2021-03-04T00:00:00"/>
    <n v="277.19"/>
    <n v="357975"/>
    <s v="TBD"/>
    <s v="In file; Denied by Mina Salib 4/22/2021"/>
    <n v="9620054012"/>
  </r>
  <r>
    <x v="88"/>
    <s v="Liquid Ice_9620054012_RECON.xlsx"/>
    <n v="84723"/>
    <d v="2021-01-01T00:00:00"/>
    <n v="3099.3"/>
    <n v="326790"/>
    <s v="Service Call"/>
    <s v="Need checklist"/>
    <n v="9620054012"/>
  </r>
  <r>
    <x v="88"/>
    <s v="Liquid Ice_9620054012_RECON.xlsx"/>
    <n v="86677"/>
    <d v="2021-05-04T00:00:00"/>
    <n v="275"/>
    <n v="377364"/>
    <s v="TBD"/>
    <s v="In file"/>
    <n v="9620054012"/>
  </r>
  <r>
    <x v="88"/>
    <s v="Liquid Ice_9620054012_RECON.xlsx"/>
    <n v="87210"/>
    <d v="2021-05-17T00:00:00"/>
    <n v="377.08"/>
    <n v="382909"/>
    <s v="TBD"/>
    <s v="In file"/>
    <n v="9620054012"/>
  </r>
  <r>
    <x v="88"/>
    <s v="Liquid Ice_9620054012_RECON.xlsx"/>
    <n v="86348"/>
    <d v="2021-04-27T00:00:00"/>
    <n v="356.25"/>
    <n v="373954"/>
    <s v="TBD"/>
    <s v="In file"/>
    <n v="9620054012"/>
  </r>
  <r>
    <x v="89"/>
    <s v="Liquiserve_9620000435, 53718, 53717, 847, 849, 843, 848, 850, 852, 53719, 851, 844, 846, 853, 854_RECON.xlsx"/>
    <s v="LS-387018"/>
    <d v="2020-09-22T00:00:00"/>
    <n v="766.31"/>
    <s v="278199 00278228 00278226 "/>
    <s v="PM"/>
    <n v="0"/>
    <n v="9620000435"/>
  </r>
  <r>
    <x v="89"/>
    <s v="Liquiserve_9620000435, 53718, 53717, 847, 849, 843, 848, 850, 852, 53719, 851, 844, 846, 853, 854_RECON.xlsx"/>
    <s v="LS-387429"/>
    <d v="2020-09-29T00:00:00"/>
    <n v="559.13"/>
    <n v="311267"/>
    <s v="Service Call"/>
    <n v="0"/>
    <n v="9620000435"/>
  </r>
  <r>
    <x v="89"/>
    <s v="Liquiserve_9620000435, 53718, 53717, 847, 849, 843, 848, 850, 852, 53719, 851, 844, 846, 853, 854_RECON.xlsx"/>
    <s v="LS-387529"/>
    <d v="2020-09-29T00:00:00"/>
    <n v="502.53"/>
    <n v="266020"/>
    <s v="PM"/>
    <n v="0"/>
    <n v="9620000435"/>
  </r>
  <r>
    <x v="89"/>
    <s v="Liquiserve_9620000435, 53718, 53717, 847, 849, 843, 848, 850, 852, 53719, 851, 844, 846, 853, 854_RECON.xlsx"/>
    <s v="LS-387528"/>
    <d v="2020-09-30T00:00:00"/>
    <n v="352.28"/>
    <n v="310685"/>
    <s v="Service Call"/>
    <n v="0"/>
    <n v="9620000435"/>
  </r>
  <r>
    <x v="89"/>
    <s v="Liquiserve_9620000435, 53718, 53717, 847, 849, 843, 848, 850, 852, 53719, 851, 844, 846, 853, 854_RECON.xlsx"/>
    <s v="LS-388464"/>
    <d v="2020-10-01T00:00:00"/>
    <n v="1156.04"/>
    <n v="309632"/>
    <s v="Service Call"/>
    <n v="0"/>
    <n v="9620000435"/>
  </r>
  <r>
    <x v="89"/>
    <s v="Liquiserve_9620000435, 53718, 53717, 847, 849, 843, 848, 850, 852, 53719, 851, 844, 846, 853, 854_RECON.xlsx"/>
    <s v="LS-387671"/>
    <d v="2020-10-01T00:00:00"/>
    <n v="743.68"/>
    <n v="311262"/>
    <s v="Service Call"/>
    <n v="0"/>
    <n v="9620000435"/>
  </r>
  <r>
    <x v="89"/>
    <s v="Liquiserve_9620000435, 53718, 53717, 847, 849, 843, 848, 850, 852, 53719, 851, 844, 846, 853, 854_RECON.xlsx"/>
    <s v="LS-388455"/>
    <d v="2020-10-01T00:00:00"/>
    <n v="712.5"/>
    <n v="301628"/>
    <s v="Service Call"/>
    <n v="0"/>
    <n v="9620000435"/>
  </r>
  <r>
    <x v="89"/>
    <s v="Liquiserve_9620000435, 53718, 53717, 847, 849, 843, 848, 850, 852, 53719, 851, 844, 846, 853, 854_RECON.xlsx"/>
    <s v="LS-388106"/>
    <d v="2020-10-02T00:00:00"/>
    <n v="727.53"/>
    <s v="R8101386"/>
    <s v="Service Call"/>
    <n v="0"/>
    <n v="9620000435"/>
  </r>
  <r>
    <x v="89"/>
    <s v="Liquiserve_9620000435, 53718, 53717, 847, 849, 843, 848, 850, 852, 53719, 851, 844, 846, 853, 854_RECON.xlsx"/>
    <s v="LS-388100"/>
    <d v="2020-10-07T00:00:00"/>
    <n v="182.04"/>
    <n v="312663"/>
    <s v="Service Call"/>
    <n v="0"/>
    <n v="9620000435"/>
  </r>
  <r>
    <x v="89"/>
    <s v="Liquiserve_9620000435, 53718, 53717, 847, 849, 843, 848, 850, 852, 53719, 851, 844, 846, 853, 854_RECON.xlsx"/>
    <s v="LS-388104"/>
    <d v="2020-10-07T00:00:00"/>
    <n v="199.31"/>
    <n v="278890"/>
    <s v="PM"/>
    <n v="0"/>
    <n v="9620000435"/>
  </r>
  <r>
    <x v="89"/>
    <s v="Liquiserve_9620000435, 53718, 53717, 847, 849, 843, 848, 850, 852, 53719, 851, 844, 846, 853, 854_RECON.xlsx"/>
    <s v="LS-388101"/>
    <d v="2020-10-07T00:00:00"/>
    <n v="977.62"/>
    <n v="312384"/>
    <s v="Service Call"/>
    <n v="0"/>
    <n v="9620000435"/>
  </r>
  <r>
    <x v="89"/>
    <s v="Liquiserve_9620000435, 53718, 53717, 847, 849, 843, 848, 850, 852, 53719, 851, 844, 846, 853, 854_RECON.xlsx"/>
    <s v="LS-388102"/>
    <d v="2020-10-08T00:00:00"/>
    <n v="2437.44"/>
    <n v="310904"/>
    <s v="Service Call"/>
    <n v="0"/>
    <n v="9620000435"/>
  </r>
  <r>
    <x v="89"/>
    <s v="Liquiserve_9620000435, 53718, 53717, 847, 849, 843, 848, 850, 852, 53719, 851, 844, 846, 853, 854_RECON.xlsx"/>
    <s v="LS-388309"/>
    <d v="2020-10-08T00:00:00"/>
    <n v="603.42999999999995"/>
    <s v="278220 00278211"/>
    <s v="PM"/>
    <n v="0"/>
    <n v="9620000435"/>
  </r>
  <r>
    <x v="89"/>
    <s v="Liquiserve_9620000435, 53718, 53717, 847, 849, 843, 848, 850, 852, 53719, 851, 844, 846, 853, 854_RECON.xlsx"/>
    <s v="LS-388310"/>
    <d v="2020-10-09T00:00:00"/>
    <n v="121.22"/>
    <n v="313110"/>
    <s v="Service Call"/>
    <n v="0"/>
    <n v="9620000435"/>
  </r>
  <r>
    <x v="89"/>
    <s v="Liquiserve_9620000435, 53718, 53717, 847, 849, 843, 848, 850, 852, 53719, 851, 844, 846, 853, 854_RECON.xlsx"/>
    <s v="LS-388308"/>
    <d v="2020-10-09T00:00:00"/>
    <n v="108"/>
    <n v="1020071171"/>
    <s v="TBD"/>
    <n v="0"/>
    <n v="9620000435"/>
  </r>
  <r>
    <x v="89"/>
    <s v="Liquiserve_9620000435, 53718, 53717, 847, 849, 843, 848, 850, 852, 53719, 851, 844, 846, 853, 854_RECON.xlsx"/>
    <s v="LS-388314"/>
    <d v="2020-10-12T00:00:00"/>
    <n v="225"/>
    <n v="312581"/>
    <s v="Service Call"/>
    <n v="0"/>
    <n v="9620000435"/>
  </r>
  <r>
    <x v="89"/>
    <s v="Liquiserve_9620000435, 53718, 53717, 847, 849, 843, 848, 850, 852, 53719, 851, 844, 846, 853, 854_RECON.xlsx"/>
    <s v="LS-388311"/>
    <d v="2020-10-12T00:00:00"/>
    <n v="400"/>
    <n v="313400"/>
    <s v="Service Call"/>
    <n v="0"/>
    <n v="9620000435"/>
  </r>
  <r>
    <x v="89"/>
    <s v="Liquiserve_9620000435, 53718, 53717, 847, 849, 843, 848, 850, 852, 53719, 851, 844, 846, 853, 854_RECON.xlsx"/>
    <s v="LS-388313"/>
    <d v="2020-10-12T00:00:00"/>
    <n v="258.83"/>
    <n v="278915"/>
    <s v="PM"/>
    <n v="0"/>
    <n v="9620000435"/>
  </r>
  <r>
    <x v="89"/>
    <s v="Liquiserve_9620000435, 53718, 53717, 847, 849, 843, 848, 850, 852, 53719, 851, 844, 846, 853, 854_RECON.xlsx"/>
    <s v="LS-389206"/>
    <d v="2020-10-23T00:00:00"/>
    <n v="523.19000000000005"/>
    <n v="314917"/>
    <s v="Service Call"/>
    <n v="0"/>
    <n v="9620000435"/>
  </r>
  <r>
    <x v="89"/>
    <s v="Liquiserve_9620000435, 53718, 53717, 847, 849, 843, 848, 850, 852, 53719, 851, 844, 846, 853, 854_RECON.xlsx"/>
    <s v="LS-390316"/>
    <d v="2020-11-02T00:00:00"/>
    <n v="473.59"/>
    <s v="278456 00278510"/>
    <s v="PM"/>
    <n v="0"/>
    <n v="9620000435"/>
  </r>
  <r>
    <x v="89"/>
    <s v="Liquiserve_9620000435, 53718, 53717, 847, 849, 843, 848, 850, 852, 53719, 851, 844, 846, 853, 854_RECON.xlsx"/>
    <s v="LS-390327"/>
    <d v="2020-11-02T00:00:00"/>
    <n v="159.75"/>
    <n v="314332"/>
    <s v="Service Call"/>
    <n v="0"/>
    <n v="9620000435"/>
  </r>
  <r>
    <x v="89"/>
    <s v="Liquiserve_9620000435, 53718, 53717, 847, 849, 843, 848, 850, 852, 53719, 851, 844, 846, 853, 854_RECON.xlsx"/>
    <s v="LS-389944"/>
    <d v="2020-11-05T00:00:00"/>
    <n v="4932.1499999999996"/>
    <n v="317282"/>
    <s v="Service Call"/>
    <n v="0"/>
    <n v="9620000435"/>
  </r>
  <r>
    <x v="89"/>
    <s v="Liquiserve_9620000435, 53718, 53717, 847, 849, 843, 848, 850, 852, 53719, 851, 844, 846, 853, 854_RECON.xlsx"/>
    <s v="LS-390019"/>
    <d v="2020-11-06T00:00:00"/>
    <n v="565.14"/>
    <n v="317818"/>
    <s v="Service Call"/>
    <n v="0"/>
    <n v="9620000435"/>
  </r>
  <r>
    <x v="89"/>
    <s v="Liquiserve_9620000435, 53718, 53717, 847, 849, 843, 848, 850, 852, 53719, 851, 844, 846, 853, 854_RECON.xlsx"/>
    <s v="LS-390308"/>
    <d v="2020-11-10T00:00:00"/>
    <n v="121.78"/>
    <n v="318100"/>
    <s v="Service Call"/>
    <n v="0"/>
    <n v="9620000435"/>
  </r>
  <r>
    <x v="89"/>
    <s v="Liquiserve_9620000435, 53718, 53717, 847, 849, 843, 848, 850, 852, 53719, 851, 844, 846, 853, 854_RECON.xlsx"/>
    <s v="LS-390879"/>
    <d v="2020-11-18T00:00:00"/>
    <n v="121.36"/>
    <n v="320312"/>
    <s v="Service Call"/>
    <n v="0"/>
    <n v="9620000435"/>
  </r>
  <r>
    <x v="89"/>
    <s v="Liquiserve_9620000435, 53718, 53717, 847, 849, 843, 848, 850, 852, 53719, 851, 844, 846, 853, 854_RECON.xlsx"/>
    <s v="LS-391215"/>
    <d v="2020-11-23T00:00:00"/>
    <n v="165.3"/>
    <n v="4564388039"/>
    <s v="TBD"/>
    <n v="0"/>
    <n v="9620000435"/>
  </r>
  <r>
    <x v="89"/>
    <s v="Liquiserve_9620000435, 53718, 53717, 847, 849, 843, 848, 850, 852, 53719, 851, 844, 846, 853, 854_RECON.xlsx"/>
    <s v="LS-391596"/>
    <d v="2020-12-01T00:00:00"/>
    <n v="1908.11"/>
    <n v="318763"/>
    <s v="Service Call"/>
    <n v="0"/>
    <n v="9620000435"/>
  </r>
  <r>
    <x v="89"/>
    <s v="Liquiserve_9620000435, 53718, 53717, 847, 849, 843, 848, 850, 852, 53719, 851, 844, 846, 853, 854_RECON.xlsx"/>
    <s v="LS-391684"/>
    <d v="2020-12-02T00:00:00"/>
    <n v="4668.29"/>
    <s v="319078 00321947"/>
    <s v="Service Call"/>
    <n v="0"/>
    <n v="9620000435"/>
  </r>
  <r>
    <x v="89"/>
    <s v="Liquiserve_9620000435, 53718, 53717, 847, 849, 843, 848, 850, 852, 53719, 851, 844, 846, 853, 854_RECON.xlsx"/>
    <s v="LS-391950"/>
    <d v="2020-12-04T00:00:00"/>
    <n v="773.17"/>
    <s v="290780 290963 291044  291045"/>
    <s v="PM"/>
    <n v="0"/>
    <n v="9620000435"/>
  </r>
  <r>
    <x v="89"/>
    <s v="Liquiserve_9620000435, 53718, 53717, 847, 849, 843, 848, 850, 852, 53719, 851, 844, 846, 853, 854_RECON.xlsx"/>
    <s v="LS-392263"/>
    <d v="2020-12-08T00:00:00"/>
    <n v="787.97"/>
    <s v="290872 290921 290922 290933"/>
    <s v="PM"/>
    <n v="0"/>
    <n v="9620000435"/>
  </r>
  <r>
    <x v="90"/>
    <s v="Luckys Repairs_9620000443_RECON.xlsx"/>
    <n v="7683"/>
    <d v="2020-09-19T00:00:00"/>
    <n v="120"/>
    <n v="310111"/>
    <s v="Service Call"/>
    <n v="0"/>
    <n v="9620000443"/>
  </r>
  <r>
    <x v="90"/>
    <s v="Luckys Repairs_9620000443_RECON.xlsx"/>
    <n v="7692"/>
    <d v="2020-09-30T00:00:00"/>
    <n v="120"/>
    <n v="311752"/>
    <s v="Service Call"/>
    <n v="0"/>
    <n v="9620000443"/>
  </r>
  <r>
    <x v="90"/>
    <s v="Luckys Repairs_9620000443_RECON.xlsx"/>
    <n v="7736"/>
    <d v="2020-10-30T00:00:00"/>
    <n v="155"/>
    <n v="316285"/>
    <s v="Service Call"/>
    <n v="0"/>
    <n v="9620000443"/>
  </r>
  <r>
    <x v="90"/>
    <s v="Luckys Repairs_9620000443_RECON.xlsx"/>
    <n v="7740"/>
    <d v="2020-11-02T00:00:00"/>
    <n v="120"/>
    <n v="317021"/>
    <s v="Service Call"/>
    <n v="0"/>
    <n v="9620000443"/>
  </r>
  <r>
    <x v="90"/>
    <s v="Luckys Repairs_9620000443_RECON.xlsx"/>
    <n v="7755"/>
    <d v="2020-11-13T00:00:00"/>
    <n v="155"/>
    <n v="319015"/>
    <s v="Service Call"/>
    <n v="0"/>
    <n v="9620000443"/>
  </r>
  <r>
    <x v="90"/>
    <s v="Luckys Repairs_9620000443_RECON.xlsx"/>
    <n v="7776"/>
    <d v="2020-11-28T00:00:00"/>
    <n v="190"/>
    <n v="321690"/>
    <s v="Service Call"/>
    <n v="0"/>
    <n v="9620000443"/>
  </r>
  <r>
    <x v="90"/>
    <s v="Luckys Repairs_9620000443_RECON.xlsx"/>
    <n v="7795"/>
    <d v="2020-12-12T00:00:00"/>
    <n v="359.39"/>
    <n v="326554"/>
    <s v="Service Call"/>
    <n v="0"/>
    <n v="9620000443"/>
  </r>
  <r>
    <x v="91"/>
    <s v="Lunsford Electric_9620051177_RECON.xlsx"/>
    <n v="13681"/>
    <d v="2021-05-25T00:00:00"/>
    <n v="175"/>
    <n v="0"/>
    <s v="TBD"/>
    <n v="0"/>
    <n v="9620051177"/>
  </r>
  <r>
    <x v="91"/>
    <s v="Lunsford Electric_9620051177_RECON.xlsx"/>
    <s v="13691-2"/>
    <d v="2021-05-28T00:00:00"/>
    <n v="233.75"/>
    <n v="0"/>
    <s v="TBD"/>
    <n v="0"/>
    <n v="9620051177"/>
  </r>
  <r>
    <x v="91"/>
    <s v="Lunsford Electric_9620051177_RECON.xlsx"/>
    <n v="13583"/>
    <d v="2021-04-28T00:00:00"/>
    <n v="322.63"/>
    <n v="0"/>
    <s v="TBD"/>
    <n v="0"/>
    <n v="9620051177"/>
  </r>
  <r>
    <x v="91"/>
    <s v="Lunsford Electric_9620051177_RECON.xlsx"/>
    <s v="13596-2"/>
    <d v="2021-05-28T00:00:00"/>
    <n v="100"/>
    <n v="0"/>
    <s v="TBD"/>
    <n v="0"/>
    <n v="9620051177"/>
  </r>
  <r>
    <x v="91"/>
    <s v="Lunsford Electric_9620051177_RECON.xlsx"/>
    <n v="13703"/>
    <d v="2021-05-28T00:00:00"/>
    <n v="402.5"/>
    <n v="0"/>
    <s v="TBD"/>
    <n v="0"/>
    <n v="9620051177"/>
  </r>
  <r>
    <x v="92"/>
    <s v="M &amp; S Refrigeration_9620000447_RECON.xlsx"/>
    <n v="7030"/>
    <d v="2020-03-10T00:00:00"/>
    <n v="189.44"/>
    <n v="167706"/>
    <s v="PM"/>
    <n v="0"/>
    <n v="9620000447"/>
  </r>
  <r>
    <x v="92"/>
    <s v="M &amp; S Refrigeration_9620000447_RECON.xlsx"/>
    <n v="7673"/>
    <d v="2020-10-07T00:00:00"/>
    <n v="625.6"/>
    <s v="Installation"/>
    <s v="Install"/>
    <n v="0"/>
    <n v="9620000447"/>
  </r>
  <r>
    <x v="92"/>
    <s v="M &amp; S Refrigeration_9620000447_RECON.xlsx"/>
    <n v="7710"/>
    <d v="2020-10-24T00:00:00"/>
    <n v="462.85"/>
    <n v="315086"/>
    <s v="Service Call"/>
    <n v="0"/>
    <n v="9620000447"/>
  </r>
  <r>
    <x v="92"/>
    <s v="M &amp; S Refrigeration_9620000447_RECON.xlsx"/>
    <n v="7715"/>
    <d v="2020-10-25T00:00:00"/>
    <n v="945.92"/>
    <n v="314247"/>
    <s v="Service Call"/>
    <n v="0"/>
    <n v="9620000447"/>
  </r>
  <r>
    <x v="92"/>
    <s v="M &amp; S Refrigeration_9620000447_RECON.xlsx"/>
    <n v="7735"/>
    <d v="2020-11-02T00:00:00"/>
    <n v="474.21"/>
    <n v="316877"/>
    <s v="Service Call"/>
    <n v="0"/>
    <n v="9620000447"/>
  </r>
  <r>
    <x v="92"/>
    <s v="M &amp; S Refrigeration_9620000447_RECON.xlsx"/>
    <n v="7738"/>
    <d v="2020-11-04T00:00:00"/>
    <n v="229.39"/>
    <n v="317113"/>
    <s v="Service Call"/>
    <n v="0"/>
    <n v="9620000447"/>
  </r>
  <r>
    <x v="92"/>
    <s v="M &amp; S Refrigeration_9620000447_RECON.xlsx"/>
    <n v="7732"/>
    <d v="2020-11-05T00:00:00"/>
    <n v="430.06"/>
    <n v="121629"/>
    <s v="PM"/>
    <n v="0"/>
    <n v="9620000447"/>
  </r>
  <r>
    <x v="92"/>
    <s v="M &amp; S Refrigeration_9620000447_RECON.xlsx"/>
    <n v="7739"/>
    <d v="2020-11-05T00:00:00"/>
    <n v="338.46"/>
    <n v="317074"/>
    <s v="Service Call"/>
    <n v="0"/>
    <n v="9620000447"/>
  </r>
  <r>
    <x v="92"/>
    <s v="M &amp; S Refrigeration_9620000447_RECON.xlsx"/>
    <n v="7860"/>
    <d v="2020-12-21T00:00:00"/>
    <n v="430.06"/>
    <n v="118078"/>
    <s v="PM"/>
    <n v="0"/>
    <n v="9620000447"/>
  </r>
  <r>
    <x v="92"/>
    <s v="M &amp; S Refrigeration_9620000447_RECON.xlsx"/>
    <n v="7868"/>
    <d v="2020-12-30T00:00:00"/>
    <n v="572.26"/>
    <n v="340177"/>
    <s v="Service Call"/>
    <n v="0"/>
    <n v="9620000447"/>
  </r>
  <r>
    <x v="92"/>
    <s v="M &amp; S Refrigeration_9620000447_RECON.xlsx"/>
    <n v="7906"/>
    <d v="2021-01-22T00:00:00"/>
    <n v="444.33"/>
    <n v="345744"/>
    <s v="Service Call"/>
    <n v="0"/>
    <n v="9620000447"/>
  </r>
  <r>
    <x v="92"/>
    <s v="M &amp; S Refrigeration_9620000447_RECON.xlsx"/>
    <n v="7908"/>
    <d v="2021-01-24T00:00:00"/>
    <n v="624.21"/>
    <n v="346215"/>
    <s v="Service Call"/>
    <n v="0"/>
    <n v="9620000447"/>
  </r>
  <r>
    <x v="92"/>
    <s v="M &amp; S Refrigeration_9620000447_RECON.xlsx"/>
    <n v="7907"/>
    <d v="2021-01-24T00:00:00"/>
    <n v="430.06"/>
    <n v="120259"/>
    <s v="PM"/>
    <n v="0"/>
    <n v="9620000447"/>
  </r>
  <r>
    <x v="92"/>
    <s v="M &amp; S Refrigeration_9620000447_RECON.xlsx"/>
    <n v="7909"/>
    <d v="2021-01-25T00:00:00"/>
    <n v="444.33"/>
    <n v="346480"/>
    <s v="Service Call"/>
    <n v="0"/>
    <n v="9620000447"/>
  </r>
  <r>
    <x v="92"/>
    <s v="M &amp; S Refrigeration_9620000447_RECON.xlsx"/>
    <n v="7911"/>
    <d v="2021-01-27T00:00:00"/>
    <n v="430.06"/>
    <n v="198716"/>
    <s v="PM"/>
    <n v="0"/>
    <n v="9620000447"/>
  </r>
  <r>
    <x v="92"/>
    <s v="M &amp; S Refrigeration_9620000447_RECON.xlsx"/>
    <n v="7910"/>
    <d v="2021-01-27T00:00:00"/>
    <n v="299.41000000000003"/>
    <n v="233498"/>
    <s v="PM"/>
    <n v="0"/>
    <n v="9620000447"/>
  </r>
  <r>
    <x v="92"/>
    <s v="M &amp; S Refrigeration_9620000447_RECON.xlsx"/>
    <n v="7913"/>
    <d v="2021-01-28T00:00:00"/>
    <n v="620.74"/>
    <n v="346701"/>
    <s v="Service Call"/>
    <n v="0"/>
    <n v="9620000447"/>
  </r>
  <r>
    <x v="92"/>
    <s v="M &amp; S Refrigeration_9620000447_RECON.xlsx"/>
    <n v="7912"/>
    <d v="2021-01-28T00:00:00"/>
    <n v="430.06"/>
    <n v="213996"/>
    <s v="PM"/>
    <n v="0"/>
    <n v="9620000447"/>
  </r>
  <r>
    <x v="92"/>
    <s v="M &amp; S Refrigeration_9620000447_RECON.xlsx"/>
    <n v="7933"/>
    <d v="2021-02-12T00:00:00"/>
    <n v="299.41000000000003"/>
    <n v="121524"/>
    <s v="PM"/>
    <n v="0"/>
    <n v="9620000447"/>
  </r>
  <r>
    <x v="92"/>
    <s v="M &amp; S Refrigeration_9620000447_RECON.xlsx"/>
    <n v="7942"/>
    <d v="2021-02-15T00:00:00"/>
    <n v="239.08"/>
    <n v="352817"/>
    <s v="Service Call"/>
    <n v="0"/>
    <n v="9620000447"/>
  </r>
  <r>
    <x v="92"/>
    <s v="M &amp; S Refrigeration_9620000447_RECON.xlsx"/>
    <n v="7945"/>
    <d v="2021-02-18T00:00:00"/>
    <n v="155.15"/>
    <n v="353002"/>
    <s v="Service Call"/>
    <n v="0"/>
    <n v="9620000447"/>
  </r>
  <r>
    <x v="92"/>
    <s v="M &amp; S Refrigeration_9620000447_RECON.xlsx"/>
    <n v="7944"/>
    <d v="2021-02-18T00:00:00"/>
    <n v="299.41000000000003"/>
    <n v="226141"/>
    <s v="Service Call"/>
    <n v="0"/>
    <n v="9620000447"/>
  </r>
  <r>
    <x v="92"/>
    <s v="M &amp; S Refrigeration_9620000447_RECON.xlsx"/>
    <n v="8048"/>
    <d v="2021-03-12T00:00:00"/>
    <n v="590.6"/>
    <n v="358475"/>
    <s v="Service Call"/>
    <n v="0"/>
    <n v="9620000447"/>
  </r>
  <r>
    <x v="92"/>
    <s v="M &amp; S Refrigeration_9620000447_RECON.xlsx"/>
    <n v="8152"/>
    <d v="2021-03-13T00:00:00"/>
    <n v="103.43"/>
    <n v="359086"/>
    <s v="Service Call"/>
    <n v="0"/>
    <n v="9620000447"/>
  </r>
  <r>
    <x v="92"/>
    <s v="M &amp; S Refrigeration_9620000447_RECON.xlsx"/>
    <n v="8195"/>
    <d v="2021-04-03T00:00:00"/>
    <n v="625.6"/>
    <n v="665887"/>
    <s v="TBD"/>
    <n v="0"/>
    <n v="9620000447"/>
  </r>
  <r>
    <x v="92"/>
    <s v="M &amp; S Refrigeration_9620000447_RECON.xlsx"/>
    <n v="8211"/>
    <d v="2021-05-06T00:00:00"/>
    <n v="299.41000000000003"/>
    <n v="222442"/>
    <s v="PM"/>
    <n v="0"/>
    <n v="9620000447"/>
  </r>
  <r>
    <x v="92"/>
    <s v="M &amp; S Refrigeration_9620000447_RECON.xlsx"/>
    <n v="8221"/>
    <d v="2021-05-12T00:00:00"/>
    <n v="430.06"/>
    <n v="367161"/>
    <s v="PM"/>
    <n v="0"/>
    <n v="9620000447"/>
  </r>
  <r>
    <x v="93"/>
    <s v="MacDonald Restaurant Repair Service_9620000449_RECON.xlsx"/>
    <s v="PM-108119"/>
    <d v="2021-02-02T00:00:00"/>
    <n v="275"/>
    <s v="00368458*"/>
    <s v="PM"/>
    <s v="Processed"/>
    <n v="9620000449"/>
  </r>
  <r>
    <x v="93"/>
    <s v="MacDonald Restaurant Repair Service_9620000449_RECON.xlsx"/>
    <s v="PM-109512"/>
    <d v="2021-02-02T00:00:00"/>
    <n v="275"/>
    <s v="00368622*"/>
    <s v="PM"/>
    <s v="Processed"/>
    <n v="9620000449"/>
  </r>
  <r>
    <x v="93"/>
    <s v="MacDonald Restaurant Repair Service_9620000449_RECON.xlsx"/>
    <s v="PM-109867"/>
    <d v="2021-02-02T00:00:00"/>
    <n v="275"/>
    <s v="00368626*"/>
    <s v="PM"/>
    <s v="Processed"/>
    <n v="9620000449"/>
  </r>
  <r>
    <x v="93"/>
    <s v="MacDonald Restaurant Repair Service_9620000449_RECON.xlsx"/>
    <s v="PM-110225"/>
    <d v="2021-02-02T00:00:00"/>
    <n v="275"/>
    <n v="110225"/>
    <s v="PM"/>
    <s v="invoice requires further research"/>
    <n v="9620000449"/>
  </r>
  <r>
    <x v="93"/>
    <s v="MacDonald Restaurant Repair Service_9620000449_RECON.xlsx"/>
    <s v="PM-110265"/>
    <d v="2021-02-02T00:00:00"/>
    <n v="275"/>
    <n v="110265"/>
    <s v="PM"/>
    <s v="invoice requires further research"/>
    <n v="9620000449"/>
  </r>
  <r>
    <x v="93"/>
    <s v="MacDonald Restaurant Repair Service_9620000449_RECON.xlsx"/>
    <s v="2752-2738"/>
    <d v="2021-03-24T00:00:00"/>
    <n v="648"/>
    <s v="2752-2738"/>
    <s v="TBD"/>
    <n v="0"/>
    <n v="9620000449"/>
  </r>
  <r>
    <x v="93"/>
    <s v="MacDonald Restaurant Repair Service_9620000449_RECON.xlsx"/>
    <s v="PM-105964"/>
    <d v="2021-04-06T00:00:00"/>
    <n v="275"/>
    <n v="105964"/>
    <s v="PM"/>
    <n v="0"/>
    <n v="9620000449"/>
  </r>
  <r>
    <x v="93"/>
    <s v="MacDonald Restaurant Repair Service_9620000449_RECON.xlsx"/>
    <s v="PM-106682"/>
    <d v="2021-04-06T00:00:00"/>
    <n v="275"/>
    <n v="106682"/>
    <s v="PM"/>
    <n v="0"/>
    <n v="9620000449"/>
  </r>
  <r>
    <x v="93"/>
    <s v="MacDonald Restaurant Repair Service_9620000449_RECON.xlsx"/>
    <n v="365273"/>
    <d v="2021-04-16T00:00:00"/>
    <n v="829.45"/>
    <n v="365273"/>
    <s v="Service Call"/>
    <n v="0"/>
    <n v="9620000449"/>
  </r>
  <r>
    <x v="93"/>
    <s v="MacDonald Restaurant Repair Service_9620000449_RECON.xlsx"/>
    <s v="PM-358219"/>
    <d v="2021-04-16T00:00:00"/>
    <n v="365"/>
    <n v="358219"/>
    <s v="PM"/>
    <n v="0"/>
    <n v="9620000449"/>
  </r>
  <r>
    <x v="93"/>
    <s v="MacDonald Restaurant Repair Service_9620000449_RECON.xlsx"/>
    <s v="PM-205570"/>
    <d v="2021-04-21T00:00:00"/>
    <n v="275"/>
    <n v="205570"/>
    <s v="PM"/>
    <n v="0"/>
    <n v="9620000449"/>
  </r>
  <r>
    <x v="93"/>
    <s v="MacDonald Restaurant Repair Service_9620000449_RECON.xlsx"/>
    <s v="PM-106897"/>
    <d v="2021-04-23T00:00:00"/>
    <n v="395"/>
    <n v="106897"/>
    <s v="PM"/>
    <n v="0"/>
    <n v="9620000449"/>
  </r>
  <r>
    <x v="93"/>
    <s v="MacDonald Restaurant Repair Service_9620000449_RECON.xlsx"/>
    <s v="PM-304158"/>
    <d v="2021-04-29T00:00:00"/>
    <n v="395"/>
    <n v="304158"/>
    <s v="PM"/>
    <n v="0"/>
    <n v="9620000449"/>
  </r>
  <r>
    <x v="93"/>
    <s v="MacDonald Restaurant Repair Service_9620000449_RECON.xlsx"/>
    <s v="PM-111618"/>
    <d v="2021-04-29T00:00:00"/>
    <n v="485"/>
    <n v="111618"/>
    <s v="PM"/>
    <n v="0"/>
    <n v="9620000449"/>
  </r>
  <r>
    <x v="93"/>
    <s v="MacDonald Restaurant Repair Service_9620000449_RECON.xlsx"/>
    <s v="PM-168545"/>
    <d v="2021-05-06T00:00:00"/>
    <n v="395"/>
    <n v="168545"/>
    <s v="PM"/>
    <n v="0"/>
    <n v="9620000449"/>
  </r>
  <r>
    <x v="93"/>
    <s v="MacDonald Restaurant Repair Service_9620000449_RECON.xlsx"/>
    <n v="373799"/>
    <d v="2021-05-07T00:00:00"/>
    <n v="512.20000000000005"/>
    <n v="373799"/>
    <s v="Service Call"/>
    <n v="0"/>
    <n v="9620000449"/>
  </r>
  <r>
    <x v="93"/>
    <s v="MacDonald Restaurant Repair Service_9620000449_RECON.xlsx"/>
    <n v="375182"/>
    <d v="2021-05-17T00:00:00"/>
    <n v="462.95"/>
    <n v="375182"/>
    <s v="Service Call"/>
    <n v="0"/>
    <n v="9620000449"/>
  </r>
  <r>
    <x v="93"/>
    <s v="MacDonald Restaurant Repair Service_9620000449_RECON.xlsx"/>
    <n v="376376"/>
    <d v="2021-05-19T00:00:00"/>
    <n v="553.71"/>
    <n v="376376"/>
    <s v="Service Call"/>
    <n v="0"/>
    <n v="9620000449"/>
  </r>
  <r>
    <x v="93"/>
    <s v="MacDonald Restaurant Repair Service_9620000449_RECON.xlsx"/>
    <n v="376130"/>
    <d v="2021-05-19T00:00:00"/>
    <n v="230.18"/>
    <n v="376130"/>
    <s v="Service Call"/>
    <n v="0"/>
    <n v="9620000449"/>
  </r>
  <r>
    <x v="93"/>
    <s v="MacDonald Restaurant Repair Service_9620000449_RECON.xlsx"/>
    <n v="376245"/>
    <d v="2021-05-19T00:00:00"/>
    <n v="175"/>
    <n v="376245"/>
    <s v="Service Call"/>
    <n v="0"/>
    <n v="9620000449"/>
  </r>
  <r>
    <x v="93"/>
    <s v="MacDonald Restaurant Repair Service_9620000449_RECON.xlsx"/>
    <n v="503494"/>
    <d v="2021-05-19T00:00:00"/>
    <n v="355"/>
    <n v="4500503494"/>
    <s v="Install"/>
    <n v="0"/>
    <n v="9620000449"/>
  </r>
  <r>
    <x v="93"/>
    <s v="MacDonald Restaurant Repair Service_9620000449_RECON.xlsx"/>
    <n v="377927"/>
    <d v="2021-05-28T00:00:00"/>
    <n v="232.23"/>
    <n v="377927"/>
    <s v="Service Call"/>
    <n v="0"/>
    <n v="9620000449"/>
  </r>
  <r>
    <x v="94"/>
    <s v="Marshall Electric_9620000456_RECON.xlsx"/>
    <n v="345242"/>
    <d v="2021-04-08T00:00:00"/>
    <n v="507"/>
    <n v="106475"/>
    <s v="PM"/>
    <n v="0"/>
    <n v="9620000456"/>
  </r>
  <r>
    <x v="94"/>
    <s v="Marshall Electric_9620000456_RECON.xlsx"/>
    <n v="345814"/>
    <d v="2021-04-08T00:00:00"/>
    <n v="287.63"/>
    <n v="364670"/>
    <s v="Service Call"/>
    <n v="0"/>
    <n v="9620000456"/>
  </r>
  <r>
    <x v="94"/>
    <s v="Marshall Electric_9620000456_RECON.xlsx"/>
    <n v="346140"/>
    <d v="2021-04-08T00:00:00"/>
    <n v="466.55"/>
    <n v="364603"/>
    <s v="Service Call"/>
    <n v="0"/>
    <n v="9620000456"/>
  </r>
  <r>
    <x v="94"/>
    <s v="Marshall Electric_9620000456_RECON.xlsx"/>
    <n v="345797"/>
    <d v="2021-04-12T00:00:00"/>
    <n v="706"/>
    <n v="1020231454"/>
    <s v="Install"/>
    <n v="0"/>
    <n v="9620000456"/>
  </r>
  <r>
    <x v="94"/>
    <s v="Marshall Electric_9620000456_RECON.xlsx"/>
    <n v="345245"/>
    <d v="2021-04-30T00:00:00"/>
    <n v="479"/>
    <n v="106976"/>
    <s v="PM"/>
    <n v="0"/>
    <n v="9620000456"/>
  </r>
  <r>
    <x v="94"/>
    <s v="Marshall Electric_9620000456_RECON.xlsx"/>
    <n v="347147"/>
    <d v="2021-06-07T00:00:00"/>
    <n v="384.4"/>
    <n v="379537"/>
    <s v="Service Call"/>
    <n v="0"/>
    <n v="9620000456"/>
  </r>
  <r>
    <x v="95"/>
    <s v="Mask-et_9620000459_RECON.xlsx"/>
    <n v="18198"/>
    <d v="2020-10-28T00:00:00"/>
    <n v="477.53"/>
    <n v="4500461287"/>
    <s v="Install"/>
    <n v="0"/>
    <n v="9620000459"/>
  </r>
  <r>
    <x v="95"/>
    <s v="Mask-et_9620000459_RECON.xlsx"/>
    <n v="18209"/>
    <d v="2020-11-04T00:00:00"/>
    <n v="427.98"/>
    <n v="4543969590"/>
    <s v="Install"/>
    <n v="0"/>
    <n v="9620000459"/>
  </r>
  <r>
    <x v="95"/>
    <s v="Mask-et_9620000459_RECON.xlsx"/>
    <n v="18244"/>
    <d v="2020-11-12T00:00:00"/>
    <n v="441.28"/>
    <n v="105657"/>
    <s v="PM"/>
    <n v="0"/>
    <n v="9620000459"/>
  </r>
  <r>
    <x v="95"/>
    <s v="Mask-et_9620000459_RECON.xlsx"/>
    <n v="18544"/>
    <d v="2021-01-12T00:00:00"/>
    <n v="319.02999999999997"/>
    <n v="340541"/>
    <s v="Service Call"/>
    <n v="0"/>
    <n v="9620000459"/>
  </r>
  <r>
    <x v="95"/>
    <s v="Mask-et_9620000459_RECON.xlsx"/>
    <n v="18547"/>
    <d v="2021-01-12T00:00:00"/>
    <n v="216.24"/>
    <n v="340661"/>
    <s v="Service Call"/>
    <n v="0"/>
    <n v="9620000459"/>
  </r>
  <r>
    <x v="95"/>
    <s v="Mask-et_9620000459_RECON.xlsx"/>
    <n v="18573"/>
    <d v="2021-01-20T00:00:00"/>
    <n v="314.08"/>
    <n v="172569"/>
    <s v="PM"/>
    <n v="0"/>
    <n v="9620000459"/>
  </r>
  <r>
    <x v="95"/>
    <s v="Mask-et_9620000459_RECON.xlsx"/>
    <n v="18603"/>
    <d v="2021-01-25T00:00:00"/>
    <n v="387.43"/>
    <s v="SMP421601-025"/>
    <s v="Install"/>
    <n v="0"/>
    <n v="9620000459"/>
  </r>
  <r>
    <x v="95"/>
    <s v="Mask-et_9620000459_RECON.xlsx"/>
    <n v="18608"/>
    <d v="2021-01-28T00:00:00"/>
    <n v="563.21"/>
    <n v="343684"/>
    <s v="Service Call"/>
    <n v="0"/>
    <n v="9620000459"/>
  </r>
  <r>
    <x v="95"/>
    <s v="Mask-et_9620000459_RECON.xlsx"/>
    <n v="18686"/>
    <d v="2021-02-05T00:00:00"/>
    <n v="898"/>
    <n v="346675"/>
    <s v="Service Call"/>
    <n v="0"/>
    <n v="9620000459"/>
  </r>
  <r>
    <x v="95"/>
    <s v="Mask-et_9620000459_RECON.xlsx"/>
    <n v="18689"/>
    <d v="2021-02-05T00:00:00"/>
    <n v="351.39"/>
    <n v="4500477610"/>
    <s v="Install"/>
    <n v="0"/>
    <n v="9620000459"/>
  </r>
  <r>
    <x v="95"/>
    <s v="Mask-et_9620000459_RECON.xlsx"/>
    <n v="18711"/>
    <d v="2021-02-11T00:00:00"/>
    <n v="126.14"/>
    <n v="213657"/>
    <s v="PM"/>
    <n v="0"/>
    <n v="9620000459"/>
  </r>
  <r>
    <x v="95"/>
    <s v="Mask-et_9620000459_RECON.xlsx"/>
    <n v="18721"/>
    <d v="2021-02-12T00:00:00"/>
    <n v="126.14"/>
    <n v="178701"/>
    <s v="PM"/>
    <n v="0"/>
    <n v="9620000459"/>
  </r>
  <r>
    <x v="95"/>
    <s v="Mask-et_9620000459_RECON.xlsx"/>
    <n v="18756"/>
    <d v="2021-02-23T00:00:00"/>
    <n v="301.83999999999997"/>
    <n v="352805"/>
    <s v="Service Call"/>
    <n v="0"/>
    <n v="9620000459"/>
  </r>
  <r>
    <x v="95"/>
    <s v="Mask-et_9620000459_RECON.xlsx"/>
    <n v="18768"/>
    <d v="2021-02-26T00:00:00"/>
    <n v="640.38"/>
    <n v="350550"/>
    <s v="Service Call"/>
    <n v="0"/>
    <n v="9620000459"/>
  </r>
  <r>
    <x v="95"/>
    <s v="Mask-et_9620000459_RECON.xlsx"/>
    <n v="18810"/>
    <d v="2021-03-08T00:00:00"/>
    <n v="291.5"/>
    <n v="168785"/>
    <s v="PM"/>
    <n v="0"/>
    <n v="9620000459"/>
  </r>
  <r>
    <x v="95"/>
    <s v="Mask-et_9620000459_RECON.xlsx"/>
    <n v="18830"/>
    <d v="2021-03-11T00:00:00"/>
    <n v="135.15"/>
    <n v="220335"/>
    <s v="PM"/>
    <n v="0"/>
    <n v="9620000459"/>
  </r>
  <r>
    <x v="95"/>
    <s v="Mask-et_9620000459_RECON.xlsx"/>
    <n v="18839"/>
    <d v="2021-03-15T00:00:00"/>
    <n v="381.6"/>
    <n v="119029"/>
    <s v="PM"/>
    <n v="0"/>
    <n v="9620000459"/>
  </r>
  <r>
    <x v="95"/>
    <s v="Mask-et_9620000459_RECON.xlsx"/>
    <n v="18847"/>
    <d v="2021-03-15T00:00:00"/>
    <n v="381.6"/>
    <n v="119256"/>
    <s v="PM"/>
    <n v="0"/>
    <n v="9620000459"/>
  </r>
  <r>
    <x v="95"/>
    <s v="Mask-et_9620000459_RECON.xlsx"/>
    <n v="18854"/>
    <d v="2021-03-16T00:00:00"/>
    <n v="336.66"/>
    <n v="203393"/>
    <s v="PM"/>
    <n v="0"/>
    <n v="9620000459"/>
  </r>
  <r>
    <x v="95"/>
    <s v="Mask-et_9620000459_RECON.xlsx"/>
    <n v="18856"/>
    <d v="2021-03-16T00:00:00"/>
    <n v="336.66"/>
    <n v="173904"/>
    <s v="PM"/>
    <n v="0"/>
    <n v="9620000459"/>
  </r>
  <r>
    <x v="95"/>
    <s v="Mask-et_9620000459_RECON.xlsx"/>
    <n v="18878"/>
    <d v="2021-03-22T00:00:00"/>
    <n v="90.1"/>
    <n v="361759"/>
    <s v="Service Call"/>
    <n v="0"/>
    <n v="9620000459"/>
  </r>
  <r>
    <x v="95"/>
    <s v="Mask-et_9620000459_RECON.xlsx"/>
    <n v="18948"/>
    <d v="2021-03-31T00:00:00"/>
    <n v="170"/>
    <n v="233405"/>
    <s v="PM"/>
    <n v="0"/>
    <n v="9620000459"/>
  </r>
  <r>
    <x v="95"/>
    <s v="Mask-et_9620000459_RECON.xlsx"/>
    <n v="18975"/>
    <d v="2021-04-06T00:00:00"/>
    <n v="63.75"/>
    <n v="218898"/>
    <s v="PM"/>
    <n v="0"/>
    <n v="9620000459"/>
  </r>
  <r>
    <x v="95"/>
    <s v="Mask-et_9620000459_RECON.xlsx"/>
    <n v="18978"/>
    <d v="2021-04-06T00:00:00"/>
    <n v="426.97"/>
    <n v="183310"/>
    <s v="PM"/>
    <n v="0"/>
    <n v="9620000459"/>
  </r>
  <r>
    <x v="95"/>
    <s v="Mask-et_9620000459_RECON.xlsx"/>
    <n v="19026"/>
    <d v="2021-04-19T00:00:00"/>
    <n v="416.3"/>
    <n v="105877"/>
    <s v="PM"/>
    <n v="0"/>
    <n v="9620000459"/>
  </r>
  <r>
    <x v="95"/>
    <s v="Mask-et_9620000459_RECON.xlsx"/>
    <n v="19027"/>
    <d v="2021-04-19T00:00:00"/>
    <n v="296.3"/>
    <n v="218898"/>
    <s v="PM"/>
    <n v="0"/>
    <n v="9620000459"/>
  </r>
  <r>
    <x v="95"/>
    <s v="Mask-et_9620000459_RECON.xlsx"/>
    <n v="19061"/>
    <d v="2021-04-26T00:00:00"/>
    <n v="395"/>
    <n v="180181"/>
    <s v="PM"/>
    <n v="0"/>
    <n v="9620000459"/>
  </r>
  <r>
    <x v="95"/>
    <s v="Mask-et_9620000459_RECON.xlsx"/>
    <n v="19072"/>
    <d v="2021-04-27T00:00:00"/>
    <n v="539.28"/>
    <n v="210085"/>
    <s v="PM"/>
    <n v="0"/>
    <n v="9620000459"/>
  </r>
  <r>
    <x v="95"/>
    <s v="Mask-et_9620000459_RECON.xlsx"/>
    <n v="19073"/>
    <d v="2021-04-27T00:00:00"/>
    <n v="494.23"/>
    <n v="206614"/>
    <s v="PM"/>
    <n v="0"/>
    <n v="9620000459"/>
  </r>
  <r>
    <x v="95"/>
    <s v="Mask-et_9620000459_RECON.xlsx"/>
    <n v="19074"/>
    <d v="2021-04-27T00:00:00"/>
    <n v="1050.8"/>
    <n v="332147"/>
    <s v="PM"/>
    <n v="0"/>
    <n v="9620000459"/>
  </r>
  <r>
    <x v="95"/>
    <s v="Mask-et_9620000459_RECON.xlsx"/>
    <n v="19076"/>
    <d v="2021-04-27T00:00:00"/>
    <n v="336.55"/>
    <n v="223468"/>
    <s v="PM"/>
    <n v="0"/>
    <n v="9620000459"/>
  </r>
  <r>
    <x v="95"/>
    <s v="Mask-et_9620000459_RECON.xlsx"/>
    <n v="19138"/>
    <d v="2021-05-14T00:00:00"/>
    <n v="336.66"/>
    <n v="304351"/>
    <s v="PM"/>
    <n v="0"/>
    <n v="9620000459"/>
  </r>
  <r>
    <x v="95"/>
    <s v="Mask-et_9620000459_RECON.xlsx"/>
    <n v="19139"/>
    <d v="2021-05-14T00:00:00"/>
    <n v="336.66"/>
    <n v="304350"/>
    <s v="PM"/>
    <n v="0"/>
    <n v="9620000459"/>
  </r>
  <r>
    <x v="95"/>
    <s v="Mask-et_9620000459_RECON.xlsx"/>
    <n v="19156"/>
    <d v="2021-05-18T00:00:00"/>
    <n v="702.78"/>
    <n v="371582"/>
    <s v="Service Call"/>
    <n v="0"/>
    <n v="9620000459"/>
  </r>
  <r>
    <x v="95"/>
    <s v="Mask-et_9620000459_RECON.xlsx"/>
    <n v="19157"/>
    <d v="2021-05-18T00:00:00"/>
    <n v="477.53"/>
    <n v="371583"/>
    <s v="Service Call"/>
    <n v="0"/>
    <n v="9620000459"/>
  </r>
  <r>
    <x v="95"/>
    <s v="Mask-et_9620000459_RECON.xlsx"/>
    <n v="19158"/>
    <d v="2021-05-18T00:00:00"/>
    <n v="405.45"/>
    <n v="102033865"/>
    <s v="Install"/>
    <n v="0"/>
    <n v="9620000459"/>
  </r>
  <r>
    <x v="95"/>
    <s v="Mask-et_9620000459_RECON.xlsx"/>
    <n v="19174"/>
    <d v="2021-05-20T00:00:00"/>
    <n v="221"/>
    <n v="373679"/>
    <s v="Service Call"/>
    <n v="0"/>
    <n v="9620000459"/>
  </r>
  <r>
    <x v="95"/>
    <s v="Mask-et_9620000459_RECON.xlsx"/>
    <n v="19184"/>
    <d v="2021-05-24T00:00:00"/>
    <n v="332.48"/>
    <n v="374448"/>
    <s v="Service Call"/>
    <n v="0"/>
    <n v="9620000459"/>
  </r>
  <r>
    <x v="95"/>
    <s v="Mask-et_9620000459_RECON.xlsx"/>
    <n v="19204"/>
    <d v="2021-05-27T00:00:00"/>
    <n v="225.25"/>
    <n v="376595"/>
    <s v="Service Call"/>
    <n v="0"/>
    <n v="9620000459"/>
  </r>
  <r>
    <x v="95"/>
    <s v="Mask-et_9620000459_RECON.xlsx"/>
    <n v="19240"/>
    <d v="2021-05-28T00:00:00"/>
    <n v="396.44"/>
    <n v="4566073590"/>
    <s v="TBD"/>
    <n v="0"/>
    <n v="9620000459"/>
  </r>
  <r>
    <x v="95"/>
    <s v="Mask-et_9620000459_RECON.xlsx"/>
    <n v="19215"/>
    <d v="2021-06-03T00:00:00"/>
    <n v="202.73"/>
    <n v="376508"/>
    <s v="Service Call"/>
    <n v="0"/>
    <n v="9620000459"/>
  </r>
  <r>
    <x v="95"/>
    <s v="Mask-et_9620000459_RECON.xlsx"/>
    <n v="19217"/>
    <d v="2021-06-03T00:00:00"/>
    <n v="90.1"/>
    <n v="376510"/>
    <s v="Service Call"/>
    <n v="0"/>
    <n v="9620000459"/>
  </r>
  <r>
    <x v="95"/>
    <s v="Mask-et_9620000459_RECON.xlsx"/>
    <n v="19219"/>
    <d v="2021-06-03T00:00:00"/>
    <n v="827.74"/>
    <n v="376663"/>
    <s v="Service Call"/>
    <n v="0"/>
    <n v="9620000459"/>
  </r>
  <r>
    <x v="95"/>
    <s v="Mask-et_9620000459_RECON.xlsx"/>
    <n v="19220"/>
    <d v="2021-06-03T00:00:00"/>
    <n v="646.63"/>
    <n v="376095"/>
    <s v="Service Call"/>
    <n v="0"/>
    <n v="9620000459"/>
  </r>
  <r>
    <x v="95"/>
    <s v="Mask-et_9620000459_RECON.xlsx"/>
    <n v="19018"/>
    <d v="2021-06-10T00:00:00"/>
    <n v="225.25"/>
    <n v="378474"/>
    <s v="Service Call"/>
    <n v="0"/>
    <n v="9620000459"/>
  </r>
  <r>
    <x v="95"/>
    <s v="Mask-et_9620000459_RECON.xlsx"/>
    <n v="19262"/>
    <d v="2021-06-10T00:00:00"/>
    <n v="360.4"/>
    <n v="376972"/>
    <s v="Service Call"/>
    <n v="0"/>
    <n v="9620000459"/>
  </r>
  <r>
    <x v="95"/>
    <s v="Mask-et_9620000459_RECON.xlsx"/>
    <n v="19275"/>
    <d v="2021-06-11T00:00:00"/>
    <n v="381.6"/>
    <n v="155417"/>
    <s v="PM"/>
    <n v="0"/>
    <n v="9620000459"/>
  </r>
  <r>
    <x v="95"/>
    <s v="Mask-et_9620000459_RECON.xlsx"/>
    <n v="19276"/>
    <d v="2021-06-11T00:00:00"/>
    <n v="426.97"/>
    <n v="170884"/>
    <s v="PM"/>
    <n v="0"/>
    <n v="9620000459"/>
  </r>
  <r>
    <x v="95"/>
    <s v="Mask-et_9620000459_RECON.xlsx"/>
    <n v="19277"/>
    <d v="2021-06-11T00:00:00"/>
    <n v="314.08"/>
    <n v="367573"/>
    <s v="PM"/>
    <n v="0"/>
    <n v="9620000459"/>
  </r>
  <r>
    <x v="95"/>
    <s v="Mask-et_9620000459_RECON.xlsx"/>
    <n v="19278"/>
    <d v="2021-06-11T00:00:00"/>
    <n v="314.08"/>
    <n v="358297"/>
    <s v="PM"/>
    <n v="0"/>
    <n v="9620000459"/>
  </r>
  <r>
    <x v="95"/>
    <s v="Mask-et_9620000459_RECON.xlsx"/>
    <n v="19284"/>
    <d v="2021-06-15T00:00:00"/>
    <n v="285.39"/>
    <n v="379962"/>
    <s v="Service Call"/>
    <n v="0"/>
    <n v="9620000459"/>
  </r>
  <r>
    <x v="96"/>
    <s v="McCarthy Food Equipment_9620000460_RECON.xlsx"/>
    <n v="151938"/>
    <d v="2020-10-02T00:00:00"/>
    <n v="66"/>
    <n v="312031"/>
    <s v="Service Call"/>
    <n v="0"/>
    <n v="9620000460"/>
  </r>
  <r>
    <x v="96"/>
    <s v="McCarthy Food Equipment_9620000460_RECON.xlsx"/>
    <n v="151939"/>
    <d v="2020-10-02T00:00:00"/>
    <n v="133.16"/>
    <n v="312032"/>
    <s v="Service Call"/>
    <n v="0"/>
    <n v="9620000460"/>
  </r>
  <r>
    <x v="96"/>
    <s v="McCarthy Food Equipment_9620000460_RECON.xlsx"/>
    <n v="152022"/>
    <d v="2020-10-14T00:00:00"/>
    <n v="211.11"/>
    <n v="313594"/>
    <s v="Service Call"/>
    <n v="0"/>
    <n v="9620000460"/>
  </r>
  <r>
    <x v="96"/>
    <s v="McCarthy Food Equipment_9620000460_RECON.xlsx"/>
    <n v="152059"/>
    <d v="2020-10-20T00:00:00"/>
    <n v="456.65"/>
    <n v="314630"/>
    <s v="Service Call"/>
    <n v="0"/>
    <n v="9620000460"/>
  </r>
  <r>
    <x v="96"/>
    <s v="McCarthy Food Equipment_9620000460_RECON.xlsx"/>
    <n v="152098"/>
    <d v="2020-10-23T00:00:00"/>
    <n v="153.65"/>
    <n v="314259"/>
    <s v="Service Call"/>
    <n v="0"/>
    <n v="9620000460"/>
  </r>
  <r>
    <x v="96"/>
    <s v="McCarthy Food Equipment_9620000460_RECON.xlsx"/>
    <n v="152168"/>
    <d v="2020-11-06T00:00:00"/>
    <n v="197.38"/>
    <n v="317248"/>
    <s v="Service Call"/>
    <n v="0"/>
    <n v="9620000460"/>
  </r>
  <r>
    <x v="96"/>
    <s v="McCarthy Food Equipment_9620000460_RECON.xlsx"/>
    <n v="152671"/>
    <d v="2021-01-20T00:00:00"/>
    <n v="1638.63"/>
    <n v="966369533"/>
    <s v="Service Call"/>
    <n v="0"/>
    <n v="9620000460"/>
  </r>
  <r>
    <x v="96"/>
    <s v="McCarthy Food Equipment_9620000460_RECON.xlsx"/>
    <n v="153378"/>
    <d v="2021-05-11T00:00:00"/>
    <n v="433"/>
    <n v="224329"/>
    <s v="PM"/>
    <n v="0"/>
    <n v="9620000460"/>
  </r>
  <r>
    <x v="97"/>
    <s v="McLeod Bros Mechanical_9620000462_RECON.xlsx"/>
    <s v="J072893"/>
    <d v="2021-04-20T00:00:00"/>
    <n v="159.19"/>
    <n v="326328"/>
    <s v="PM"/>
    <n v="0"/>
    <n v="9620000462"/>
  </r>
  <r>
    <x v="97"/>
    <s v="McLeod Bros Mechanical_9620000462_RECON.xlsx"/>
    <s v="J072894"/>
    <d v="2021-04-22T00:00:00"/>
    <n v="723.48"/>
    <n v="4520218067"/>
    <s v="Install"/>
    <n v="0"/>
    <n v="9620000462"/>
  </r>
  <r>
    <x v="98"/>
    <s v="MEI Maintenance_9620000464, 9620000860, 9620000861, 9620000862, 9620000863, 9620000864, 9620000865, 9620000866_RECON.xlsx"/>
    <n v="120939"/>
    <d v="2020-10-09T00:00:00"/>
    <n v="293.22000000000003"/>
    <s v="00205694*"/>
    <s v="PM"/>
    <n v="0"/>
    <n v="9620000464"/>
  </r>
  <r>
    <x v="98"/>
    <s v="MEI Maintenance_9620000464, 9620000860, 9620000861, 9620000862, 9620000863, 9620000864, 9620000865, 9620000866_RECON.xlsx"/>
    <n v="120727"/>
    <d v="2020-10-14T00:00:00"/>
    <n v="329.94"/>
    <s v="00313744*"/>
    <s v="Service Call"/>
    <n v="0"/>
    <n v="9620000464"/>
  </r>
  <r>
    <x v="98"/>
    <s v="MEI Maintenance_9620000464, 9620000860, 9620000861, 9620000862, 9620000863, 9620000864, 9620000865, 9620000866_RECON.xlsx"/>
    <n v="120900"/>
    <d v="2020-10-16T00:00:00"/>
    <n v="90.63"/>
    <s v="00222640*"/>
    <s v="PM"/>
    <n v="0"/>
    <n v="9620000464"/>
  </r>
  <r>
    <x v="98"/>
    <s v="MEI Maintenance_9620000464, 9620000860, 9620000861, 9620000862, 9620000863, 9620000864, 9620000865, 9620000866_RECON.xlsx"/>
    <n v="120748"/>
    <d v="2020-10-21T00:00:00"/>
    <n v="182.66"/>
    <n v="314588"/>
    <s v="Service Call"/>
    <n v="0"/>
    <n v="9620000464"/>
  </r>
  <r>
    <x v="98"/>
    <s v="MEI Maintenance_9620000464, 9620000860, 9620000861, 9620000862, 9620000863, 9620000864, 9620000865, 9620000866_RECON.xlsx"/>
    <n v="120949"/>
    <d v="2020-11-02T00:00:00"/>
    <n v="182.66"/>
    <s v="00316635*"/>
    <s v="Service Call"/>
    <n v="0"/>
    <n v="9620000464"/>
  </r>
  <r>
    <x v="98"/>
    <s v="MEI Maintenance_9620000464, 9620000860, 9620000861, 9620000862, 9620000863, 9620000864, 9620000865, 9620000866_RECON.xlsx"/>
    <s v="120799-801"/>
    <d v="2020-11-09T00:00:00"/>
    <n v="2325.7199999999998"/>
    <n v="0"/>
    <s v="TBD"/>
    <n v="0"/>
    <n v="9620000464"/>
  </r>
  <r>
    <x v="98"/>
    <s v="MEI Maintenance_9620000464, 9620000860, 9620000861, 9620000862, 9620000863, 9620000864, 9620000865, 9620000866_RECON.xlsx"/>
    <n v="120825"/>
    <d v="2020-11-12T00:00:00"/>
    <n v="181.26"/>
    <n v="318578"/>
    <s v="Service Call"/>
    <n v="0"/>
    <n v="9620000464"/>
  </r>
  <r>
    <x v="98"/>
    <s v="MEI Maintenance_9620000464, 9620000860, 9620000861, 9620000862, 9620000863, 9620000864, 9620000865, 9620000866_RECON.xlsx"/>
    <n v="120828"/>
    <d v="2020-11-13T00:00:00"/>
    <n v="276.14999999999998"/>
    <n v="318849"/>
    <s v="Service Call"/>
    <n v="0"/>
    <n v="9620000464"/>
  </r>
  <r>
    <x v="98"/>
    <s v="MEI Maintenance_9620000464, 9620000860, 9620000861, 9620000862, 9620000863, 9620000864, 9620000865, 9620000866_RECON.xlsx"/>
    <n v="120816"/>
    <d v="2020-11-18T00:00:00"/>
    <n v="90.63"/>
    <n v="122057"/>
    <s v="PM"/>
    <n v="0"/>
    <n v="9620000464"/>
  </r>
  <r>
    <x v="98"/>
    <s v="MEI Maintenance_9620000464, 9620000860, 9620000861, 9620000862, 9620000863, 9620000864, 9620000865, 9620000866_RECON.xlsx"/>
    <n v="120920"/>
    <d v="2020-11-20T00:00:00"/>
    <n v="421.17"/>
    <n v="136206"/>
    <s v="PM"/>
    <n v="0"/>
    <n v="9620000464"/>
  </r>
  <r>
    <x v="98"/>
    <s v="MEI Maintenance_9620000464, 9620000860, 9620000861, 9620000862, 9620000863, 9620000864, 9620000865, 9620000866_RECON.xlsx"/>
    <n v="120842"/>
    <d v="2020-11-20T00:00:00"/>
    <n v="196.26"/>
    <n v="320447"/>
    <s v="Service Call"/>
    <n v="0"/>
    <n v="9620000464"/>
  </r>
  <r>
    <x v="98"/>
    <s v="MEI Maintenance_9620000464, 9620000860, 9620000861, 9620000862, 9620000863, 9620000864, 9620000865, 9620000866_RECON.xlsx"/>
    <n v="120841"/>
    <d v="2020-11-20T00:00:00"/>
    <n v="228.8"/>
    <n v="320669"/>
    <s v="Service Call"/>
    <n v="0"/>
    <n v="9620000464"/>
  </r>
  <r>
    <x v="98"/>
    <s v="MEI Maintenance_9620000464, 9620000860, 9620000861, 9620000862, 9620000863, 9620000864, 9620000865, 9620000866_RECON.xlsx"/>
    <n v="120928"/>
    <d v="2020-11-27T00:00:00"/>
    <n v="343.87"/>
    <n v="4500469499"/>
    <s v="Install"/>
    <n v="0"/>
    <n v="9620000464"/>
  </r>
  <r>
    <x v="98"/>
    <s v="MEI Maintenance_9620000464, 9620000860, 9620000861, 9620000862, 9620000863, 9620000864, 9620000865, 9620000866_RECON.xlsx"/>
    <n v="121013"/>
    <d v="2020-12-10T00:00:00"/>
    <n v="181.26"/>
    <n v="326548"/>
    <s v="Service Call"/>
    <n v="0"/>
    <n v="9620000464"/>
  </r>
  <r>
    <x v="98"/>
    <s v="MEI Maintenance_9620000464, 9620000860, 9620000861, 9620000862, 9620000863, 9620000864, 9620000865, 9620000866_RECON.xlsx"/>
    <n v="121025"/>
    <d v="2020-12-16T00:00:00"/>
    <n v="436.17"/>
    <n v="0"/>
    <s v="TBD"/>
    <n v="0"/>
    <n v="9620000464"/>
  </r>
  <r>
    <x v="98"/>
    <s v="MEI Maintenance_9620000464, 9620000860, 9620000861, 9620000862, 9620000863, 9620000864, 9620000865, 9620000866_RECON.xlsx"/>
    <n v="121026"/>
    <d v="2020-12-18T00:00:00"/>
    <n v="226.58"/>
    <n v="0"/>
    <s v="TBD"/>
    <n v="0"/>
    <n v="9620000464"/>
  </r>
  <r>
    <x v="98"/>
    <s v="MEI Maintenance_9620000464, 9620000860, 9620000861, 9620000862, 9620000863, 9620000864, 9620000865, 9620000866_RECON.xlsx"/>
    <n v="121034"/>
    <d v="2020-12-23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084"/>
    <d v="2020-12-23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114"/>
    <d v="2021-01-05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115"/>
    <d v="2021-01-05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050"/>
    <d v="2021-01-05T00:00:00"/>
    <n v="436.17"/>
    <n v="0"/>
    <s v="TBD"/>
    <n v="0"/>
    <n v="9620000464"/>
  </r>
  <r>
    <x v="98"/>
    <s v="MEI Maintenance_9620000464, 9620000860, 9620000861, 9620000862, 9620000863, 9620000864, 9620000865, 9620000866_RECON.xlsx"/>
    <n v="121117"/>
    <d v="2021-01-06T00:00:00"/>
    <n v="421.17"/>
    <n v="0"/>
    <s v="TBD"/>
    <n v="0"/>
    <n v="9620000464"/>
  </r>
  <r>
    <x v="98"/>
    <s v="MEI Maintenance_9620000464, 9620000860, 9620000861, 9620000862, 9620000863, 9620000864, 9620000865, 9620000866_RECON.xlsx"/>
    <n v="121053"/>
    <d v="2021-01-06T00:00:00"/>
    <n v="241.08"/>
    <n v="0"/>
    <s v="TBD"/>
    <n v="0"/>
    <n v="9620000464"/>
  </r>
  <r>
    <x v="98"/>
    <s v="MEI Maintenance_9620000464, 9620000860, 9620000861, 9620000862, 9620000863, 9620000864, 9620000865, 9620000866_RECON.xlsx"/>
    <n v="121121"/>
    <d v="2021-01-07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057"/>
    <d v="2021-01-07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125"/>
    <d v="2021-01-08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122"/>
    <d v="2021-01-08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124"/>
    <d v="2021-01-08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123"/>
    <d v="2021-01-08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061"/>
    <d v="2021-01-11T00:00:00"/>
    <n v="135.94999999999999"/>
    <n v="0"/>
    <s v="TBD"/>
    <n v="0"/>
    <n v="9620000464"/>
  </r>
  <r>
    <x v="98"/>
    <s v="MEI Maintenance_9620000464, 9620000860, 9620000861, 9620000862, 9620000863, 9620000864, 9620000865, 9620000866_RECON.xlsx"/>
    <n v="121179"/>
    <d v="2021-01-12T00:00:00"/>
    <n v="203.92"/>
    <n v="0"/>
    <s v="TBD"/>
    <n v="0"/>
    <n v="9620000464"/>
  </r>
  <r>
    <x v="98"/>
    <s v="MEI Maintenance_9620000464, 9620000860, 9620000861, 9620000862, 9620000863, 9620000864, 9620000865, 9620000866_RECON.xlsx"/>
    <n v="121137"/>
    <d v="2021-01-14T00:00:00"/>
    <n v="198.73"/>
    <n v="0"/>
    <s v="TBD"/>
    <n v="0"/>
    <n v="9620000464"/>
  </r>
  <r>
    <x v="98"/>
    <s v="MEI Maintenance_9620000464, 9620000860, 9620000861, 9620000862, 9620000863, 9620000864, 9620000865, 9620000866_RECON.xlsx"/>
    <n v="121202"/>
    <d v="2021-01-19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206"/>
    <d v="2021-01-20T00:00:00"/>
    <n v="106.63"/>
    <n v="0"/>
    <s v="TBD"/>
    <n v="0"/>
    <n v="9620000464"/>
  </r>
  <r>
    <x v="98"/>
    <s v="MEI Maintenance_9620000464, 9620000860, 9620000861, 9620000862, 9620000863, 9620000864, 9620000865, 9620000866_RECON.xlsx"/>
    <n v="121162"/>
    <d v="2021-01-22T00:00:00"/>
    <n v="421.17"/>
    <n v="0"/>
    <s v="TBD"/>
    <n v="0"/>
    <n v="9620000464"/>
  </r>
  <r>
    <x v="98"/>
    <s v="MEI Maintenance_9620000464, 9620000860, 9620000861, 9620000862, 9620000863, 9620000864, 9620000865, 9620000866_RECON.xlsx"/>
    <n v="121297"/>
    <d v="2021-01-27T00:00:00"/>
    <n v="90.63"/>
    <n v="0"/>
    <s v="TBD"/>
    <n v="0"/>
    <n v="9620000464"/>
  </r>
  <r>
    <x v="98"/>
    <s v="MEI Maintenance_9620000464, 9620000860, 9620000861, 9620000862, 9620000863, 9620000864, 9620000865, 9620000866_RECON.xlsx"/>
    <n v="121317"/>
    <d v="2021-01-30T00:00:00"/>
    <n v="540.66999999999996"/>
    <n v="0"/>
    <s v="TBD"/>
    <n v="0"/>
    <n v="9620000464"/>
  </r>
  <r>
    <x v="98"/>
    <s v="MEI Maintenance_9620000464, 9620000860, 9620000861, 9620000862, 9620000863, 9620000864, 9620000865, 9620000866_RECON.xlsx"/>
    <n v="121316"/>
    <d v="2021-01-30T00:00:00"/>
    <n v="90.63"/>
    <n v="0"/>
    <s v="TBD"/>
    <n v="0"/>
    <n v="9620000464"/>
  </r>
  <r>
    <x v="98"/>
    <s v="MEI Maintenance_9620000464, 9620000860, 9620000861, 9620000862, 9620000863, 9620000864, 9620000865, 9620000866_RECON.xlsx"/>
    <n v="121394"/>
    <d v="2021-02-03T00:00:00"/>
    <n v="309.22000000000003"/>
    <n v="0"/>
    <s v="TBD"/>
    <n v="0"/>
    <n v="9620000464"/>
  </r>
  <r>
    <x v="98"/>
    <s v="MEI Maintenance_9620000464, 9620000860, 9620000861, 9620000862, 9620000863, 9620000864, 9620000865, 9620000866_RECON.xlsx"/>
    <n v="121329"/>
    <d v="2021-02-08T00:00:00"/>
    <n v="90.63"/>
    <n v="0"/>
    <s v="TBD"/>
    <n v="0"/>
    <n v="9620000464"/>
  </r>
  <r>
    <x v="98"/>
    <s v="MEI Maintenance_9620000464, 9620000860, 9620000861, 9620000862, 9620000863, 9620000864, 9620000865, 9620000866_RECON.xlsx"/>
    <n v="121375"/>
    <d v="2021-02-08T00:00:00"/>
    <n v="135.94999999999999"/>
    <n v="0"/>
    <s v="TBD"/>
    <n v="0"/>
    <n v="9620000464"/>
  </r>
  <r>
    <x v="98"/>
    <s v="MEI Maintenance_9620000464, 9620000860, 9620000861, 9620000862, 9620000863, 9620000864, 9620000865, 9620000866_RECON.xlsx"/>
    <n v="121382"/>
    <d v="2021-02-10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383"/>
    <d v="2021-02-10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335"/>
    <d v="2021-02-11T00:00:00"/>
    <n v="329.94"/>
    <n v="0"/>
    <s v="TBD"/>
    <n v="0"/>
    <n v="9620000464"/>
  </r>
  <r>
    <x v="98"/>
    <s v="MEI Maintenance_9620000464, 9620000860, 9620000861, 9620000862, 9620000863, 9620000864, 9620000865, 9620000866_RECON.xlsx"/>
    <n v="121337"/>
    <d v="2021-02-11T00:00:00"/>
    <n v="362.5"/>
    <n v="0"/>
    <s v="TBD"/>
    <n v="0"/>
    <n v="9620000464"/>
  </r>
  <r>
    <x v="98"/>
    <s v="MEI Maintenance_9620000464, 9620000860, 9620000861, 9620000862, 9620000863, 9620000864, 9620000865, 9620000866_RECON.xlsx"/>
    <n v="121339"/>
    <d v="2021-02-12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384"/>
    <d v="2021-02-12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387"/>
    <d v="2021-02-16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342"/>
    <d v="2021-02-16T00:00:00"/>
    <n v="421.17"/>
    <n v="0"/>
    <s v="TBD"/>
    <n v="0"/>
    <n v="9620000464"/>
  </r>
  <r>
    <x v="98"/>
    <s v="MEI Maintenance_9620000464, 9620000860, 9620000861, 9620000862, 9620000863, 9620000864, 9620000865, 9620000866_RECON.xlsx"/>
    <n v="121207"/>
    <d v="2021-03-12T00:00:00"/>
    <n v="309.22000000000003"/>
    <n v="0"/>
    <s v="TBD"/>
    <n v="0"/>
    <n v="9620000464"/>
  </r>
  <r>
    <x v="98"/>
    <s v="MEI Maintenance_9620000464, 9620000860, 9620000861, 9620000862, 9620000863, 9620000864, 9620000865, 9620000866_RECON.xlsx"/>
    <n v="121213"/>
    <d v="2021-03-16T00:00:00"/>
    <n v="504.41"/>
    <n v="0"/>
    <s v="TBD"/>
    <n v="0"/>
    <n v="9620000464"/>
  </r>
  <r>
    <x v="98"/>
    <s v="MEI Maintenance_9620000464, 9620000860, 9620000861, 9620000862, 9620000863, 9620000864, 9620000865, 9620000866_RECON.xlsx"/>
    <n v="121214"/>
    <d v="2021-03-16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218"/>
    <d v="2021-03-19T00:00:00"/>
    <n v="333.21"/>
    <n v="0"/>
    <s v="TBD"/>
    <n v="0"/>
    <n v="9620000464"/>
  </r>
  <r>
    <x v="98"/>
    <s v="MEI Maintenance_9620000464, 9620000860, 9620000861, 9620000862, 9620000863, 9620000864, 9620000865, 9620000866_RECON.xlsx"/>
    <n v="121233"/>
    <d v="2021-03-19T00:00:00"/>
    <n v="106.63"/>
    <n v="0"/>
    <s v="TBD"/>
    <n v="0"/>
    <n v="9620000464"/>
  </r>
  <r>
    <x v="98"/>
    <s v="MEI Maintenance_9620000464, 9620000860, 9620000861, 9620000862, 9620000863, 9620000864, 9620000865, 9620000866_RECON.xlsx"/>
    <n v="121468"/>
    <d v="2021-03-26T00:00:00"/>
    <n v="113.29"/>
    <n v="0"/>
    <s v="TBD"/>
    <n v="0"/>
    <n v="9620000464"/>
  </r>
  <r>
    <x v="98"/>
    <s v="MEI Maintenance_9620000464, 9620000860, 9620000861, 9620000862, 9620000863, 9620000864, 9620000865, 9620000866_RECON.xlsx"/>
    <n v="121236"/>
    <d v="2021-03-30T00:00:00"/>
    <n v="22.66"/>
    <n v="0"/>
    <s v="TBD"/>
    <n v="0"/>
    <n v="9620000464"/>
  </r>
  <r>
    <x v="98"/>
    <s v="MEI Maintenance_9620000464, 9620000860, 9620000861, 9620000862, 9620000863, 9620000864, 9620000865, 9620000866_RECON.xlsx"/>
    <n v="121237"/>
    <d v="2021-03-31T00:00:00"/>
    <n v="203.92"/>
    <n v="0"/>
    <s v="TBD"/>
    <n v="0"/>
    <n v="9620000464"/>
  </r>
  <r>
    <x v="98"/>
    <s v="MEI Maintenance_9620000464, 9620000860, 9620000861, 9620000862, 9620000863, 9620000864, 9620000865, 9620000866_RECON.xlsx"/>
    <n v="121510"/>
    <d v="2021-04-13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491"/>
    <d v="2021-04-14T00:00:00"/>
    <n v="362.53"/>
    <n v="0"/>
    <s v="TBD"/>
    <n v="0"/>
    <n v="9620000464"/>
  </r>
  <r>
    <x v="98"/>
    <s v="MEI Maintenance_9620000464, 9620000860, 9620000861, 9620000862, 9620000863, 9620000864, 9620000865, 9620000866_RECON.xlsx"/>
    <n v="121525"/>
    <d v="2021-04-27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531"/>
    <d v="2021-05-03T00:00:00"/>
    <n v="290.19"/>
    <n v="0"/>
    <s v="TBD"/>
    <n v="0"/>
    <n v="9620000464"/>
  </r>
  <r>
    <x v="98"/>
    <s v="MEI Maintenance_9620000464, 9620000860, 9620000861, 9620000862, 9620000863, 9620000864, 9620000865, 9620000866_RECON.xlsx"/>
    <s v="121639-1641"/>
    <d v="2021-05-17T00:00:00"/>
    <n v="478.43"/>
    <n v="0"/>
    <s v="TBD"/>
    <n v="0"/>
    <n v="9620000464"/>
  </r>
  <r>
    <x v="98"/>
    <s v="MEI Maintenance_9620000464, 9620000860, 9620000861, 9620000862, 9620000863, 9620000864, 9620000865, 9620000866_RECON.xlsx"/>
    <n v="121593"/>
    <d v="2021-05-17T00:00:00"/>
    <n v="295.7"/>
    <n v="0"/>
    <s v="TBD"/>
    <n v="0"/>
    <n v="9620000464"/>
  </r>
  <r>
    <x v="98"/>
    <s v="MEI Maintenance_9620000464, 9620000860, 9620000861, 9620000862, 9620000863, 9620000864, 9620000865, 9620000866_RECON.xlsx"/>
    <n v="121594"/>
    <d v="2021-05-18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597"/>
    <d v="2021-05-19T00:00:00"/>
    <n v="497.15"/>
    <n v="0"/>
    <s v="TBD"/>
    <n v="0"/>
    <n v="9620000464"/>
  </r>
  <r>
    <x v="98"/>
    <s v="MEI Maintenance_9620000464, 9620000860, 9620000861, 9620000862, 9620000863, 9620000864, 9620000865, 9620000866_RECON.xlsx"/>
    <n v="121645"/>
    <d v="2021-05-20T00:00:00"/>
    <n v="271.89"/>
    <n v="0"/>
    <s v="TBD"/>
    <n v="0"/>
    <n v="9620000464"/>
  </r>
  <r>
    <x v="98"/>
    <s v="MEI Maintenance_9620000464, 9620000860, 9620000861, 9620000862, 9620000863, 9620000864, 9620000865, 9620000866_RECON.xlsx"/>
    <n v="121649"/>
    <d v="2021-05-21T00:00:00"/>
    <n v="229.97"/>
    <n v="0"/>
    <s v="TBD"/>
    <n v="0"/>
    <n v="9620000464"/>
  </r>
  <r>
    <x v="98"/>
    <s v="MEI Maintenance_9620000464, 9620000860, 9620000861, 9620000862, 9620000863, 9620000864, 9620000865, 9620000866_RECON.xlsx"/>
    <n v="121608"/>
    <d v="2021-05-26T00:00:00"/>
    <n v="158.6"/>
    <n v="0"/>
    <s v="TBD"/>
    <n v="0"/>
    <n v="9620000464"/>
  </r>
  <r>
    <x v="98"/>
    <s v="MEI Maintenance_9620000464, 9620000860, 9620000861, 9620000862, 9620000863, 9620000864, 9620000865, 9620000866_RECON.xlsx"/>
    <n v="121258"/>
    <d v="2021-05-26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257"/>
    <d v="2021-05-26T00:00:00"/>
    <n v="316.62"/>
    <n v="0"/>
    <s v="TBD"/>
    <n v="0"/>
    <n v="9620000464"/>
  </r>
  <r>
    <x v="98"/>
    <s v="MEI Maintenance_9620000464, 9620000860, 9620000861, 9620000862, 9620000863, 9620000864, 9620000865, 9620000866_RECON.xlsx"/>
    <n v="121259"/>
    <d v="2021-05-27T00:00:00"/>
    <n v="113.29"/>
    <n v="0"/>
    <s v="TBD"/>
    <n v="0"/>
    <n v="9620000464"/>
  </r>
  <r>
    <x v="98"/>
    <s v="MEI Maintenance_9620000464, 9620000860, 9620000861, 9620000862, 9620000863, 9620000864, 9620000865, 9620000866_RECON.xlsx"/>
    <n v="121670"/>
    <d v="2021-05-27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610"/>
    <d v="2021-05-27T00:00:00"/>
    <n v="135.94999999999999"/>
    <n v="0"/>
    <s v="TBD"/>
    <n v="0"/>
    <n v="9620000464"/>
  </r>
  <r>
    <x v="98"/>
    <s v="MEI Maintenance_9620000464, 9620000860, 9620000861, 9620000862, 9620000863, 9620000864, 9620000865, 9620000866_RECON.xlsx"/>
    <n v="121260"/>
    <d v="2021-05-28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640"/>
    <d v="2021-05-28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672"/>
    <d v="2021-05-28T00:00:00"/>
    <n v="184.06"/>
    <n v="0"/>
    <s v="TBD"/>
    <n v="0"/>
    <n v="9620000464"/>
  </r>
  <r>
    <x v="98"/>
    <s v="MEI Maintenance_9620000464, 9620000860, 9620000861, 9620000862, 9620000863, 9620000864, 9620000865, 9620000866_RECON.xlsx"/>
    <n v="121673"/>
    <d v="2021-05-28T00:00:00"/>
    <n v="251.44"/>
    <n v="0"/>
    <s v="TBD"/>
    <n v="0"/>
    <n v="9620000464"/>
  </r>
  <r>
    <x v="98"/>
    <s v="MEI Maintenance_9620000464, 9620000860, 9620000861, 9620000862, 9620000863, 9620000864, 9620000865, 9620000866_RECON.xlsx"/>
    <n v="121615"/>
    <d v="2021-06-01T00:00:00"/>
    <n v="293.22000000000003"/>
    <n v="0"/>
    <s v="TBD"/>
    <n v="0"/>
    <n v="9620000464"/>
  </r>
  <r>
    <x v="98"/>
    <s v="MEI Maintenance_9620000464, 9620000860, 9620000861, 9620000862, 9620000863, 9620000864, 9620000865, 9620000866_RECON.xlsx"/>
    <n v="121619"/>
    <d v="2021-06-02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617"/>
    <d v="2021-06-02T00:00:00"/>
    <n v="184.31"/>
    <n v="0"/>
    <s v="TBD"/>
    <n v="0"/>
    <n v="9620000464"/>
  </r>
  <r>
    <x v="98"/>
    <s v="MEI Maintenance_9620000464, 9620000860, 9620000861, 9620000862, 9620000863, 9620000864, 9620000865, 9620000866_RECON.xlsx"/>
    <n v="121618"/>
    <d v="2021-06-02T00:00:00"/>
    <n v="90.63"/>
    <n v="0"/>
    <s v="TBD"/>
    <n v="0"/>
    <n v="9620000464"/>
  </r>
  <r>
    <x v="98"/>
    <s v="MEI Maintenance_9620000464, 9620000860, 9620000861, 9620000862, 9620000863, 9620000864, 9620000865, 9620000866_RECON.xlsx"/>
    <n v="121621"/>
    <d v="2021-06-03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622"/>
    <d v="2021-06-03T00:00:00"/>
    <n v="90.63"/>
    <n v="0"/>
    <s v="TBD"/>
    <n v="0"/>
    <n v="9620000464"/>
  </r>
  <r>
    <x v="98"/>
    <s v="MEI Maintenance_9620000464, 9620000860, 9620000861, 9620000862, 9620000863, 9620000864, 9620000865, 9620000866_RECON.xlsx"/>
    <n v="121623"/>
    <d v="2021-06-03T00:00:00"/>
    <n v="244.61"/>
    <n v="0"/>
    <s v="TBD"/>
    <n v="0"/>
    <n v="9620000464"/>
  </r>
  <r>
    <x v="98"/>
    <s v="MEI Maintenance_9620000464, 9620000860, 9620000861, 9620000862, 9620000863, 9620000864, 9620000865, 9620000866_RECON.xlsx"/>
    <n v="121627"/>
    <d v="2021-06-04T00:00:00"/>
    <n v="227.97"/>
    <n v="0"/>
    <s v="TBD"/>
    <n v="0"/>
    <n v="9620000464"/>
  </r>
  <r>
    <x v="98"/>
    <s v="MEI Maintenance_9620000464, 9620000860, 9620000861, 9620000862, 9620000863, 9620000864, 9620000865, 9620000866_RECON.xlsx"/>
    <n v="121628"/>
    <d v="2021-06-04T00:00:00"/>
    <n v="181.26"/>
    <n v="0"/>
    <s v="TBD"/>
    <n v="0"/>
    <n v="9620000464"/>
  </r>
  <r>
    <x v="98"/>
    <s v="MEI Maintenance_9620000464, 9620000860, 9620000861, 9620000862, 9620000863, 9620000864, 9620000865, 9620000866_RECON.xlsx"/>
    <n v="121675"/>
    <d v="2021-06-10T00:00:00"/>
    <n v="252.43"/>
    <n v="0"/>
    <s v="TBD"/>
    <n v="0"/>
    <n v="9620000464"/>
  </r>
  <r>
    <x v="98"/>
    <s v="MEI Maintenance_9620000464, 9620000860, 9620000861, 9620000862, 9620000863, 9620000864, 9620000865, 9620000866_RECON.xlsx"/>
    <n v="121697"/>
    <d v="2021-06-14T00:00:00"/>
    <n v="225.99"/>
    <n v="0"/>
    <s v="TBD"/>
    <n v="0"/>
    <n v="9620000464"/>
  </r>
  <r>
    <x v="98"/>
    <s v="MEI Maintenance_9620000464, 9620000860, 9620000861, 9620000862, 9620000863, 9620000864, 9620000865, 9620000866_RECON.xlsx"/>
    <n v="121700"/>
    <d v="2021-06-15T00:00:00"/>
    <n v="293.89999999999998"/>
    <n v="0"/>
    <s v="TBD"/>
    <n v="0"/>
    <n v="9620000464"/>
  </r>
  <r>
    <x v="98"/>
    <s v="MEI Maintenance_9620000464, 9620000860, 9620000861, 9620000862, 9620000863, 9620000864, 9620000865, 9620000866_RECON.xlsx"/>
    <n v="121685"/>
    <d v="2021-06-18T00:00:00"/>
    <n v="438.64"/>
    <n v="0"/>
    <s v="TBD"/>
    <n v="0"/>
    <n v="9620000464"/>
  </r>
  <r>
    <x v="98"/>
    <s v="MEI Maintenance_9620000464, 9620000860, 9620000861, 9620000862, 9620000863, 9620000864, 9620000865, 9620000866_RECON.xlsx"/>
    <n v="121261"/>
    <d v="2021-06-21T00:00:00"/>
    <n v="277.54000000000002"/>
    <n v="0"/>
    <s v="TBD"/>
    <n v="0"/>
    <n v="9620000464"/>
  </r>
  <r>
    <x v="99"/>
    <s v="Midwest Equipment_9620000467_RECON.xlsx"/>
    <n v="41632"/>
    <d v="2021-04-01T00:00:00"/>
    <n v="781.47"/>
    <n v="0"/>
    <s v="TBD"/>
    <n v="0"/>
    <n v="9620000467"/>
  </r>
  <r>
    <x v="100"/>
    <s v="Nola Coffee Repairs_9620000498_RECON.xlsx"/>
    <n v="9320833"/>
    <d v="2021-05-03T00:00:00"/>
    <n v="156.68"/>
    <n v="0"/>
    <s v="TBD"/>
    <n v="0"/>
    <n v="9620000498"/>
  </r>
  <r>
    <x v="100"/>
    <s v="Nola Coffee Repairs_9620000498_RECON.xlsx"/>
    <n v="9543690"/>
    <d v="2021-06-01T00:00:00"/>
    <n v="62.67"/>
    <n v="0"/>
    <s v="TBD"/>
    <n v="0"/>
    <n v="9620000498"/>
  </r>
  <r>
    <x v="100"/>
    <s v="Nola Coffee Repairs_9620000498_RECON.xlsx"/>
    <n v="9543716"/>
    <d v="2021-06-01T00:00:00"/>
    <n v="62.67"/>
    <n v="0"/>
    <s v="TBD"/>
    <n v="0"/>
    <n v="9620000498"/>
  </r>
  <r>
    <x v="100"/>
    <s v="Nola Coffee Repairs_9620000498_RECON.xlsx"/>
    <n v="9543763"/>
    <d v="2021-06-01T00:00:00"/>
    <n v="298.93"/>
    <n v="0"/>
    <s v="TBD"/>
    <n v="0"/>
    <n v="9620000498"/>
  </r>
  <r>
    <x v="101"/>
    <s v="North Coast Service Solutions_9620047085_RECON.xlsx"/>
    <n v="2262"/>
    <d v="2021-02-12T00:00:00"/>
    <n v="236.63"/>
    <n v="352191"/>
    <s v="Service Call"/>
    <n v="0"/>
    <n v="9620047085"/>
  </r>
  <r>
    <x v="101"/>
    <s v="North Coast Service Solutions_9620047085_RECON.xlsx"/>
    <n v="2445"/>
    <d v="2021-04-14T00:00:00"/>
    <n v="417.16"/>
    <n v="366939"/>
    <s v="Service Call"/>
    <n v="0"/>
    <n v="9620047085"/>
  </r>
  <r>
    <x v="102"/>
    <s v="North Star Repair Alberta Ltd_9620000503_RECON.xlsx"/>
    <n v="84155"/>
    <d v="2021-04-13T00:00:00"/>
    <n v="353.47"/>
    <n v="0"/>
    <s v="TBD"/>
    <n v="0"/>
    <n v="9620000503"/>
  </r>
  <r>
    <x v="102"/>
    <s v="North Star Repair Alberta Ltd_9620000503_RECON.xlsx"/>
    <n v="84156"/>
    <d v="2021-04-13T00:00:00"/>
    <n v="353.47"/>
    <n v="0"/>
    <s v="TBD"/>
    <n v="0"/>
    <n v="9620000503"/>
  </r>
  <r>
    <x v="103"/>
    <s v="Opus Espresso Service &amp; Sales_9620000509_RECON.xlsx"/>
    <n v="3894"/>
    <d v="2020-12-22T00:00:00"/>
    <n v="447.63"/>
    <n v="0"/>
    <s v="TBD"/>
    <n v="0"/>
    <n v="9620000509"/>
  </r>
  <r>
    <x v="103"/>
    <s v="Opus Espresso Service &amp; Sales_9620000509_RECON.xlsx"/>
    <n v="3911"/>
    <d v="2021-01-06T00:00:00"/>
    <n v="120"/>
    <n v="0"/>
    <s v="TBD"/>
    <n v="0"/>
    <n v="9620000509"/>
  </r>
  <r>
    <x v="103"/>
    <s v="Opus Espresso Service &amp; Sales_9620000509_RECON.xlsx"/>
    <n v="3924"/>
    <d v="2021-01-22T00:00:00"/>
    <n v="568.59"/>
    <n v="0"/>
    <s v="TBD"/>
    <n v="0"/>
    <n v="9620000509"/>
  </r>
  <r>
    <x v="103"/>
    <s v="Opus Espresso Service &amp; Sales_9620000509_RECON.xlsx"/>
    <n v="3959"/>
    <d v="2021-02-01T00:00:00"/>
    <n v="160"/>
    <n v="0"/>
    <s v="TBD"/>
    <n v="0"/>
    <n v="9620000509"/>
  </r>
  <r>
    <x v="103"/>
    <s v="Opus Espresso Service &amp; Sales_9620000509_RECON.xlsx"/>
    <n v="3999"/>
    <d v="2021-04-22T00:00:00"/>
    <n v="246.86"/>
    <n v="0"/>
    <s v="TBD"/>
    <n v="0"/>
    <n v="9620000509"/>
  </r>
  <r>
    <x v="103"/>
    <s v="Opus Espresso Service &amp; Sales_9620000509_RECON.xlsx"/>
    <n v="4002"/>
    <d v="2021-05-07T00:00:00"/>
    <n v="190"/>
    <n v="0"/>
    <s v="TBD"/>
    <n v="0"/>
    <n v="9620000509"/>
  </r>
  <r>
    <x v="103"/>
    <s v="Opus Espresso Service &amp; Sales_9620000509_RECON.xlsx"/>
    <n v="4027"/>
    <d v="2021-05-07T00:00:00"/>
    <n v="468.79"/>
    <n v="0"/>
    <s v="TBD"/>
    <n v="0"/>
    <n v="9620000509"/>
  </r>
  <r>
    <x v="103"/>
    <s v="Opus Espresso Service &amp; Sales_9620000509_RECON.xlsx"/>
    <n v="4010"/>
    <d v="2021-05-20T00:00:00"/>
    <n v="240"/>
    <n v="0"/>
    <s v="TBD"/>
    <n v="0"/>
    <n v="9620000509"/>
  </r>
  <r>
    <x v="103"/>
    <s v="Opus Espresso Service &amp; Sales_9620000509_RECON.xlsx"/>
    <n v="4008"/>
    <d v="2021-05-22T00:00:00"/>
    <n v="400.35"/>
    <n v="0"/>
    <s v="TBD"/>
    <n v="0"/>
    <n v="9620000509"/>
  </r>
  <r>
    <x v="103"/>
    <s v="Opus Espresso Service &amp; Sales_9620000509_RECON.xlsx"/>
    <n v="4005"/>
    <d v="2021-05-25T00:00:00"/>
    <n v="120"/>
    <n v="0"/>
    <s v="TBD"/>
    <n v="0"/>
    <n v="9620000509"/>
  </r>
  <r>
    <x v="103"/>
    <s v="Opus Espresso Service &amp; Sales_9620000509_RECON.xlsx"/>
    <n v="4032"/>
    <d v="2021-06-07T00:00:00"/>
    <n v="265"/>
    <n v="0"/>
    <s v="TBD"/>
    <n v="0"/>
    <n v="9620000509"/>
  </r>
  <r>
    <x v="103"/>
    <s v="Opus Espresso Service &amp; Sales_9620000509_RECON.xlsx"/>
    <n v="4031"/>
    <d v="2021-06-11T00:00:00"/>
    <n v="402.97"/>
    <n v="0"/>
    <s v="TBD"/>
    <n v="0"/>
    <n v="9620000509"/>
  </r>
  <r>
    <x v="104"/>
    <s v="Phoenix Refrigeration_9620000522_RECON.xlsx"/>
    <n v="27169"/>
    <d v="2021-05-21T00:00:00"/>
    <n v="187.05"/>
    <n v="0"/>
    <s v="TBD"/>
    <n v="0"/>
    <n v="9620000522"/>
  </r>
  <r>
    <x v="104"/>
    <s v="Phoenix Refrigeration_9620000522_RECON.xlsx"/>
    <n v="26778"/>
    <d v="2021-05-05T00:00:00"/>
    <n v="181.08"/>
    <n v="0"/>
    <s v="TBD"/>
    <n v="0"/>
    <n v="9620000522"/>
  </r>
  <r>
    <x v="104"/>
    <s v="Phoenix Refrigeration_9620000522_RECON.xlsx"/>
    <n v="26941"/>
    <d v="2021-05-11T00:00:00"/>
    <n v="390.5"/>
    <n v="0"/>
    <s v="TBD"/>
    <n v="0"/>
    <n v="9620000522"/>
  </r>
  <r>
    <x v="104"/>
    <s v="Phoenix Refrigeration_9620000522_RECON.xlsx"/>
    <n v="27526"/>
    <d v="2021-06-03T00:00:00"/>
    <n v="390.5"/>
    <n v="0"/>
    <s v="TBD"/>
    <n v="0"/>
    <n v="9620000522"/>
  </r>
  <r>
    <x v="105"/>
    <s v="Platinum Beverage Services LLC_9620000527_RECON.xlsx"/>
    <n v="5544"/>
    <d v="2021-03-27T00:00:00"/>
    <n v="275"/>
    <n v="0"/>
    <s v="TBD"/>
    <n v="0"/>
    <n v="9620000527"/>
  </r>
  <r>
    <x v="105"/>
    <s v="Platinum Beverage Services LLC_9620000527_RECON.xlsx"/>
    <n v="5678"/>
    <d v="2021-06-01T00:00:00"/>
    <n v="107.5"/>
    <n v="0"/>
    <s v="TBD"/>
    <n v="0"/>
    <n v="9620000527"/>
  </r>
  <r>
    <x v="105"/>
    <s v="Platinum Beverage Services LLC_9620000527_RECON.xlsx"/>
    <n v="5675"/>
    <d v="2021-06-04T00:00:00"/>
    <n v="878.16"/>
    <n v="0"/>
    <s v="TBD"/>
    <n v="0"/>
    <n v="9620000527"/>
  </r>
  <r>
    <x v="105"/>
    <s v="Platinum Beverage Services LLC_9620000527_RECON.xlsx"/>
    <n v="5676"/>
    <d v="2021-06-04T00:00:00"/>
    <n v="75"/>
    <n v="0"/>
    <s v="TBD"/>
    <n v="0"/>
    <n v="9620000527"/>
  </r>
  <r>
    <x v="105"/>
    <s v="Platinum Beverage Services LLC_9620000527_RECON.xlsx"/>
    <n v="5677"/>
    <d v="2021-06-04T00:00:00"/>
    <n v="180.54"/>
    <n v="0"/>
    <s v="TBD"/>
    <n v="0"/>
    <n v="9620000527"/>
  </r>
  <r>
    <x v="106"/>
    <s v="PrestigeTechnicalService_9620000535_Recon.xlsx"/>
    <n v="11411130"/>
    <d v="2021-02-01T00:00:00"/>
    <n v="274.63"/>
    <m/>
    <s v="TBD"/>
    <m/>
    <n v="9620000535"/>
  </r>
  <r>
    <x v="107"/>
    <s v="Pride Commerical Appliance Service_9620000536_RECON.xlsx"/>
    <n v="67183"/>
    <d v="2021-05-05T00:00:00"/>
    <n v="251"/>
    <n v="278504"/>
    <s v="PM"/>
    <n v="0"/>
    <n v="9620000536"/>
  </r>
  <r>
    <x v="108"/>
    <s v="Quality Coffee Services_9620000545_RECON.xlsx"/>
    <n v="66360"/>
    <d v="2020-11-10T00:00:00"/>
    <n v="1653.93"/>
    <s v="Warranty Claim"/>
    <s v="Service Call"/>
    <n v="0"/>
    <n v="9620000545"/>
  </r>
  <r>
    <x v="108"/>
    <s v="Quality Coffee Services_9620000545_RECON.xlsx"/>
    <n v="67190"/>
    <d v="2021-01-19T00:00:00"/>
    <n v="59.11"/>
    <n v="0"/>
    <s v="TBD"/>
    <s v="Requested 6/15/2021"/>
    <n v="9620000545"/>
  </r>
  <r>
    <x v="108"/>
    <s v="Quality Coffee Services_9620000545_RECON.xlsx"/>
    <n v="67653"/>
    <d v="2021-02-23T00:00:00"/>
    <n v="2094.2600000000002"/>
    <s v="WMF Warranty Claim"/>
    <s v="Service Call"/>
    <n v="0"/>
    <n v="9620000545"/>
  </r>
  <r>
    <x v="108"/>
    <s v="Quality Coffee Services_9620000545_RECON.xlsx"/>
    <n v="68443"/>
    <d v="2021-04-20T00:00:00"/>
    <n v="2584.41"/>
    <n v="0"/>
    <s v="TBD"/>
    <n v="0"/>
    <n v="9620000545"/>
  </r>
  <r>
    <x v="108"/>
    <s v="Quality Coffee Services_9620000545_RECON.xlsx"/>
    <n v="69034"/>
    <d v="2021-06-07T00:00:00"/>
    <n v="61.5"/>
    <n v="0"/>
    <s v="TBD"/>
    <n v="0"/>
    <n v="9620000545"/>
  </r>
  <r>
    <x v="109"/>
    <s v="Red Rock_9620000556_RECON.xlsx"/>
    <n v="3595"/>
    <d v="2020-04-23T00:00:00"/>
    <n v="315"/>
    <m/>
    <s v="TBD"/>
    <s v="DNP"/>
    <n v="9620000556"/>
  </r>
  <r>
    <x v="109"/>
    <s v="Red Rock_9620000556_RECON.xlsx"/>
    <n v="3598"/>
    <d v="2020-05-26T00:00:00"/>
    <n v="740.27"/>
    <m/>
    <s v="TBD"/>
    <s v="DNP"/>
    <n v="9620000556"/>
  </r>
  <r>
    <x v="109"/>
    <s v="Red Rock_9620000556_RECON.xlsx"/>
    <n v="3680"/>
    <d v="2020-08-04T00:00:00"/>
    <n v="231.03"/>
    <n v="12808079"/>
    <s v="TBD"/>
    <s v="DNP"/>
    <n v="9620000556"/>
  </r>
  <r>
    <x v="109"/>
    <s v="Red Rock_9620000556_RECON.xlsx"/>
    <n v="3665"/>
    <d v="2020-08-04T00:00:00"/>
    <n v="90"/>
    <s v="Do Not Pay "/>
    <s v="Service Call"/>
    <s v="DNP"/>
    <n v="9620000556"/>
  </r>
  <r>
    <x v="109"/>
    <s v="Red Rock_9620000556_RECON.xlsx"/>
    <n v="3726"/>
    <d v="2020-08-14T00:00:00"/>
    <n v="283.97000000000003"/>
    <n v="301520"/>
    <s v="Service Call"/>
    <m/>
    <n v="9620000556"/>
  </r>
  <r>
    <x v="109"/>
    <s v="Red Rock_9620000556_RECON.xlsx"/>
    <n v="3801"/>
    <d v="2020-09-15T00:00:00"/>
    <n v="1120.3499999999999"/>
    <n v="306506"/>
    <s v="Service Call"/>
    <m/>
    <n v="9620000556"/>
  </r>
  <r>
    <x v="109"/>
    <s v="Red Rock_9620000556_RECON.xlsx"/>
    <n v="3857"/>
    <d v="2020-09-25T00:00:00"/>
    <n v="368.8"/>
    <n v="310464"/>
    <s v="Service Call"/>
    <s v="Invoice Requires Further Research"/>
    <n v="9620000556"/>
  </r>
  <r>
    <x v="109"/>
    <s v="Red Rock_9620000556_RECON.xlsx"/>
    <n v="3880"/>
    <d v="2020-10-19T00:00:00"/>
    <n v="505.47"/>
    <n v="312181"/>
    <s v="Service Call"/>
    <s v="Invoice Requires Further Research"/>
    <n v="9620000556"/>
  </r>
  <r>
    <x v="109"/>
    <s v="Red Rock_9620000556_RECON.xlsx"/>
    <n v="3885"/>
    <d v="2020-10-19T00:00:00"/>
    <n v="175"/>
    <m/>
    <s v="TBD"/>
    <s v="Invoice Requires Further Research"/>
    <n v="9620000556"/>
  </r>
  <r>
    <x v="109"/>
    <s v="Red Rock_9620000556_RECON.xlsx"/>
    <n v="3911"/>
    <d v="2020-10-28T00:00:00"/>
    <n v="455.23"/>
    <m/>
    <s v="TBD"/>
    <s v="Invoice Requires Further Research"/>
    <n v="9620000556"/>
  </r>
  <r>
    <x v="109"/>
    <s v="Red Rock_9620000556_RECON.xlsx"/>
    <n v="3908"/>
    <d v="2020-10-28T00:00:00"/>
    <n v="567.53"/>
    <m/>
    <s v="TBD"/>
    <s v="Invoice Requires Further Research"/>
    <n v="9620000556"/>
  </r>
  <r>
    <x v="109"/>
    <s v="Red Rock_9620000556_RECON.xlsx"/>
    <n v="3964"/>
    <d v="2020-11-17T00:00:00"/>
    <n v="363.64"/>
    <n v="317899"/>
    <s v="Service Call"/>
    <s v="Invoice Requires Further Research"/>
    <n v="9620000556"/>
  </r>
  <r>
    <x v="109"/>
    <s v="Red Rock_9620000556_RECON.xlsx"/>
    <n v="3984"/>
    <d v="2020-11-19T00:00:00"/>
    <n v="175"/>
    <n v="251707"/>
    <s v="TBD"/>
    <s v="Invoice Requires Further Research - In File"/>
    <n v="9620000556"/>
  </r>
  <r>
    <x v="109"/>
    <s v="Red Rock_9620000556_RECON.xlsx"/>
    <n v="4022"/>
    <d v="2020-12-09T00:00:00"/>
    <n v="354.33"/>
    <n v="316486"/>
    <s v="Service Call"/>
    <s v="Invoice Requires Further Research"/>
    <n v="9620000556"/>
  </r>
  <r>
    <x v="109"/>
    <s v="Red Rock_9620000556_RECON.xlsx"/>
    <n v="4016"/>
    <d v="2020-12-09T00:00:00"/>
    <n v="137.5"/>
    <m/>
    <s v="TBD"/>
    <s v="Invoice Requires Further Research"/>
    <n v="9620000556"/>
  </r>
  <r>
    <x v="109"/>
    <s v="Red Rock_9620000556_RECON.xlsx"/>
    <n v="4001"/>
    <d v="2020-12-09T00:00:00"/>
    <n v="888.61"/>
    <n v="316320"/>
    <s v="Service Call"/>
    <s v="Invoice Requires Further Research"/>
    <n v="9620000556"/>
  </r>
  <r>
    <x v="109"/>
    <s v="Red Rock_9620000556_RECON.xlsx"/>
    <n v="4122"/>
    <d v="2021-01-11T00:00:00"/>
    <n v="157.5"/>
    <n v="340195"/>
    <s v="Service Call"/>
    <s v="Invoice Requires Further Research - In File"/>
    <n v="9620000556"/>
  </r>
  <r>
    <x v="109"/>
    <s v="Red Rock_9620000556_RECON.xlsx"/>
    <n v="4102"/>
    <d v="2021-01-11T00:00:00"/>
    <n v="570.42999999999995"/>
    <n v="316475"/>
    <s v="Service Call"/>
    <s v="Invoice Requires Further Research"/>
    <n v="9620000556"/>
  </r>
  <r>
    <x v="109"/>
    <s v="Red Rock_9620000556_RECON.xlsx"/>
    <n v="4207"/>
    <d v="2021-02-10T00:00:00"/>
    <n v="285"/>
    <n v="365740"/>
    <s v="TBD"/>
    <s v="In File"/>
    <n v="9620000556"/>
  </r>
  <r>
    <x v="109"/>
    <s v="Red Rock_9620000556_RECON.xlsx"/>
    <n v="4206"/>
    <d v="2021-02-10T00:00:00"/>
    <n v="641.25"/>
    <n v="365739"/>
    <s v="TBD"/>
    <s v="In File"/>
    <n v="9620000556"/>
  </r>
  <r>
    <x v="109"/>
    <s v="Red Rock_9620000556_RECON.xlsx"/>
    <n v="4355"/>
    <d v="2021-04-10T00:00:00"/>
    <n v="382.5"/>
    <m/>
    <s v="TBD"/>
    <m/>
    <n v="9620000556"/>
  </r>
  <r>
    <x v="109"/>
    <s v="Red Rock_9620000556_RECON.xlsx"/>
    <n v="4361"/>
    <d v="2021-04-10T00:00:00"/>
    <n v="247.5"/>
    <m/>
    <s v="TBD"/>
    <m/>
    <n v="9620000556"/>
  </r>
  <r>
    <x v="109"/>
    <s v="Red Rock_9620000556_RECON.xlsx"/>
    <n v="4360"/>
    <d v="2021-04-10T00:00:00"/>
    <n v="315"/>
    <m/>
    <s v="TBD"/>
    <m/>
    <n v="9620000556"/>
  </r>
  <r>
    <x v="109"/>
    <s v="Red Rock_9620000556_RECON.xlsx"/>
    <n v="4385"/>
    <d v="2021-04-27T00:00:00"/>
    <n v="1447.35"/>
    <n v="366001"/>
    <s v="TBD"/>
    <s v="In File"/>
    <n v="9620000556"/>
  </r>
  <r>
    <x v="109"/>
    <s v="Red Rock_9620000556_RECON.xlsx"/>
    <n v="4394"/>
    <d v="2021-04-27T00:00:00"/>
    <n v="175"/>
    <n v="289165"/>
    <s v="TBD"/>
    <s v="In File"/>
    <n v="9620000556"/>
  </r>
  <r>
    <x v="109"/>
    <s v="Red Rock_9620000556_RECON.xlsx"/>
    <n v="4388"/>
    <d v="2021-04-27T00:00:00"/>
    <n v="275"/>
    <n v="234934"/>
    <s v="TBD"/>
    <s v="In File"/>
    <n v="9620000556"/>
  </r>
  <r>
    <x v="109"/>
    <s v="Red Rock_9620000556_RECON.xlsx"/>
    <n v="4406"/>
    <d v="2021-04-27T00:00:00"/>
    <n v="380"/>
    <n v="366259"/>
    <s v="TBD"/>
    <s v="In File"/>
    <n v="9620000556"/>
  </r>
  <r>
    <x v="109"/>
    <s v="Red Rock_9620000556_RECON.xlsx"/>
    <n v="4403"/>
    <d v="2021-04-27T00:00:00"/>
    <n v="213.75"/>
    <n v="366990"/>
    <s v="TBD"/>
    <s v="In File"/>
    <n v="9620000556"/>
  </r>
  <r>
    <x v="109"/>
    <s v="Red Rock_9620000556_RECON.xlsx"/>
    <n v="4440"/>
    <d v="2021-05-19T00:00:00"/>
    <n v="292.5"/>
    <m/>
    <s v="TBD"/>
    <m/>
    <n v="9620000556"/>
  </r>
  <r>
    <x v="109"/>
    <s v="Red Rock_9620000556_RECON.xlsx"/>
    <n v="4470"/>
    <d v="2021-06-07T00:00:00"/>
    <n v="135"/>
    <m/>
    <s v="TBD"/>
    <m/>
    <n v="9620000556"/>
  </r>
  <r>
    <x v="109"/>
    <s v="Red Rock_9620000556_RECON.xlsx"/>
    <n v="4468"/>
    <d v="2021-06-07T00:00:00"/>
    <n v="315"/>
    <m/>
    <s v="TBD"/>
    <m/>
    <n v="9620000556"/>
  </r>
  <r>
    <x v="109"/>
    <s v="Red Rock_9620000556_RECON.xlsx"/>
    <n v="4482"/>
    <d v="2021-06-07T00:00:00"/>
    <n v="540"/>
    <m/>
    <s v="TBD"/>
    <m/>
    <n v="9620000556"/>
  </r>
  <r>
    <x v="109"/>
    <s v="Red Rock_9620000556_RECON.xlsx"/>
    <n v="4481"/>
    <d v="2021-06-07T00:00:00"/>
    <n v="213.75"/>
    <m/>
    <s v="TBD"/>
    <m/>
    <n v="9620000556"/>
  </r>
  <r>
    <x v="109"/>
    <s v="Red Rock_9620000556_RECON.xlsx"/>
    <n v="4480"/>
    <d v="2021-06-07T00:00:00"/>
    <n v="213.75"/>
    <m/>
    <s v="TBD"/>
    <m/>
    <n v="9620000556"/>
  </r>
  <r>
    <x v="109"/>
    <s v="Red Rock_9620000556_RECON.xlsx"/>
    <n v="4487"/>
    <d v="2021-06-10T00:00:00"/>
    <n v="787.5"/>
    <m/>
    <s v="TBD"/>
    <m/>
    <n v="9620000556"/>
  </r>
  <r>
    <x v="109"/>
    <s v="Red Rock_9620000556_RECON.xlsx"/>
    <n v="4495"/>
    <d v="2021-06-10T00:00:00"/>
    <n v="638.11"/>
    <m/>
    <s v="TBD"/>
    <m/>
    <n v="9620000556"/>
  </r>
  <r>
    <x v="109"/>
    <s v="Red Rock_9620000556_RECON.xlsx"/>
    <n v="4506"/>
    <d v="2021-06-10T00:00:00"/>
    <n v="315"/>
    <m/>
    <s v="TBD"/>
    <m/>
    <n v="9620000556"/>
  </r>
  <r>
    <x v="109"/>
    <s v="Red Rock_9620000556_RECON.xlsx"/>
    <n v="4505"/>
    <d v="2021-06-10T00:00:00"/>
    <n v="360"/>
    <m/>
    <s v="TBD"/>
    <m/>
    <n v="9620000556"/>
  </r>
  <r>
    <x v="109"/>
    <s v="Red Rock_9620000556_RECON.xlsx"/>
    <n v="4503"/>
    <d v="2021-06-10T00:00:00"/>
    <n v="157.5"/>
    <m/>
    <s v="TBD"/>
    <m/>
    <n v="9620000556"/>
  </r>
  <r>
    <x v="109"/>
    <s v="Red Rock_9620000556_RECON.xlsx"/>
    <n v="4502"/>
    <d v="2021-06-10T00:00:00"/>
    <n v="480.04"/>
    <m/>
    <s v="TBD"/>
    <m/>
    <n v="9620000556"/>
  </r>
  <r>
    <x v="109"/>
    <s v="Red Rock_9620000556_RECON.xlsx"/>
    <n v="4501"/>
    <d v="2021-06-10T00:00:00"/>
    <n v="135"/>
    <m/>
    <s v="TBD"/>
    <m/>
    <n v="9620000556"/>
  </r>
  <r>
    <x v="109"/>
    <s v="Red Rock_9620000556_RECON.xlsx"/>
    <n v="4546"/>
    <d v="2021-06-14T00:00:00"/>
    <n v="427.5"/>
    <m/>
    <s v="TBD"/>
    <m/>
    <n v="9620000556"/>
  </r>
  <r>
    <x v="109"/>
    <s v="Red Rock_9620000556_RECON.xlsx"/>
    <n v="4544"/>
    <d v="2021-06-14T00:00:00"/>
    <n v="270"/>
    <m/>
    <s v="TBD"/>
    <m/>
    <n v="9620000556"/>
  </r>
  <r>
    <x v="109"/>
    <s v="Red Rock_9620000556_RECON.xlsx"/>
    <n v="4543"/>
    <d v="2021-06-14T00:00:00"/>
    <n v="225"/>
    <m/>
    <s v="TBD"/>
    <m/>
    <n v="9620000556"/>
  </r>
  <r>
    <x v="109"/>
    <s v="Red Rock_9620000556_RECON.xlsx"/>
    <n v="4542"/>
    <d v="2021-06-14T00:00:00"/>
    <n v="112.5"/>
    <m/>
    <s v="TBD"/>
    <m/>
    <n v="9620000556"/>
  </r>
  <r>
    <x v="109"/>
    <s v="Red Rock_9620000556_RECON.xlsx"/>
    <n v="4541"/>
    <d v="2021-06-14T00:00:00"/>
    <n v="180"/>
    <m/>
    <s v="TBD"/>
    <m/>
    <n v="9620000556"/>
  </r>
  <r>
    <x v="109"/>
    <s v="Red Rock_9620000556_RECON.xlsx"/>
    <n v="4540"/>
    <d v="2021-06-14T00:00:00"/>
    <n v="315"/>
    <m/>
    <s v="TBD"/>
    <m/>
    <n v="9620000556"/>
  </r>
  <r>
    <x v="109"/>
    <s v="Red Rock_9620000556_RECON.xlsx"/>
    <n v="4538"/>
    <d v="2021-06-14T00:00:00"/>
    <n v="180"/>
    <m/>
    <s v="TBD"/>
    <m/>
    <n v="9620000556"/>
  </r>
  <r>
    <x v="109"/>
    <s v="Red Rock_9620000556_RECON.xlsx"/>
    <n v="4531"/>
    <d v="2021-06-14T00:00:00"/>
    <n v="135"/>
    <m/>
    <s v="TBD"/>
    <m/>
    <n v="9620000556"/>
  </r>
  <r>
    <x v="109"/>
    <s v="Red Rock_9620000556_RECON.xlsx"/>
    <n v="4519"/>
    <d v="2021-06-14T00:00:00"/>
    <n v="270"/>
    <m/>
    <s v="TBD"/>
    <m/>
    <n v="9620000556"/>
  </r>
  <r>
    <x v="110"/>
    <s v="Reliable Service Company_9620000563_Recon.xlsx"/>
    <n v="16219"/>
    <d v="2020-07-30T00:00:00"/>
    <n v="1424"/>
    <n v="0"/>
    <s v="Install"/>
    <s v=" PAID "/>
    <n v="9620000563"/>
  </r>
  <r>
    <x v="110"/>
    <s v="Reliable Service Company_9620000563_Recon.xlsx"/>
    <n v="17171"/>
    <d v="2021-01-11T00:00:00"/>
    <n v="408.34"/>
    <n v="0"/>
    <s v="TBD"/>
    <n v="0"/>
    <n v="9620000563"/>
  </r>
  <r>
    <x v="110"/>
    <s v="Reliable Service Company_9620000563_Recon.xlsx"/>
    <n v="17539"/>
    <d v="2021-04-11T00:00:00"/>
    <n v="188.57"/>
    <n v="0"/>
    <s v="TBD"/>
    <n v="0"/>
    <n v="9620000563"/>
  </r>
  <r>
    <x v="110"/>
    <s v="Reliable Service Company_9620000563_Recon.xlsx"/>
    <n v="17544"/>
    <d v="2021-04-11T00:00:00"/>
    <n v="864.68"/>
    <n v="0"/>
    <s v="TBD"/>
    <n v="0"/>
    <n v="9620000563"/>
  </r>
  <r>
    <x v="111"/>
    <s v="REO Controls_9620000566_Recon.xlsx"/>
    <s v="20-0099"/>
    <d v="2020-01-30T00:00:00"/>
    <n v="552.70000000000005"/>
    <m/>
    <s v="Service Call"/>
    <n v="0"/>
    <n v="9620000566"/>
  </r>
  <r>
    <x v="111"/>
    <s v="REO Controls_9620000566_Recon.xlsx"/>
    <s v="20-0792"/>
    <d v="2020-07-09T00:00:00"/>
    <n v="754.9"/>
    <n v="299330"/>
    <s v="Service Call"/>
    <n v="0"/>
    <n v="9620000566"/>
  </r>
  <r>
    <x v="111"/>
    <s v="REO Controls_9620000566_Recon.xlsx"/>
    <s v="20-1068"/>
    <d v="2020-09-01T00:00:00"/>
    <n v="1015"/>
    <n v="307422"/>
    <s v="Service Call"/>
    <n v="0"/>
    <n v="9620000566"/>
  </r>
  <r>
    <x v="111"/>
    <s v="REO Controls_9620000566_Recon.xlsx"/>
    <s v="20-1067"/>
    <d v="2020-09-01T00:00:00"/>
    <n v="1168.9100000000001"/>
    <n v="306475"/>
    <s v="Service Call"/>
    <n v="0"/>
    <n v="9620000566"/>
  </r>
  <r>
    <x v="111"/>
    <s v="REO Controls_9620000566_Recon.xlsx"/>
    <s v="20-1073"/>
    <d v="2020-09-02T00:00:00"/>
    <n v="1196.9000000000001"/>
    <n v="307446"/>
    <s v="Service Call"/>
    <n v="0"/>
    <n v="9620000566"/>
  </r>
  <r>
    <x v="111"/>
    <s v="REO Controls_9620000566_Recon.xlsx"/>
    <s v="20-1046"/>
    <d v="2020-09-02T00:00:00"/>
    <n v="1356"/>
    <n v="306919"/>
    <s v="Service Call"/>
    <n v="0"/>
    <n v="9620000566"/>
  </r>
  <r>
    <x v="111"/>
    <s v="REO Controls_9620000566_Recon.xlsx"/>
    <s v="20-1090"/>
    <d v="2020-09-04T00:00:00"/>
    <n v="827"/>
    <n v="308025"/>
    <s v="Service Call"/>
    <n v="0"/>
    <n v="9620000566"/>
  </r>
  <r>
    <x v="111"/>
    <s v="REO Controls_9620000566_Recon.xlsx"/>
    <s v="20-0931"/>
    <d v="2020-09-07T00:00:00"/>
    <n v="319"/>
    <n v="302262"/>
    <s v="Service Call"/>
    <n v="0"/>
    <n v="9620000566"/>
  </r>
  <r>
    <x v="111"/>
    <s v="REO Controls_9620000566_Recon.xlsx"/>
    <s v="20-1111"/>
    <d v="2020-09-10T00:00:00"/>
    <n v="475"/>
    <n v="308359"/>
    <s v="Service Call"/>
    <n v="0"/>
    <n v="9620000566"/>
  </r>
  <r>
    <x v="111"/>
    <s v="REO Controls_9620000566_Recon.xlsx"/>
    <s v="20-1106"/>
    <d v="2020-09-10T00:00:00"/>
    <n v="255"/>
    <n v="308753"/>
    <s v="Service Call"/>
    <n v="0"/>
    <n v="9620000566"/>
  </r>
  <r>
    <x v="111"/>
    <s v="REO Controls_9620000566_Recon.xlsx"/>
    <s v="20-1154"/>
    <d v="2020-09-28T00:00:00"/>
    <n v="355"/>
    <n v="310018"/>
    <s v="Service Call"/>
    <n v="0"/>
    <n v="9620000566"/>
  </r>
  <r>
    <x v="111"/>
    <s v="REO Controls_9620000566_Recon.xlsx"/>
    <s v="20-1212"/>
    <d v="2020-10-19T00:00:00"/>
    <n v="1136.5899999999999"/>
    <n v="311810"/>
    <s v="Service Call"/>
    <n v="0"/>
    <n v="9620000566"/>
  </r>
  <r>
    <x v="111"/>
    <s v="REO Controls_9620000566_Recon.xlsx"/>
    <s v="20-1210"/>
    <d v="2020-10-26T00:00:00"/>
    <n v="534.42999999999995"/>
    <s v="no case "/>
    <s v="Service Call"/>
    <n v="0"/>
    <n v="9620000566"/>
  </r>
  <r>
    <x v="111"/>
    <s v="REO Controls_9620000566_Recon.xlsx"/>
    <s v="20-1317"/>
    <d v="2020-10-30T00:00:00"/>
    <n v="927.48"/>
    <s v="00314946*"/>
    <s v="Service Call"/>
    <n v="0"/>
    <n v="9620000566"/>
  </r>
  <r>
    <x v="111"/>
    <s v="REO Controls_9620000566_Recon.xlsx"/>
    <s v="20-1316"/>
    <d v="2020-10-30T00:00:00"/>
    <n v="1254.5899999999999"/>
    <s v="00315054*"/>
    <s v="Service Call"/>
    <n v="0"/>
    <n v="9620000566"/>
  </r>
  <r>
    <x v="111"/>
    <s v="REO Controls_9620000566_Recon.xlsx"/>
    <s v="20-1558"/>
    <d v="2020-11-02T00:00:00"/>
    <n v="245"/>
    <s v="00316553*"/>
    <s v="Service Call"/>
    <n v="0"/>
    <n v="9620000566"/>
  </r>
  <r>
    <x v="111"/>
    <s v="REO Controls_9620000566_Recon.xlsx"/>
    <s v="20-1361"/>
    <d v="2020-11-02T00:00:00"/>
    <n v="584.49"/>
    <m/>
    <s v="Service Call"/>
    <n v="0"/>
    <n v="9620000566"/>
  </r>
  <r>
    <x v="111"/>
    <s v="REO Controls_9620000566_Recon.xlsx"/>
    <s v="20-1153"/>
    <d v="2020-11-02T00:00:00"/>
    <n v="1005.91"/>
    <s v="00307446*"/>
    <s v="Service Call"/>
    <n v="0"/>
    <n v="9620000566"/>
  </r>
  <r>
    <x v="111"/>
    <s v="REO Controls_9620000566_Recon.xlsx"/>
    <s v="20-1557"/>
    <d v="2020-12-14T00:00:00"/>
    <n v="245"/>
    <s v="00313702*"/>
    <s v="Service Call"/>
    <n v="0"/>
    <n v="9620000566"/>
  </r>
  <r>
    <x v="111"/>
    <s v="REO Controls_9620000566_Recon.xlsx"/>
    <s v="20-1553"/>
    <d v="2020-12-14T00:00:00"/>
    <n v="1107.8800000000001"/>
    <s v="00317518*"/>
    <s v="Service Call"/>
    <n v="0"/>
    <n v="9620000566"/>
  </r>
  <r>
    <x v="111"/>
    <s v="REO Controls_9620000566_Recon.xlsx"/>
    <s v="21-0047"/>
    <d v="2021-01-15T00:00:00"/>
    <n v="1086.49"/>
    <s v="00343523*"/>
    <s v="Service Call"/>
    <n v="0"/>
    <n v="9620000566"/>
  </r>
  <r>
    <x v="111"/>
    <s v="REO Controls_9620000566_Recon.xlsx"/>
    <s v="21-0071"/>
    <d v="2021-02-01T00:00:00"/>
    <n v="1100.6099999999999"/>
    <s v="00346321*"/>
    <s v="Service Call"/>
    <n v="0"/>
    <n v="9620000566"/>
  </r>
  <r>
    <x v="111"/>
    <s v="REO Controls_9620000566_Recon.xlsx"/>
    <s v="21-0144"/>
    <d v="2021-02-17T00:00:00"/>
    <n v="417.55"/>
    <s v="00352221*"/>
    <s v="Service Call"/>
    <n v="0"/>
    <n v="9620000566"/>
  </r>
  <r>
    <x v="112"/>
    <s v="Repair Force Corp_9620000567_RECON.xlsx"/>
    <n v="45291"/>
    <d v="2021-05-20T00:00:00"/>
    <n v="1859.76"/>
    <n v="0"/>
    <s v="TBD"/>
    <n v="0"/>
    <n v="9620000567"/>
  </r>
  <r>
    <x v="112"/>
    <s v="Repair Force Corp_9620000567_RECON.xlsx"/>
    <n v="45323"/>
    <d v="2021-05-26T00:00:00"/>
    <n v="183.75"/>
    <n v="0"/>
    <s v="TBD"/>
    <n v="0"/>
    <n v="9620000567"/>
  </r>
  <r>
    <x v="112"/>
    <s v="Repair Force Corp_9620000567_RECON.xlsx"/>
    <n v="45322"/>
    <d v="2021-05-26T00:00:00"/>
    <n v="183.75"/>
    <n v="0"/>
    <s v="TBD"/>
    <n v="0"/>
    <n v="9620000567"/>
  </r>
  <r>
    <x v="113"/>
    <s v="Riviera Maintenance_9620000576_RECON.xlsx"/>
    <n v="23940"/>
    <d v="2020-12-08T00:00:00"/>
    <n v="94"/>
    <n v="210165"/>
    <s v="PM"/>
    <n v="0"/>
    <n v="9620000576"/>
  </r>
  <r>
    <x v="113"/>
    <s v="Riviera Maintenance_9620000576_RECON.xlsx"/>
    <n v="24154"/>
    <d v="2021-01-21T00:00:00"/>
    <n v="124"/>
    <n v="345994"/>
    <s v="Service Call"/>
    <s v="Invoice Requires Further Research"/>
    <n v="9620000576"/>
  </r>
  <r>
    <x v="113"/>
    <s v="Riviera Maintenance_9620000576_RECON.xlsx"/>
    <n v="24632"/>
    <d v="2021-04-09T00:00:00"/>
    <n v="1092.02"/>
    <n v="417255"/>
    <s v="Install"/>
    <s v="Invoice Requires Further Research"/>
    <n v="9620000576"/>
  </r>
  <r>
    <x v="113"/>
    <s v="Riviera Maintenance_9620000576_RECON.xlsx"/>
    <n v="24705"/>
    <d v="2021-04-20T00:00:00"/>
    <n v="691.52"/>
    <n v="417390"/>
    <s v="TBD"/>
    <n v="0"/>
    <n v="9620000576"/>
  </r>
  <r>
    <x v="113"/>
    <s v="Riviera Maintenance_9620000576_RECON.xlsx"/>
    <n v="24731"/>
    <d v="2021-04-22T00:00:00"/>
    <n v="139"/>
    <n v="3639256"/>
    <s v="TBD"/>
    <n v="0"/>
    <n v="9620000576"/>
  </r>
  <r>
    <x v="113"/>
    <s v="Riviera Maintenance_9620000576_RECON.xlsx"/>
    <n v="24648"/>
    <d v="2021-04-22T00:00:00"/>
    <n v="466"/>
    <s v="417255 / 1"/>
    <s v="TBD"/>
    <n v="0"/>
    <n v="9620000576"/>
  </r>
  <r>
    <x v="113"/>
    <s v="Riviera Maintenance_9620000576_RECON.xlsx"/>
    <n v="25324"/>
    <d v="2021-06-01T00:00:00"/>
    <n v="296.81"/>
    <n v="379645"/>
    <s v="Service Call"/>
    <n v="0"/>
    <n v="9620000576"/>
  </r>
  <r>
    <x v="113"/>
    <s v="Riviera Maintenance_9620000576_RECON.xlsx"/>
    <n v="25323"/>
    <d v="2021-06-01T00:00:00"/>
    <n v="139"/>
    <n v="379602"/>
    <s v="Service Call"/>
    <n v="0"/>
    <n v="9620000576"/>
  </r>
  <r>
    <x v="113"/>
    <s v="Riviera Maintenance_9620000576_RECON.xlsx"/>
    <n v="25410"/>
    <d v="2021-06-01T00:00:00"/>
    <n v="139"/>
    <n v="381216"/>
    <s v="Service Call"/>
    <n v="0"/>
    <n v="9620000576"/>
  </r>
  <r>
    <x v="113"/>
    <s v="Riviera Maintenance_9620000576_RECON.xlsx"/>
    <n v="25271"/>
    <d v="2021-06-01T00:00:00"/>
    <n v="299.38"/>
    <n v="4566379344"/>
    <s v="Install"/>
    <n v="0"/>
    <n v="9620000576"/>
  </r>
  <r>
    <x v="113"/>
    <s v="Riviera Maintenance_9620000576_RECON.xlsx"/>
    <n v="25276"/>
    <d v="2021-06-03T00:00:00"/>
    <n v="147"/>
    <n v="380010"/>
    <s v="Service Call"/>
    <n v="0"/>
    <n v="9620000576"/>
  </r>
  <r>
    <x v="113"/>
    <s v="Riviera Maintenance_9620000576_RECON.xlsx"/>
    <n v="25332"/>
    <d v="2021-06-03T00:00:00"/>
    <n v="139"/>
    <n v="380040"/>
    <s v="Service Call"/>
    <n v="0"/>
    <n v="9620000576"/>
  </r>
  <r>
    <x v="113"/>
    <s v="Riviera Maintenance_9620000576_RECON.xlsx"/>
    <n v="25277"/>
    <d v="2021-06-03T00:00:00"/>
    <n v="91"/>
    <n v="380028"/>
    <s v="Service Call"/>
    <n v="0"/>
    <n v="9620000576"/>
  </r>
  <r>
    <x v="113"/>
    <s v="Riviera Maintenance_9620000576_RECON.xlsx"/>
    <n v="25314"/>
    <d v="2021-06-03T00:00:00"/>
    <n v="124.76"/>
    <n v="380030"/>
    <s v="Service Call"/>
    <n v="0"/>
    <n v="9620000576"/>
  </r>
  <r>
    <x v="113"/>
    <s v="Riviera Maintenance_9620000576_RECON.xlsx"/>
    <n v="25278"/>
    <d v="2021-06-03T00:00:00"/>
    <n v="48"/>
    <n v="380029"/>
    <s v="Service Call"/>
    <n v="0"/>
    <n v="9620000576"/>
  </r>
  <r>
    <x v="113"/>
    <s v="Riviera Maintenance_9620000576_RECON.xlsx"/>
    <n v="25289"/>
    <d v="2021-06-07T00:00:00"/>
    <n v="396.94"/>
    <n v="380869"/>
    <s v="Service Call"/>
    <n v="0"/>
    <n v="9620000576"/>
  </r>
  <r>
    <x v="113"/>
    <s v="Riviera Maintenance_9620000576_RECON.xlsx"/>
    <n v="25376"/>
    <d v="2021-06-07T00:00:00"/>
    <n v="40"/>
    <n v="381046"/>
    <s v="Service Call"/>
    <n v="0"/>
    <n v="9620000576"/>
  </r>
  <r>
    <x v="113"/>
    <s v="Riviera Maintenance_9620000576_RECON.xlsx"/>
    <n v="25377"/>
    <d v="2021-06-07T00:00:00"/>
    <n v="91"/>
    <n v="381050"/>
    <s v="Service Call"/>
    <n v="0"/>
    <n v="9620000576"/>
  </r>
  <r>
    <x v="113"/>
    <s v="Riviera Maintenance_9620000576_RECON.xlsx"/>
    <n v="25407"/>
    <d v="2021-06-07T00:00:00"/>
    <n v="139"/>
    <n v="380874"/>
    <s v="Service Call"/>
    <n v="0"/>
    <n v="9620000576"/>
  </r>
  <r>
    <x v="114"/>
    <s v="RMS Mechanical Services, Inc_9620000577_RECON.xlsx"/>
    <n v="47097230"/>
    <d v="2021-01-29T00:00:00"/>
    <n v="191.25"/>
    <n v="0"/>
    <s v="TBD"/>
    <n v="0"/>
    <n v="9620000577"/>
  </r>
  <r>
    <x v="114"/>
    <s v="RMS Mechanical Services, Inc_9620000577_RECON.xlsx"/>
    <n v="48349463"/>
    <d v="2021-02-12T00:00:00"/>
    <n v="191.25"/>
    <n v="0"/>
    <s v="TBD"/>
    <n v="0"/>
    <n v="9620000577"/>
  </r>
  <r>
    <x v="115"/>
    <s v="Ronnoco Holdings Inc._9620004094_RECON.xlsx"/>
    <n v="1002946029"/>
    <d v="2021-04-16T00:00:00"/>
    <n v="288"/>
    <s v="ALLSUPS #102049"/>
    <s v="Install"/>
    <n v="0"/>
    <n v="9620004094"/>
  </r>
  <r>
    <x v="115"/>
    <s v="Ronnoco Holdings Inc._9620004094_RECON.xlsx"/>
    <n v="1002946035"/>
    <d v="2021-04-16T00:00:00"/>
    <n v="288"/>
    <s v="ALLSUPS #102076"/>
    <s v="Install"/>
    <n v="0"/>
    <n v="9620004094"/>
  </r>
  <r>
    <x v="115"/>
    <s v="Ronnoco Holdings Inc._9620004094_RECON.xlsx"/>
    <n v="1002930578"/>
    <d v="2021-03-30T00:00:00"/>
    <n v="395"/>
    <n v="0"/>
    <s v="TBD"/>
    <n v="0"/>
    <n v="9620004094"/>
  </r>
  <r>
    <x v="116"/>
    <s v="Russell Hendrix_9620000584, 9620000585_RECON.xlsx"/>
    <s v="SVTT36337"/>
    <d v="2021-04-20T00:00:00"/>
    <n v="274.02999999999997"/>
    <n v="363432"/>
    <s v="Service Call"/>
    <n v="0"/>
    <n v="9620000584"/>
  </r>
  <r>
    <x v="116"/>
    <s v="Russell Hendrix_9620000584, 9620000585_RECON.xlsx"/>
    <s v="SVTT36338"/>
    <d v="2021-04-20T00:00:00"/>
    <n v="329.4"/>
    <n v="363517"/>
    <s v="Service Call"/>
    <n v="0"/>
    <n v="9620000584"/>
  </r>
  <r>
    <x v="117"/>
    <s v="Rustinis_9620000586_RECON.xlsx"/>
    <n v="7675"/>
    <d v="2020-08-21T00:00:00"/>
    <n v="286.2"/>
    <n v="0"/>
    <s v="TBD"/>
    <n v="0"/>
    <n v="9620000586"/>
  </r>
  <r>
    <x v="117"/>
    <s v="Rustinis_9620000586_RECON.xlsx"/>
    <n v="7784"/>
    <d v="2021-02-15T00:00:00"/>
    <n v="229.5"/>
    <n v="0"/>
    <s v="TBD"/>
    <n v="0"/>
    <n v="9620000586"/>
  </r>
  <r>
    <x v="117"/>
    <s v="Rustinis_9620000586_RECON.xlsx"/>
    <n v="7783"/>
    <d v="2021-02-15T00:00:00"/>
    <n v="108"/>
    <n v="0"/>
    <s v="TBD"/>
    <n v="0"/>
    <n v="9620000586"/>
  </r>
  <r>
    <x v="117"/>
    <s v="Rustinis_9620000586_RECON.xlsx"/>
    <n v="7822"/>
    <d v="2021-03-03T00:00:00"/>
    <n v="357.94"/>
    <n v="0"/>
    <s v="TBD"/>
    <n v="0"/>
    <n v="9620000586"/>
  </r>
  <r>
    <x v="117"/>
    <s v="Rustinis_9620000586_RECON.xlsx"/>
    <n v="7837"/>
    <d v="2021-03-15T00:00:00"/>
    <n v="189"/>
    <n v="0"/>
    <s v="TBD"/>
    <n v="0"/>
    <n v="9620000586"/>
  </r>
  <r>
    <x v="117"/>
    <s v="Rustinis_9620000586_RECON.xlsx"/>
    <n v="7838"/>
    <d v="2021-03-15T00:00:00"/>
    <n v="189"/>
    <n v="0"/>
    <s v="TBD"/>
    <n v="0"/>
    <n v="9620000586"/>
  </r>
  <r>
    <x v="117"/>
    <s v="Rustinis_9620000586_RECON.xlsx"/>
    <n v="7896"/>
    <d v="2021-05-27T00:00:00"/>
    <n v="459"/>
    <n v="0"/>
    <s v="TBD"/>
    <n v="0"/>
    <n v="9620000586"/>
  </r>
  <r>
    <x v="118"/>
    <s v="S&amp;S Services Inc_9620000589_RECON.xlsx"/>
    <n v="80032979991"/>
    <d v="2019-07-01T00:00:00"/>
    <n v="418.76"/>
    <n v="0"/>
    <s v="TBD"/>
    <n v="0"/>
    <n v="9620000589"/>
  </r>
  <r>
    <x v="118"/>
    <s v="S&amp;S Services Inc_9620000589_RECON.xlsx"/>
    <n v="80032979993"/>
    <d v="2019-07-01T00:00:00"/>
    <n v="376.23"/>
    <n v="0"/>
    <s v="TBD"/>
    <n v="0"/>
    <n v="9620000589"/>
  </r>
  <r>
    <x v="118"/>
    <s v="S&amp;S Services Inc_9620000589_RECON.xlsx"/>
    <n v="80032979994"/>
    <d v="2019-07-01T00:00:00"/>
    <n v="508.06"/>
    <n v="0"/>
    <s v="TBD"/>
    <n v="0"/>
    <n v="9620000589"/>
  </r>
  <r>
    <x v="118"/>
    <s v="S&amp;S Services Inc_9620000589_RECON.xlsx"/>
    <n v="30627"/>
    <d v="2020-10-01T00:00:00"/>
    <n v="298.5"/>
    <n v="303418"/>
    <s v="Service Call"/>
    <n v="0"/>
    <n v="9620000589"/>
  </r>
  <r>
    <x v="118"/>
    <s v="S&amp;S Services Inc_9620000589_RECON.xlsx"/>
    <n v="30648"/>
    <d v="2020-10-16T00:00:00"/>
    <n v="398"/>
    <n v="309424"/>
    <s v="Service Call"/>
    <n v="0"/>
    <n v="9620000589"/>
  </r>
  <r>
    <x v="119"/>
    <s v="Sagebrush Repair_9620000590_RECON.xlsx"/>
    <s v="SC210125"/>
    <d v="2021-01-25T00:00:00"/>
    <n v="297.5"/>
    <n v="346512"/>
    <s v="Service Call"/>
    <n v="0"/>
    <n v="9620000590"/>
  </r>
  <r>
    <x v="119"/>
    <s v="Sagebrush Repair_9620000590_RECON.xlsx"/>
    <s v="SC210318"/>
    <d v="2021-03-18T00:00:00"/>
    <n v="595"/>
    <n v="360811"/>
    <s v="Service Call"/>
    <n v="0"/>
    <n v="9620000590"/>
  </r>
  <r>
    <x v="120"/>
    <s v="Service Associates_9620000601, 9620000882_RECON.xlsx"/>
    <n v="363256"/>
    <d v="2020-12-18T00:00:00"/>
    <n v="214.5"/>
    <n v="327407"/>
    <s v="Service Call"/>
    <s v="In file"/>
    <n v="9620000601"/>
  </r>
  <r>
    <x v="120"/>
    <s v="Service Associates_9620000601, 9620000882_RECON.xlsx"/>
    <n v="369628"/>
    <d v="2021-01-07T00:00:00"/>
    <n v="397.06"/>
    <n v="340459"/>
    <s v="Service Call"/>
    <s v="In file"/>
    <n v="9620000601"/>
  </r>
  <r>
    <x v="120"/>
    <s v="Service Associates_9620000601, 9620000882_RECON.xlsx"/>
    <n v="370240"/>
    <d v="2021-01-12T00:00:00"/>
    <n v="524.42999999999995"/>
    <n v="327580"/>
    <s v="Service Call"/>
    <s v="In file"/>
    <n v="9620000601"/>
  </r>
  <r>
    <x v="120"/>
    <s v="Service Associates_9620000601, 9620000882_RECON.xlsx"/>
    <n v="369782"/>
    <d v="2021-01-22T00:00:00"/>
    <n v="214.5"/>
    <n v="345946"/>
    <s v="Service Call"/>
    <s v="In file"/>
    <n v="9620000601"/>
  </r>
  <r>
    <x v="120"/>
    <s v="Service Associates_9620000601, 9620000882_RECON.xlsx"/>
    <n v="325763"/>
    <d v="2021-02-17T00:00:00"/>
    <n v="92"/>
    <n v="353343"/>
    <s v="Service Call"/>
    <s v="In file"/>
    <n v="9620000601"/>
  </r>
  <r>
    <x v="120"/>
    <s v="Service Associates_9620000601, 9620000882_RECON.xlsx"/>
    <n v="371284"/>
    <d v="2021-02-19T00:00:00"/>
    <n v="301.69"/>
    <n v="353204"/>
    <s v="Service Call"/>
    <s v="In file"/>
    <n v="9620000601"/>
  </r>
  <r>
    <x v="121"/>
    <s v="Six Degrees Coffee_9620000611_RECON.xlsx"/>
    <n v="405606"/>
    <d v="2021-05-19T00:00:00"/>
    <n v="460.3"/>
    <n v="0"/>
    <s v="TBD"/>
    <n v="0"/>
    <n v="9620000611"/>
  </r>
  <r>
    <x v="122"/>
    <s v="Skal East Inc._9620051178_RECON.xlsx"/>
    <s v="A9690"/>
    <d v="2021-01-25T00:00:00"/>
    <n v="275"/>
    <n v="0"/>
    <s v="TBD"/>
    <n v="0"/>
    <n v="9620051178"/>
  </r>
  <r>
    <x v="122"/>
    <s v="Skal East Inc._9620051178_RECON.xlsx"/>
    <s v="A9694"/>
    <d v="2021-01-25T00:00:00"/>
    <n v="94.8"/>
    <n v="0"/>
    <s v="TBD"/>
    <n v="0"/>
    <n v="9620051178"/>
  </r>
  <r>
    <x v="122"/>
    <s v="Skal East Inc._9620051178_RECON.xlsx"/>
    <s v="A9695"/>
    <d v="2021-01-25T00:00:00"/>
    <n v="93.2"/>
    <n v="0"/>
    <s v="TBD"/>
    <n v="0"/>
    <n v="9620051178"/>
  </r>
  <r>
    <x v="122"/>
    <s v="Skal East Inc._9620051178_RECON.xlsx"/>
    <s v="A9696"/>
    <d v="2021-01-25T00:00:00"/>
    <n v="199.13"/>
    <n v="0"/>
    <s v="TBD"/>
    <n v="0"/>
    <n v="9620051178"/>
  </r>
  <r>
    <x v="122"/>
    <s v="Skal East Inc._9620051178_RECON.xlsx"/>
    <s v="A9698"/>
    <d v="2021-01-25T00:00:00"/>
    <n v="228.65"/>
    <n v="0"/>
    <s v="TBD"/>
    <n v="0"/>
    <n v="9620051178"/>
  </r>
  <r>
    <x v="122"/>
    <s v="Skal East Inc._9620051178_RECON.xlsx"/>
    <s v="A9713"/>
    <d v="2021-01-26T00:00:00"/>
    <n v="395"/>
    <n v="0"/>
    <s v="TBD"/>
    <n v="0"/>
    <n v="9620051178"/>
  </r>
  <r>
    <x v="122"/>
    <s v="Skal East Inc._9620051178_RECON.xlsx"/>
    <s v="A9900"/>
    <d v="2021-02-10T00:00:00"/>
    <n v="275"/>
    <n v="0"/>
    <s v="TBD"/>
    <n v="0"/>
    <n v="9620051178"/>
  </r>
  <r>
    <x v="122"/>
    <s v="Skal East Inc._9620051178_RECON.xlsx"/>
    <s v="A10144"/>
    <d v="2021-03-03T00:00:00"/>
    <n v="357"/>
    <n v="0"/>
    <s v="TBD"/>
    <n v="0"/>
    <n v="9620051178"/>
  </r>
  <r>
    <x v="122"/>
    <s v="Skal East Inc._9620051178_RECON.xlsx"/>
    <s v="A10227"/>
    <d v="2021-03-10T00:00:00"/>
    <n v="395"/>
    <n v="0"/>
    <s v="TBD"/>
    <n v="0"/>
    <n v="9620051178"/>
  </r>
  <r>
    <x v="122"/>
    <s v="Skal East Inc._9620051178_RECON.xlsx"/>
    <s v="A10228"/>
    <d v="2021-03-10T00:00:00"/>
    <n v="275"/>
    <n v="0"/>
    <s v="TBD"/>
    <n v="0"/>
    <n v="9620051178"/>
  </r>
  <r>
    <x v="122"/>
    <s v="Skal East Inc._9620051178_RECON.xlsx"/>
    <s v="A10769"/>
    <d v="2021-04-20T00:00:00"/>
    <n v="275"/>
    <n v="0"/>
    <s v="TBD"/>
    <n v="0"/>
    <n v="9620051178"/>
  </r>
  <r>
    <x v="122"/>
    <s v="Skal East Inc._9620051178_RECON.xlsx"/>
    <s v="A10771"/>
    <d v="2021-04-20T00:00:00"/>
    <n v="275"/>
    <n v="0"/>
    <s v="TBD"/>
    <n v="0"/>
    <n v="9620051178"/>
  </r>
  <r>
    <x v="122"/>
    <s v="Skal East Inc._9620051178_RECON.xlsx"/>
    <s v="A11140"/>
    <d v="2021-05-19T00:00:00"/>
    <n v="275"/>
    <n v="0"/>
    <s v="TBD"/>
    <n v="0"/>
    <n v="9620051178"/>
  </r>
  <r>
    <x v="122"/>
    <s v="Skal East Inc._9620051178_RECON.xlsx"/>
    <s v="A11282"/>
    <d v="2021-05-26T00:00:00"/>
    <n v="148.97999999999999"/>
    <n v="0"/>
    <s v="TBD"/>
    <n v="0"/>
    <n v="9620051178"/>
  </r>
  <r>
    <x v="122"/>
    <s v="Skal East Inc._9620051178_RECON.xlsx"/>
    <s v="A11283"/>
    <d v="2021-05-26T00:00:00"/>
    <n v="1202.07"/>
    <n v="0"/>
    <s v="TBD"/>
    <n v="0"/>
    <n v="9620051178"/>
  </r>
  <r>
    <x v="122"/>
    <s v="Skal East Inc._9620051178_RECON.xlsx"/>
    <s v="A11428"/>
    <d v="2021-05-28T00:00:00"/>
    <n v="1094.95"/>
    <n v="0"/>
    <s v="TBD"/>
    <n v="0"/>
    <n v="9620051178"/>
  </r>
  <r>
    <x v="123"/>
    <s v="Solutions Espresso Services_9620000614_RECON.xlsx"/>
    <n v="22022"/>
    <d v="2020-09-03T00:00:00"/>
    <n v="295.27"/>
    <n v="0"/>
    <s v="TBD"/>
    <n v="0"/>
    <n v="9620000614"/>
  </r>
  <r>
    <x v="123"/>
    <s v="Solutions Espresso Services_9620000614_RECON.xlsx"/>
    <n v="22020"/>
    <d v="2020-09-03T00:00:00"/>
    <n v="238.28"/>
    <n v="0"/>
    <s v="TBD"/>
    <n v="0"/>
    <n v="9620000614"/>
  </r>
  <r>
    <x v="123"/>
    <s v="Solutions Espresso Services_9620000614_RECON.xlsx"/>
    <n v="22246"/>
    <d v="2020-10-23T00:00:00"/>
    <n v="188.56"/>
    <n v="0"/>
    <s v="TBD"/>
    <n v="0"/>
    <n v="9620000614"/>
  </r>
  <r>
    <x v="123"/>
    <s v="Solutions Espresso Services_9620000614_RECON.xlsx"/>
    <n v="22253"/>
    <d v="2020-10-26T00:00:00"/>
    <n v="491.8"/>
    <n v="0"/>
    <s v="TBD"/>
    <n v="0"/>
    <n v="9620000614"/>
  </r>
  <r>
    <x v="123"/>
    <s v="Solutions Espresso Services_9620000614_RECON.xlsx"/>
    <n v="22457"/>
    <d v="2020-12-06T00:00:00"/>
    <n v="734.67"/>
    <n v="0"/>
    <s v="TBD"/>
    <n v="0"/>
    <n v="9620000614"/>
  </r>
  <r>
    <x v="123"/>
    <s v="Solutions Espresso Services_9620000614_RECON.xlsx"/>
    <n v="22705"/>
    <d v="2021-02-09T00:00:00"/>
    <n v="150"/>
    <n v="0"/>
    <s v="TBD"/>
    <n v="0"/>
    <n v="9620000614"/>
  </r>
  <r>
    <x v="123"/>
    <s v="Solutions Espresso Services_9620000614_RECON.xlsx"/>
    <n v="22709"/>
    <d v="2021-02-10T00:00:00"/>
    <n v="150"/>
    <n v="0"/>
    <s v="TBD"/>
    <n v="0"/>
    <n v="9620000614"/>
  </r>
  <r>
    <x v="123"/>
    <s v="Solutions Espresso Services_9620000614_RECON.xlsx"/>
    <n v="9475244"/>
    <d v="2021-05-23T00:00:00"/>
    <n v="175"/>
    <n v="0"/>
    <s v="TBD"/>
    <n v="0"/>
    <n v="9620000614"/>
  </r>
  <r>
    <x v="123"/>
    <s v="Solutions Espresso Services_9620000614_RECON.xlsx"/>
    <n v="9550238"/>
    <d v="2021-06-01T00:00:00"/>
    <n v="150"/>
    <n v="0"/>
    <s v="TBD"/>
    <n v="0"/>
    <n v="9620000614"/>
  </r>
  <r>
    <x v="123"/>
    <s v="Solutions Espresso Services_9620000614_RECON.xlsx"/>
    <n v="9573314"/>
    <d v="2021-06-02T00:00:00"/>
    <n v="236.65"/>
    <n v="0"/>
    <s v="TBD"/>
    <n v="0"/>
    <n v="9620000614"/>
  </r>
  <r>
    <x v="123"/>
    <s v="Solutions Espresso Services_9620000614_RECON.xlsx"/>
    <n v="9629015"/>
    <d v="2021-06-09T00:00:00"/>
    <n v="150"/>
    <n v="0"/>
    <s v="TBD"/>
    <n v="0"/>
    <n v="9620000614"/>
  </r>
  <r>
    <x v="123"/>
    <s v="Solutions Espresso Services_9620000614_RECON.xlsx"/>
    <n v="9660616"/>
    <d v="2021-06-14T00:00:00"/>
    <n v="250"/>
    <n v="0"/>
    <s v="TBD"/>
    <n v="0"/>
    <n v="9620000614"/>
  </r>
  <r>
    <x v="124"/>
    <s v="Specialty Beverage Solutions Inc._9620000622_RECON.xlsx"/>
    <n v="21110"/>
    <d v="2021-03-05T00:00:00"/>
    <n v="368.95"/>
    <n v="0"/>
    <s v="TBD"/>
    <n v="0"/>
    <n v="9620000622"/>
  </r>
  <r>
    <x v="124"/>
    <s v="Specialty Beverage Solutions Inc._9620000622_RECON.xlsx"/>
    <n v="21320"/>
    <d v="2021-04-13T00:00:00"/>
    <n v="201.6"/>
    <n v="1020235465"/>
    <s v="Install"/>
    <n v="0"/>
    <n v="9620000622"/>
  </r>
  <r>
    <x v="124"/>
    <s v="Specialty Beverage Solutions Inc._9620000622_RECON.xlsx"/>
    <n v="21375"/>
    <d v="2021-04-22T00:00:00"/>
    <n v="183.75"/>
    <n v="0"/>
    <s v="TBD"/>
    <n v="0"/>
    <n v="9620000622"/>
  </r>
  <r>
    <x v="124"/>
    <s v="Specialty Beverage Solutions Inc._9620000622_RECON.xlsx"/>
    <n v="21376"/>
    <d v="2021-04-22T00:00:00"/>
    <n v="183.75"/>
    <n v="0"/>
    <s v="TBD"/>
    <n v="0"/>
    <n v="9620000622"/>
  </r>
  <r>
    <x v="124"/>
    <s v="Specialty Beverage Solutions Inc._9620000622_RECON.xlsx"/>
    <n v="21377"/>
    <d v="2021-04-22T00:00:00"/>
    <n v="183.75"/>
    <n v="0"/>
    <s v="TBD"/>
    <n v="0"/>
    <n v="9620000622"/>
  </r>
  <r>
    <x v="124"/>
    <s v="Specialty Beverage Solutions Inc._9620000622_RECON.xlsx"/>
    <n v="21413"/>
    <d v="2021-04-22T00:00:00"/>
    <n v="183.75"/>
    <n v="0"/>
    <s v="TBD"/>
    <n v="0"/>
    <n v="9620000622"/>
  </r>
  <r>
    <x v="124"/>
    <s v="Specialty Beverage Solutions Inc._9620000622_RECON.xlsx"/>
    <n v="21414"/>
    <d v="2021-04-22T00:00:00"/>
    <n v="183.75"/>
    <n v="0"/>
    <s v="TBD"/>
    <n v="0"/>
    <n v="9620000622"/>
  </r>
  <r>
    <x v="124"/>
    <s v="Specialty Beverage Solutions Inc._9620000622_RECON.xlsx"/>
    <n v="21415"/>
    <d v="2021-04-22T00:00:00"/>
    <n v="183.75"/>
    <n v="0"/>
    <s v="TBD"/>
    <n v="0"/>
    <n v="9620000622"/>
  </r>
  <r>
    <x v="124"/>
    <s v="Specialty Beverage Solutions Inc._9620000622_RECON.xlsx"/>
    <n v="21529"/>
    <d v="2021-05-25T00:00:00"/>
    <n v="1031.46"/>
    <n v="376727"/>
    <s v="TBD"/>
    <n v="0"/>
    <n v="9620000622"/>
  </r>
  <r>
    <x v="125"/>
    <s v="Statewide Services_9620000638_RECON.xlsx"/>
    <n v="42405"/>
    <d v="2020-12-28T00:00:00"/>
    <n v="519"/>
    <n v="327956"/>
    <s v="Service Call"/>
    <n v="0"/>
    <n v="9620000638"/>
  </r>
  <r>
    <x v="125"/>
    <s v="Statewide Services_9620000638_RECON.xlsx"/>
    <n v="41104"/>
    <d v="2020-10-08T00:00:00"/>
    <n v="275"/>
    <n v="0"/>
    <s v="TBD"/>
    <n v="0"/>
    <n v="9620000638"/>
  </r>
  <r>
    <x v="125"/>
    <s v="Statewide Services_9620000638_RECON.xlsx"/>
    <n v="40600"/>
    <d v="2020-09-15T00:00:00"/>
    <n v="950.86"/>
    <n v="306434"/>
    <s v="Service Call"/>
    <n v="0"/>
    <n v="9620000638"/>
  </r>
  <r>
    <x v="125"/>
    <s v="Statewide Services_9620000638_RECON.xlsx"/>
    <n v="41195"/>
    <d v="2020-10-14T00:00:00"/>
    <n v="390"/>
    <n v="312925"/>
    <s v="Service Call"/>
    <n v="0"/>
    <n v="9620000638"/>
  </r>
  <r>
    <x v="125"/>
    <s v="Statewide Services_9620000638_RECON.xlsx"/>
    <n v="41196"/>
    <d v="2020-10-14T00:00:00"/>
    <n v="180"/>
    <n v="312926"/>
    <s v="Service Call"/>
    <n v="0"/>
    <n v="9620000638"/>
  </r>
  <r>
    <x v="125"/>
    <s v="Statewide Services_9620000638_RECON.xlsx"/>
    <n v="41080"/>
    <d v="2020-10-07T00:00:00"/>
    <n v="161.18"/>
    <n v="311628"/>
    <s v="Service Call"/>
    <n v="0"/>
    <n v="9620000638"/>
  </r>
  <r>
    <x v="125"/>
    <s v="Statewide Services_9620000638_RECON.xlsx"/>
    <n v="40479"/>
    <d v="2020-09-08T00:00:00"/>
    <n v="357.5"/>
    <n v="306772"/>
    <s v="Service Call"/>
    <n v="0"/>
    <n v="9620000638"/>
  </r>
  <r>
    <x v="126"/>
    <s v="Sterling Gourmet_9620000642_RECON.xlsx"/>
    <n v="70849"/>
    <d v="2020-11-06T00:00:00"/>
    <n v="55"/>
    <n v="213800"/>
    <s v="PM"/>
    <n v="0"/>
    <n v="9620000642"/>
  </r>
  <r>
    <x v="126"/>
    <s v="Sterling Gourmet_9620000642_RECON.xlsx"/>
    <n v="70866"/>
    <d v="2020-11-17T00:00:00"/>
    <n v="145"/>
    <n v="207822"/>
    <s v="PM"/>
    <n v="0"/>
    <n v="9620000642"/>
  </r>
  <r>
    <x v="126"/>
    <s v="Sterling Gourmet_9620000642_RECON.xlsx"/>
    <n v="70922"/>
    <d v="2020-12-18T00:00:00"/>
    <n v="157.22"/>
    <n v="327203"/>
    <s v="Service Call"/>
    <n v="0"/>
    <n v="9620000642"/>
  </r>
  <r>
    <x v="126"/>
    <s v="Sterling Gourmet_9620000642_RECON.xlsx"/>
    <n v="70924"/>
    <d v="2020-12-18T00:00:00"/>
    <n v="245.45"/>
    <n v="327494"/>
    <s v="Service Call"/>
    <n v="0"/>
    <n v="9620000642"/>
  </r>
  <r>
    <x v="126"/>
    <s v="Sterling Gourmet_9620000642_RECON.xlsx"/>
    <n v="71045"/>
    <d v="2021-02-12T00:00:00"/>
    <n v="145"/>
    <n v="204180"/>
    <s v="PM"/>
    <n v="0"/>
    <n v="9620000642"/>
  </r>
  <r>
    <x v="126"/>
    <s v="Sterling Gourmet_9620000642_RECON.xlsx"/>
    <n v="71137"/>
    <d v="2021-03-27T00:00:00"/>
    <n v="380"/>
    <s v="P293637 B "/>
    <s v="TBD"/>
    <n v="0"/>
    <n v="9620000642"/>
  </r>
  <r>
    <x v="126"/>
    <s v="Sterling Gourmet_9620000642_RECON.xlsx"/>
    <n v="71212"/>
    <d v="2021-04-30T00:00:00"/>
    <n v="727.29"/>
    <n v="371657"/>
    <s v="Service Call"/>
    <n v="0"/>
    <n v="9620000642"/>
  </r>
  <r>
    <x v="126"/>
    <s v="Sterling Gourmet_9620000642_RECON.xlsx"/>
    <n v="71213"/>
    <d v="2021-04-30T00:00:00"/>
    <n v="367.83"/>
    <n v="372519"/>
    <s v="Service Call"/>
    <n v="0"/>
    <n v="9620000642"/>
  </r>
  <r>
    <x v="126"/>
    <s v="Sterling Gourmet_9620000642_RECON.xlsx"/>
    <n v="71284"/>
    <d v="2021-06-11T00:00:00"/>
    <n v="150"/>
    <n v="382845"/>
    <s v="Service Call"/>
    <n v="0"/>
    <n v="9620000642"/>
  </r>
  <r>
    <x v="127"/>
    <s v="Sunbelt Imports_9620000648_RECON.xlsx"/>
    <s v="383660/R"/>
    <d v="2020-09-01T00:00:00"/>
    <n v="782.5"/>
    <n v="0"/>
    <s v="TBD"/>
    <n v="0"/>
    <n v="9620000648"/>
  </r>
  <r>
    <x v="128"/>
    <s v="T&amp;D Coffee Machine Service_9620000653_Recon.xlsx"/>
    <n v="7019"/>
    <d v="2021-04-01T00:00:00"/>
    <n v="1924"/>
    <n v="363852"/>
    <s v="Service Call"/>
    <n v="0"/>
    <n v="9620000653"/>
  </r>
  <r>
    <x v="128"/>
    <s v="T&amp;D Coffee Machine Service_9620000653_Recon.xlsx"/>
    <n v="7050"/>
    <d v="2021-04-20T00:00:00"/>
    <n v="368.6"/>
    <n v="368723"/>
    <s v="Service Call"/>
    <s v="Invoice requires further research"/>
    <n v="9620000653"/>
  </r>
  <r>
    <x v="128"/>
    <s v="T&amp;D Coffee Machine Service_9620000653_Recon.xlsx"/>
    <n v="7054"/>
    <d v="2021-04-22T00:00:00"/>
    <n v="794.03"/>
    <n v="369318"/>
    <s v="Service Call"/>
    <s v="Invoice requires further research"/>
    <n v="9620000653"/>
  </r>
  <r>
    <x v="128"/>
    <s v="T&amp;D Coffee Machine Service_9620000653_Recon.xlsx"/>
    <n v="7045"/>
    <d v="2021-04-16T00:00:00"/>
    <n v="275"/>
    <n v="304192"/>
    <s v="PM"/>
    <s v="Invoice requires further research"/>
    <n v="9620000653"/>
  </r>
  <r>
    <x v="128"/>
    <s v="T&amp;D Coffee Machine Service_9620000653_Recon.xlsx"/>
    <n v="7044"/>
    <d v="2021-04-16T00:00:00"/>
    <n v="395"/>
    <n v="358304"/>
    <s v="PM"/>
    <s v="Invoice requires further research"/>
    <n v="9620000653"/>
  </r>
  <r>
    <x v="128"/>
    <s v="T&amp;D Coffee Machine Service_9620000653_Recon.xlsx"/>
    <n v="7055"/>
    <d v="2021-04-22T00:00:00"/>
    <n v="525"/>
    <s v="363081 / 363076 / 363078"/>
    <s v="PM"/>
    <n v="0"/>
    <n v="9620000653"/>
  </r>
  <r>
    <x v="129"/>
    <s v="Tech 24_9620000658_Recon.xlsx"/>
    <n v="5940006"/>
    <d v="2021-02-22T00:00:00"/>
    <n v="420.68"/>
    <n v="213542"/>
    <s v="PM"/>
    <n v="0"/>
    <n v="9620000658"/>
  </r>
  <r>
    <x v="129"/>
    <s v="Tech 24_9620000658_Recon.xlsx"/>
    <n v="5950320"/>
    <d v="2021-03-02T00:00:00"/>
    <n v="422.65"/>
    <n v="203510"/>
    <s v="PM"/>
    <n v="0"/>
    <n v="9620000658"/>
  </r>
  <r>
    <x v="129"/>
    <s v="Tech 24_9620000658_Recon.xlsx"/>
    <n v="5903284"/>
    <d v="2020-12-04T00:00:00"/>
    <n v="2688.46"/>
    <s v="315238/00315240"/>
    <s v="Service Call"/>
    <n v="0"/>
    <n v="9620000658"/>
  </r>
  <r>
    <x v="129"/>
    <s v="Tech 24_9620000658_Recon.xlsx"/>
    <n v="5830710"/>
    <d v="2020-08-05T00:00:00"/>
    <n v="187"/>
    <s v="1020126710/410242864"/>
    <s v="Install"/>
    <n v="0"/>
    <n v="9620000658"/>
  </r>
  <r>
    <x v="129"/>
    <s v="Tech 24_9620000658_Recon.xlsx"/>
    <n v="5783494"/>
    <d v="2020-05-29T00:00:00"/>
    <n v="542.02"/>
    <s v="287963/00288546/00"/>
    <s v="Service Call"/>
    <n v="0"/>
    <n v="9620000658"/>
  </r>
  <r>
    <x v="130"/>
    <s v="Tech One_9620000660_RECON.xlsx"/>
    <n v="6284"/>
    <d v="2021-06-02T00:00:00"/>
    <n v="156.96"/>
    <n v="0"/>
    <s v="TBD"/>
    <n v="0"/>
    <n v="9620000660"/>
  </r>
  <r>
    <x v="131"/>
    <s v="TechMasters_9620000661_RECON.xlsx"/>
    <n v="108309"/>
    <d v="2021-03-03T00:00:00"/>
    <n v="374.3"/>
    <n v="0"/>
    <s v="TBD"/>
    <n v="0"/>
    <n v="9620000661"/>
  </r>
  <r>
    <x v="131"/>
    <s v="TechMasters_9620000661_RECON.xlsx"/>
    <n v="109349"/>
    <d v="2021-04-15T00:00:00"/>
    <n v="566"/>
    <n v="0"/>
    <s v="TBD"/>
    <n v="0"/>
    <n v="9620000661"/>
  </r>
  <r>
    <x v="131"/>
    <s v="TechMasters_9620000661_RECON.xlsx"/>
    <n v="109628"/>
    <d v="2021-04-27T00:00:00"/>
    <n v="779.37"/>
    <n v="0"/>
    <s v="TBD"/>
    <n v="0"/>
    <n v="9620000661"/>
  </r>
  <r>
    <x v="132"/>
    <s v="The Bean Doctor_9620000666_RECON.xlsx"/>
    <n v="12190"/>
    <d v="2020-10-26T00:00:00"/>
    <n v="135"/>
    <n v="0"/>
    <s v="TBD"/>
    <n v="0"/>
    <n v="9620000666"/>
  </r>
  <r>
    <x v="132"/>
    <s v="The Bean Doctor_9620000666_RECON.xlsx"/>
    <n v="12191"/>
    <d v="2020-10-26T00:00:00"/>
    <n v="141.9"/>
    <n v="0"/>
    <s v="TBD"/>
    <n v="0"/>
    <n v="9620000666"/>
  </r>
  <r>
    <x v="132"/>
    <s v="The Bean Doctor_9620000666_RECON.xlsx"/>
    <n v="12449"/>
    <d v="2020-12-27T00:00:00"/>
    <n v="178.75"/>
    <n v="0"/>
    <s v="TBD"/>
    <n v="0"/>
    <n v="9620000666"/>
  </r>
  <r>
    <x v="132"/>
    <s v="The Bean Doctor_9620000666_RECON.xlsx"/>
    <n v="12796"/>
    <d v="2021-02-28T00:00:00"/>
    <n v="247.5"/>
    <n v="0"/>
    <s v="TBD"/>
    <n v="0"/>
    <n v="9620000666"/>
  </r>
  <r>
    <x v="132"/>
    <s v="The Bean Doctor_9620000666_RECON.xlsx"/>
    <n v="12797"/>
    <d v="2021-02-28T00:00:00"/>
    <n v="247.5"/>
    <n v="0"/>
    <s v="TBD"/>
    <n v="0"/>
    <n v="9620000666"/>
  </r>
  <r>
    <x v="132"/>
    <s v="The Bean Doctor_9620000666_RECON.xlsx"/>
    <n v="13035"/>
    <d v="2021-04-06T00:00:00"/>
    <n v="247.5"/>
    <n v="0"/>
    <s v="TBD"/>
    <n v="0"/>
    <n v="9620000666"/>
  </r>
  <r>
    <x v="132"/>
    <s v="The Bean Doctor_9620000666_RECON.xlsx"/>
    <n v="13036"/>
    <d v="2021-04-06T00:00:00"/>
    <n v="135"/>
    <n v="0"/>
    <s v="TBD"/>
    <n v="0"/>
    <n v="9620000666"/>
  </r>
  <r>
    <x v="132"/>
    <s v="The Bean Doctor_9620000666_RECON.xlsx"/>
    <n v="13037"/>
    <d v="2021-04-06T00:00:00"/>
    <n v="135"/>
    <n v="0"/>
    <s v="TBD"/>
    <n v="0"/>
    <n v="9620000666"/>
  </r>
  <r>
    <x v="132"/>
    <s v="The Bean Doctor_9620000666_RECON.xlsx"/>
    <n v="13107"/>
    <d v="2021-04-24T00:00:00"/>
    <n v="135"/>
    <n v="0"/>
    <s v="TBD"/>
    <n v="0"/>
    <n v="9620000666"/>
  </r>
  <r>
    <x v="132"/>
    <s v="The Bean Doctor_9620000666_RECON.xlsx"/>
    <n v="13229"/>
    <d v="2021-05-11T00:00:00"/>
    <n v="230"/>
    <n v="0"/>
    <s v="TBD"/>
    <n v="0"/>
    <n v="9620000666"/>
  </r>
  <r>
    <x v="133"/>
    <s v="Tidewater_9620044382_RECON.xlsx"/>
    <n v="11717"/>
    <d v="2021-03-02T00:00:00"/>
    <n v="100"/>
    <n v="0"/>
    <s v="TBD"/>
    <n v="0"/>
    <n v="9620044382"/>
  </r>
  <r>
    <x v="133"/>
    <s v="Tidewater_9620044382_RECON.xlsx"/>
    <n v="11718"/>
    <d v="2021-03-02T00:00:00"/>
    <n v="100"/>
    <n v="0"/>
    <s v="TBD"/>
    <n v="0"/>
    <n v="9620044382"/>
  </r>
  <r>
    <x v="133"/>
    <s v="Tidewater_9620044382_RECON.xlsx"/>
    <n v="11759"/>
    <d v="2021-05-21T00:00:00"/>
    <n v="256.44"/>
    <n v="0"/>
    <s v="TBD"/>
    <n v="0"/>
    <n v="9620044382"/>
  </r>
  <r>
    <x v="133"/>
    <s v="Tidewater_9620044382_RECON.xlsx"/>
    <n v="11780"/>
    <d v="2021-05-21T00:00:00"/>
    <n v="150"/>
    <n v="0"/>
    <s v="TBD"/>
    <n v="0"/>
    <n v="9620044382"/>
  </r>
  <r>
    <x v="133"/>
    <s v="Tidewater_9620044382_RECON.xlsx"/>
    <n v="11788"/>
    <d v="2021-05-21T00:00:00"/>
    <n v="281.79000000000002"/>
    <n v="0"/>
    <s v="TBD"/>
    <n v="0"/>
    <n v="9620044382"/>
  </r>
  <r>
    <x v="133"/>
    <s v="Tidewater_9620044382_RECON.xlsx"/>
    <n v="11789"/>
    <d v="2021-05-21T00:00:00"/>
    <n v="425.01"/>
    <n v="0"/>
    <s v="TBD"/>
    <n v="0"/>
    <n v="9620044382"/>
  </r>
  <r>
    <x v="133"/>
    <s v="Tidewater_9620044382_RECON.xlsx"/>
    <n v="11790"/>
    <d v="2021-05-21T00:00:00"/>
    <n v="1279"/>
    <n v="0"/>
    <s v="TBD"/>
    <n v="0"/>
    <n v="9620044382"/>
  </r>
  <r>
    <x v="133"/>
    <s v="Tidewater_9620044382_RECON.xlsx"/>
    <n v="11791"/>
    <d v="2021-05-28T00:00:00"/>
    <n v="325"/>
    <n v="0"/>
    <s v="TBD"/>
    <n v="0"/>
    <n v="9620044382"/>
  </r>
  <r>
    <x v="134"/>
    <s v="Town Center Inc._9620057283_RECON.xlsx"/>
    <n v="422815"/>
    <d v="2021-05-11T00:00:00"/>
    <n v="665"/>
    <n v="0"/>
    <s v="TBD"/>
    <n v="0"/>
    <n v="9620057283"/>
  </r>
  <r>
    <x v="134"/>
    <s v="Town Center Inc._9620057283_RECON.xlsx"/>
    <n v="410894"/>
    <d v="2021-05-10T00:00:00"/>
    <n v="490"/>
    <n v="0"/>
    <s v="TBD"/>
    <n v="0"/>
    <n v="9620057283"/>
  </r>
  <r>
    <x v="134"/>
    <s v="Town Center Inc._9620057283_RECON.xlsx"/>
    <n v="420118"/>
    <d v="2021-05-06T00:00:00"/>
    <n v="475"/>
    <n v="0"/>
    <s v="TBD"/>
    <n v="0"/>
    <n v="9620057283"/>
  </r>
  <r>
    <x v="134"/>
    <s v="Town Center Inc._9620057283_RECON.xlsx"/>
    <n v="420513"/>
    <d v="2021-04-22T00:00:00"/>
    <n v="534.26"/>
    <n v="0"/>
    <s v="TBD"/>
    <n v="0"/>
    <n v="9620057283"/>
  </r>
  <r>
    <x v="134"/>
    <s v="Town Center Inc._9620057283_RECON.xlsx"/>
    <n v="411854"/>
    <d v="2021-01-05T00:00:00"/>
    <n v="468.52"/>
    <n v="0"/>
    <s v="TBD"/>
    <n v="0"/>
    <n v="9620057283"/>
  </r>
  <r>
    <x v="135"/>
    <s v="TR Coffee Service_9620000682_RECON.xlsx"/>
    <n v="3230"/>
    <d v="2021-02-24T00:00:00"/>
    <n v="126.95"/>
    <n v="354755"/>
    <s v="Service Call"/>
    <n v="0"/>
    <n v="9620000682"/>
  </r>
  <r>
    <x v="135"/>
    <s v="TR Coffee Service_9620000682_RECON.xlsx"/>
    <n v="3322"/>
    <d v="2021-03-24T00:00:00"/>
    <n v="371.95"/>
    <n v="1020235448"/>
    <s v="Install"/>
    <n v="0"/>
    <n v="9620000682"/>
  </r>
  <r>
    <x v="135"/>
    <s v="TR Coffee Service_9620000682_RECON.xlsx"/>
    <n v="3501"/>
    <d v="2021-01-22T00:00:00"/>
    <n v="175"/>
    <n v="341461"/>
    <s v="PM"/>
    <n v="0"/>
    <n v="9620000682"/>
  </r>
  <r>
    <x v="135"/>
    <s v="TR Coffee Service_9620000682_RECON.xlsx"/>
    <n v="3471"/>
    <d v="2021-04-07T00:00:00"/>
    <n v="231.95"/>
    <s v="PO675989"/>
    <s v="TBD"/>
    <n v="0"/>
    <n v="9620000682"/>
  </r>
  <r>
    <x v="135"/>
    <s v="TR Coffee Service_9620000682_RECON.xlsx"/>
    <n v="3576"/>
    <d v="2021-04-20T00:00:00"/>
    <n v="441.95"/>
    <s v="G23027-1"/>
    <s v="TBD"/>
    <n v="0"/>
    <n v="9620000682"/>
  </r>
  <r>
    <x v="135"/>
    <s v="TR Coffee Service_9620000682_RECON.xlsx"/>
    <n v="3747"/>
    <d v="2021-04-19T00:00:00"/>
    <n v="250"/>
    <s v="G23027"/>
    <s v="TBD"/>
    <n v="0"/>
    <n v="9620000682"/>
  </r>
  <r>
    <x v="135"/>
    <s v="TR Coffee Service_9620000682_RECON.xlsx"/>
    <n v="3749"/>
    <d v="2021-04-19T00:00:00"/>
    <n v="250"/>
    <s v="G23027-2"/>
    <s v="TBD"/>
    <n v="0"/>
    <n v="9620000682"/>
  </r>
  <r>
    <x v="135"/>
    <s v="TR Coffee Service_9620000682_RECON.xlsx"/>
    <n v="3586"/>
    <d v="2021-04-21T00:00:00"/>
    <n v="371.95"/>
    <s v="G23027-6"/>
    <s v="TBD"/>
    <n v="0"/>
    <n v="9620000682"/>
  </r>
  <r>
    <x v="135"/>
    <s v="TR Coffee Service_9620000682_RECON.xlsx"/>
    <n v="3739"/>
    <d v="2021-04-27T00:00:00"/>
    <n v="371.95"/>
    <s v="G23027-16"/>
    <s v="TBD"/>
    <n v="0"/>
    <n v="9620000682"/>
  </r>
  <r>
    <x v="135"/>
    <s v="TR Coffee Service_9620000682_RECON.xlsx"/>
    <n v="3738"/>
    <d v="2021-04-27T00:00:00"/>
    <n v="371.95"/>
    <s v="G23027-14"/>
    <s v="TBD"/>
    <n v="0"/>
    <n v="9620000682"/>
  </r>
  <r>
    <x v="135"/>
    <s v="TR Coffee Service_9620000682_RECON.xlsx"/>
    <n v="3511"/>
    <d v="2021-04-17T00:00:00"/>
    <n v="416.65"/>
    <n v="13071498"/>
    <s v="Service Call"/>
    <n v="0"/>
    <n v="9620000682"/>
  </r>
  <r>
    <x v="135"/>
    <s v="TR Coffee Service_9620000682_RECON.xlsx"/>
    <n v="3567"/>
    <d v="2021-04-19T00:00:00"/>
    <n v="199.68"/>
    <n v="368559"/>
    <s v="Service Call"/>
    <n v="0"/>
    <n v="9620000682"/>
  </r>
  <r>
    <x v="135"/>
    <s v="TR Coffee Service_9620000682_RECON.xlsx"/>
    <n v="1428"/>
    <d v="2021-04-15T00:00:00"/>
    <n v="196.95"/>
    <n v="367368"/>
    <s v="Service Call"/>
    <n v="0"/>
    <n v="9620000682"/>
  </r>
  <r>
    <x v="135"/>
    <s v="TR Coffee Service_9620000682_RECON.xlsx"/>
    <n v="3600"/>
    <d v="2021-04-21T00:00:00"/>
    <n v="91.95"/>
    <n v="367964"/>
    <s v="Service Call"/>
    <n v="0"/>
    <n v="9620000682"/>
  </r>
  <r>
    <x v="135"/>
    <s v="TR Coffee Service_9620000682_RECON.xlsx"/>
    <n v="3568"/>
    <d v="2021-04-19T00:00:00"/>
    <n v="196.95"/>
    <n v="367671"/>
    <s v="Service Call"/>
    <n v="0"/>
    <n v="9620000682"/>
  </r>
  <r>
    <x v="135"/>
    <s v="TR Coffee Service_9620000682_RECON.xlsx"/>
    <n v="3627"/>
    <d v="2021-04-28T00:00:00"/>
    <n v="316.25"/>
    <n v="372154"/>
    <s v="Service Call"/>
    <n v="0"/>
    <n v="9620000682"/>
  </r>
  <r>
    <x v="135"/>
    <s v="TR Coffee Service_9620000682_RECON.xlsx"/>
    <n v="3620"/>
    <d v="2021-04-22T00:00:00"/>
    <n v="2622.51"/>
    <n v="368745"/>
    <s v="Service Call"/>
    <n v="0"/>
    <n v="9620000682"/>
  </r>
  <r>
    <x v="135"/>
    <s v="TR Coffee Service_9620000682_RECON.xlsx"/>
    <n v="3737"/>
    <d v="2021-04-12T00:00:00"/>
    <n v="275"/>
    <n v="211841"/>
    <s v="PM"/>
    <n v="0"/>
    <n v="9620000682"/>
  </r>
  <r>
    <x v="135"/>
    <s v="TR Coffee Service_9620000682_RECON.xlsx"/>
    <n v="3595"/>
    <d v="2021-04-21T00:00:00"/>
    <n v="275"/>
    <n v="204004"/>
    <s v="PM"/>
    <n v="0"/>
    <n v="9620000682"/>
  </r>
  <r>
    <x v="135"/>
    <s v="TR Coffee Service_9620000682_RECON.xlsx"/>
    <n v="3596"/>
    <d v="2021-04-21T00:00:00"/>
    <n v="275"/>
    <n v="207343"/>
    <s v="PM"/>
    <n v="0"/>
    <n v="9620000682"/>
  </r>
  <r>
    <x v="135"/>
    <s v="TR Coffee Service_9620000682_RECON.xlsx"/>
    <n v="3599"/>
    <d v="2021-04-21T00:00:00"/>
    <n v="275"/>
    <n v="304358"/>
    <s v="PM"/>
    <n v="0"/>
    <n v="9620000682"/>
  </r>
  <r>
    <x v="135"/>
    <s v="TR Coffee Service_9620000682_RECON.xlsx"/>
    <n v="3624"/>
    <d v="2021-04-27T00:00:00"/>
    <n v="275"/>
    <n v="211841"/>
    <s v="PM"/>
    <n v="0"/>
    <n v="9620000682"/>
  </r>
  <r>
    <x v="135"/>
    <s v="TR Coffee Service_9620000682_RECON.xlsx"/>
    <n v="3629"/>
    <d v="2021-04-28T00:00:00"/>
    <n v="275"/>
    <n v="304349"/>
    <s v="PM"/>
    <n v="0"/>
    <n v="9620000682"/>
  </r>
  <r>
    <x v="135"/>
    <s v="TR Coffee Service_9620000682_RECON.xlsx"/>
    <n v="3663"/>
    <d v="2021-04-26T00:00:00"/>
    <n v="275"/>
    <n v="211841"/>
    <s v="PM"/>
    <n v="0"/>
    <n v="9620000682"/>
  </r>
  <r>
    <x v="135"/>
    <s v="TR Coffee Service_9620000682_RECON.xlsx"/>
    <n v="3872"/>
    <d v="2021-05-22T00:00:00"/>
    <n v="163.31"/>
    <n v="6377984"/>
    <s v="TBD"/>
    <n v="0"/>
    <n v="9620000682"/>
  </r>
  <r>
    <x v="135"/>
    <s v="TR Coffee Service_9620000682_RECON.xlsx"/>
    <n v="3960"/>
    <d v="2021-05-24T00:00:00"/>
    <n v="266.95"/>
    <n v="377915"/>
    <s v="Service Call"/>
    <n v="0"/>
    <n v="9620000682"/>
  </r>
  <r>
    <x v="135"/>
    <s v="TR Coffee Service_9620000682_RECON.xlsx"/>
    <n v="3949"/>
    <d v="2021-05-18T00:00:00"/>
    <n v="163.31"/>
    <n v="376835"/>
    <s v="Service Call"/>
    <n v="0"/>
    <n v="9620000682"/>
  </r>
  <r>
    <x v="135"/>
    <s v="TR Coffee Service_9620000682_RECON.xlsx"/>
    <n v="3836"/>
    <d v="2021-05-14T00:00:00"/>
    <n v="161.94999999999999"/>
    <n v="375195"/>
    <s v="Service Call"/>
    <n v="0"/>
    <n v="9620000682"/>
  </r>
  <r>
    <x v="135"/>
    <s v="TR Coffee Service_9620000682_RECON.xlsx"/>
    <n v="3842"/>
    <d v="2021-05-13T00:00:00"/>
    <n v="275.72000000000003"/>
    <n v="375712"/>
    <s v="Service Call"/>
    <n v="0"/>
    <n v="9620000682"/>
  </r>
  <r>
    <x v="135"/>
    <s v="TR Coffee Service_9620000682_RECON.xlsx"/>
    <n v="3888"/>
    <d v="2021-05-14T00:00:00"/>
    <n v="126.95"/>
    <n v="375632"/>
    <s v="Service Call"/>
    <n v="0"/>
    <n v="9620000682"/>
  </r>
  <r>
    <x v="135"/>
    <s v="TR Coffee Service_9620000682_RECON.xlsx"/>
    <n v="3870"/>
    <d v="2021-05-17T00:00:00"/>
    <n v="301.95"/>
    <n v="678975"/>
    <s v="TBD"/>
    <n v="0"/>
    <n v="9620000682"/>
  </r>
  <r>
    <x v="135"/>
    <s v="TR Coffee Service_9620000682_RECON.xlsx"/>
    <n v="3833"/>
    <d v="2021-05-13T00:00:00"/>
    <n v="196.95"/>
    <s v="G23027-40"/>
    <s v="TBD"/>
    <n v="0"/>
    <n v="9620000682"/>
  </r>
  <r>
    <x v="135"/>
    <s v="TR Coffee Service_9620000682_RECON.xlsx"/>
    <n v="3827"/>
    <d v="2021-05-13T00:00:00"/>
    <n v="231.95"/>
    <s v="G23027-35"/>
    <s v="TBD"/>
    <n v="0"/>
    <n v="9620000682"/>
  </r>
  <r>
    <x v="135"/>
    <s v="TR Coffee Service_9620000682_RECON.xlsx"/>
    <n v="3826"/>
    <d v="2021-05-12T00:00:00"/>
    <n v="231.95"/>
    <s v="G23027-32"/>
    <s v="TBD"/>
    <n v="0"/>
    <n v="9620000682"/>
  </r>
  <r>
    <x v="135"/>
    <s v="TR Coffee Service_9620000682_RECON.xlsx"/>
    <n v="3824"/>
    <d v="2021-05-12T00:00:00"/>
    <n v="266.95"/>
    <s v="G23027-36"/>
    <s v="TBD"/>
    <n v="0"/>
    <n v="9620000682"/>
  </r>
  <r>
    <x v="135"/>
    <s v="TR Coffee Service_9620000682_RECON.xlsx"/>
    <n v="3821"/>
    <d v="2021-05-12T00:00:00"/>
    <n v="266.95"/>
    <s v="G23027-33"/>
    <s v="TBD"/>
    <n v="0"/>
    <n v="9620000682"/>
  </r>
  <r>
    <x v="135"/>
    <s v="TR Coffee Service_9620000682_RECON.xlsx"/>
    <n v="3808"/>
    <d v="2021-05-11T00:00:00"/>
    <n v="441.95"/>
    <s v="G23027-27"/>
    <s v="TBD"/>
    <n v="0"/>
    <n v="9620000682"/>
  </r>
  <r>
    <x v="135"/>
    <s v="TR Coffee Service_9620000682_RECON.xlsx"/>
    <n v="3817"/>
    <d v="2021-05-11T00:00:00"/>
    <n v="301.95"/>
    <s v="G23027-28"/>
    <s v="TBD"/>
    <n v="0"/>
    <n v="9620000682"/>
  </r>
  <r>
    <x v="135"/>
    <s v="TR Coffee Service_9620000682_RECON.xlsx"/>
    <n v="3810"/>
    <d v="2021-05-11T00:00:00"/>
    <n v="231.95"/>
    <s v="G23027-51"/>
    <s v="TBD"/>
    <n v="0"/>
    <n v="9620000682"/>
  </r>
  <r>
    <x v="135"/>
    <s v="TR Coffee Service_9620000682_RECON.xlsx"/>
    <n v="3806"/>
    <d v="2021-05-10T00:00:00"/>
    <n v="336.95"/>
    <s v="G23027-20"/>
    <s v="TBD"/>
    <n v="0"/>
    <n v="9620000682"/>
  </r>
  <r>
    <x v="135"/>
    <s v="TR Coffee Service_9620000682_RECON.xlsx"/>
    <n v="3801"/>
    <d v="2021-05-10T00:00:00"/>
    <n v="266.95"/>
    <s v="G23027-29"/>
    <s v="TBD"/>
    <n v="0"/>
    <n v="9620000682"/>
  </r>
  <r>
    <x v="135"/>
    <s v="TR Coffee Service_9620000682_RECON.xlsx"/>
    <n v="3814"/>
    <d v="2021-05-10T00:00:00"/>
    <n v="371.95"/>
    <s v="G23027-23"/>
    <s v="TBD"/>
    <n v="0"/>
    <n v="9620000682"/>
  </r>
  <r>
    <x v="135"/>
    <s v="TR Coffee Service_9620000682_RECON.xlsx"/>
    <n v="3832"/>
    <d v="2021-05-13T00:00:00"/>
    <n v="532.79"/>
    <s v="G23027-46"/>
    <s v="TBD"/>
    <n v="0"/>
    <n v="9620000682"/>
  </r>
  <r>
    <x v="135"/>
    <s v="TR Coffee Service_9620000682_RECON.xlsx"/>
    <n v="3938"/>
    <d v="2021-05-19T00:00:00"/>
    <n v="371.95"/>
    <s v="G43029-45"/>
    <s v="TBD"/>
    <n v="0"/>
    <n v="9620000682"/>
  </r>
  <r>
    <x v="135"/>
    <s v="TR Coffee Service_9620000682_RECON.xlsx"/>
    <n v="3968"/>
    <d v="2021-05-18T00:00:00"/>
    <n v="231.95"/>
    <s v="G43029-48"/>
    <s v="TBD"/>
    <n v="0"/>
    <n v="9620000682"/>
  </r>
  <r>
    <x v="135"/>
    <s v="TR Coffee Service_9620000682_RECON.xlsx"/>
    <n v="3933"/>
    <d v="2021-05-18T00:00:00"/>
    <n v="371.95"/>
    <s v="G23027-43"/>
    <s v="TBD"/>
    <n v="0"/>
    <n v="9620000682"/>
  </r>
  <r>
    <x v="135"/>
    <s v="TR Coffee Service_9620000682_RECON.xlsx"/>
    <n v="3966"/>
    <d v="2021-05-19T00:00:00"/>
    <n v="231.95"/>
    <s v="G23027-49"/>
    <s v="TBD"/>
    <n v="0"/>
    <n v="9620000682"/>
  </r>
  <r>
    <x v="135"/>
    <s v="TR Coffee Service_9620000682_RECON.xlsx"/>
    <n v="3940"/>
    <d v="2021-05-19T00:00:00"/>
    <n v="371.95"/>
    <s v="G23027-47"/>
    <s v="TBD"/>
    <n v="0"/>
    <n v="9620000682"/>
  </r>
  <r>
    <x v="135"/>
    <s v="TR Coffee Service_9620000682_RECON.xlsx"/>
    <n v="3974"/>
    <d v="2021-05-20T00:00:00"/>
    <n v="231.95"/>
    <s v="G23027-50"/>
    <s v="TBD"/>
    <n v="0"/>
    <n v="9620000682"/>
  </r>
  <r>
    <x v="135"/>
    <s v="TR Coffee Service_9620000682_RECON.xlsx"/>
    <n v="3977"/>
    <d v="2021-05-20T00:00:00"/>
    <n v="231.95"/>
    <s v="G23027-44"/>
    <s v="TBD"/>
    <n v="0"/>
    <n v="9620000682"/>
  </r>
  <r>
    <x v="135"/>
    <s v="TR Coffee Service_9620000682_RECON.xlsx"/>
    <n v="3983"/>
    <d v="2021-05-19T00:00:00"/>
    <n v="441.95"/>
    <s v="G23027-43"/>
    <s v="TBD"/>
    <n v="0"/>
    <n v="9620000682"/>
  </r>
  <r>
    <x v="135"/>
    <s v="TR Coffee Service_9620000682_RECON.xlsx"/>
    <n v="3851"/>
    <d v="2021-05-12T00:00:00"/>
    <n v="371.95"/>
    <n v="1020233938"/>
    <s v="Install"/>
    <n v="0"/>
    <n v="9620000682"/>
  </r>
  <r>
    <x v="135"/>
    <s v="TR Coffee Service_9620000682_RECON.xlsx"/>
    <n v="3819"/>
    <d v="2021-05-14T00:00:00"/>
    <n v="476.95"/>
    <n v="1020233930"/>
    <s v="Install"/>
    <n v="0"/>
    <n v="9620000682"/>
  </r>
  <r>
    <x v="135"/>
    <s v="TR Coffee Service_9620000682_RECON.xlsx"/>
    <n v="3853"/>
    <d v="2021-05-13T00:00:00"/>
    <n v="301.95"/>
    <n v="1020233928"/>
    <s v="Install"/>
    <n v="0"/>
    <n v="9620000682"/>
  </r>
  <r>
    <x v="135"/>
    <s v="TR Coffee Service_9620000682_RECON.xlsx"/>
    <n v="3854"/>
    <d v="2021-05-13T00:00:00"/>
    <n v="301.95"/>
    <n v="1020233929"/>
    <s v="Install"/>
    <n v="0"/>
    <n v="9620000682"/>
  </r>
  <r>
    <x v="136"/>
    <s v="Tri-State Restaurant Supply_9620000683_RECON.xlsx"/>
    <n v="173777"/>
    <d v="2021-02-12T00:00:00"/>
    <n v="360"/>
    <n v="0"/>
    <s v="TBD"/>
    <n v="0"/>
    <n v="9620000683"/>
  </r>
  <r>
    <x v="137"/>
    <s v="Upside Investments Only Inc_9620046963_Recon.xlsx"/>
    <n v="1234"/>
    <d v="2021-03-05T00:00:00"/>
    <n v="335"/>
    <n v="0"/>
    <s v="TBD"/>
    <n v="0"/>
    <n v="9620046963"/>
  </r>
  <r>
    <x v="137"/>
    <s v="Upside Investments Only Inc_9620046963_Recon.xlsx"/>
    <n v="1231"/>
    <d v="2021-02-20T00:00:00"/>
    <n v="335"/>
    <n v="0"/>
    <s v="TBD"/>
    <n v="0"/>
    <n v="9620046963"/>
  </r>
  <r>
    <x v="137"/>
    <s v="Upside Investments Only Inc_9620046963_Recon.xlsx"/>
    <n v="1200"/>
    <d v="2021-01-19T00:00:00"/>
    <n v="335"/>
    <n v="0"/>
    <s v="PM"/>
    <s v=" PM preformed on SIN: 1831343885"/>
    <n v="9620046963"/>
  </r>
  <r>
    <x v="137"/>
    <s v="Upside Investments Only Inc_9620046963_Recon.xlsx"/>
    <n v="1150"/>
    <d v="2020-10-01T00:00:00"/>
    <n v="300"/>
    <n v="0"/>
    <s v="TBD"/>
    <n v="0"/>
    <n v="9620046963"/>
  </r>
  <r>
    <x v="138"/>
    <s v="Visions Espresso_9620000702, 9620005803_RECON.xlsx"/>
    <s v="WO0858"/>
    <d v="2021-03-26T00:00:00"/>
    <n v="825"/>
    <n v="1020233458"/>
    <s v="Install"/>
    <n v="0"/>
    <n v="9620000702"/>
  </r>
  <r>
    <x v="139"/>
    <s v="VP Coffee_9620000705_RECON.xlsx"/>
    <n v="38781"/>
    <d v="2021-05-17T00:00:00"/>
    <n v="1679.15"/>
    <n v="372247"/>
    <s v="Service Call"/>
    <n v="0"/>
    <n v="9620000705"/>
  </r>
  <r>
    <x v="139"/>
    <s v="VP Coffee_9620000705_RECON.xlsx"/>
    <n v="38958"/>
    <d v="2021-05-28T00:00:00"/>
    <n v="895.67"/>
    <n v="377431"/>
    <s v="Service Call"/>
    <n v="0"/>
    <n v="9620000705"/>
  </r>
  <r>
    <x v="139"/>
    <s v="VP Coffee_9620000705_RECON.xlsx"/>
    <n v="39036"/>
    <d v="2021-06-04T00:00:00"/>
    <n v="505.57"/>
    <n v="377544"/>
    <s v="Service Call"/>
    <n v="0"/>
    <n v="9620000705"/>
  </r>
  <r>
    <x v="139"/>
    <s v="VP Coffee_9620000705_RECON.xlsx"/>
    <n v="39037"/>
    <d v="2021-06-04T00:00:00"/>
    <n v="451.56"/>
    <n v="378061"/>
    <s v="Service Call"/>
    <n v="0"/>
    <n v="9620000705"/>
  </r>
  <r>
    <x v="139"/>
    <s v="VP Coffee_9620000705_RECON.xlsx"/>
    <n v="39038"/>
    <d v="2021-06-04T00:00:00"/>
    <n v="216.68"/>
    <n v="379203"/>
    <s v="Service Call"/>
    <n v="0"/>
    <n v="9620000705"/>
  </r>
  <r>
    <x v="139"/>
    <s v="VP Coffee_9620000705_RECON.xlsx"/>
    <n v="39039"/>
    <d v="2021-06-04T00:00:00"/>
    <n v="382.5"/>
    <n v="378951"/>
    <s v="Service Call"/>
    <n v="0"/>
    <n v="9620000705"/>
  </r>
  <r>
    <x v="139"/>
    <s v="VP Coffee_9620000705_RECON.xlsx"/>
    <n v="39040"/>
    <d v="2021-06-04T00:00:00"/>
    <n v="315.82"/>
    <n v="379373"/>
    <s v="Service Call"/>
    <n v="0"/>
    <n v="9620000705"/>
  </r>
  <r>
    <x v="139"/>
    <s v="VP Coffee_9620000705_RECON.xlsx"/>
    <n v="39041"/>
    <d v="2021-06-04T00:00:00"/>
    <n v="676.43"/>
    <n v="379632"/>
    <s v="Service Call"/>
    <n v="0"/>
    <n v="9620000705"/>
  </r>
  <r>
    <x v="139"/>
    <s v="VP Coffee_9620000705_RECON.xlsx"/>
    <n v="39042"/>
    <d v="2021-06-04T00:00:00"/>
    <n v="541.54999999999995"/>
    <n v="1020232821"/>
    <s v="Install"/>
    <n v="0"/>
    <n v="9620000705"/>
  </r>
  <r>
    <x v="139"/>
    <s v="VP Coffee_9620000705_RECON.xlsx"/>
    <n v="39043"/>
    <d v="2021-06-04T00:00:00"/>
    <n v="247.5"/>
    <n v="379606"/>
    <s v="Service Call"/>
    <n v="0"/>
    <n v="9620000705"/>
  </r>
  <r>
    <x v="139"/>
    <s v="VP Coffee_9620000705_RECON.xlsx"/>
    <n v="39044"/>
    <d v="2021-06-04T00:00:00"/>
    <n v="112.5"/>
    <n v="379605"/>
    <s v="Service Call"/>
    <n v="0"/>
    <n v="9620000705"/>
  </r>
  <r>
    <x v="139"/>
    <s v="VP Coffee_9620000705_RECON.xlsx"/>
    <n v="39141"/>
    <d v="2021-06-10T00:00:00"/>
    <n v="186.81"/>
    <n v="333485"/>
    <s v="PM"/>
    <n v="0"/>
    <n v="9620000705"/>
  </r>
  <r>
    <x v="139"/>
    <s v="VP Coffee_9620000705_RECON.xlsx"/>
    <n v="39142"/>
    <d v="2021-06-10T00:00:00"/>
    <n v="186.81"/>
    <n v="333503"/>
    <s v="PM"/>
    <n v="0"/>
    <n v="9620000705"/>
  </r>
  <r>
    <x v="139"/>
    <s v="VP Coffee_9620000705_RECON.xlsx"/>
    <n v="39143"/>
    <d v="2021-06-10T00:00:00"/>
    <n v="193.05"/>
    <n v="380595"/>
    <s v="Service Call"/>
    <n v="0"/>
    <n v="9620000705"/>
  </r>
  <r>
    <x v="139"/>
    <s v="VP Coffee_9620000705_RECON.xlsx"/>
    <n v="39144"/>
    <d v="2021-06-10T00:00:00"/>
    <n v="240.75"/>
    <n v="380411"/>
    <s v="Service Call"/>
    <n v="0"/>
    <n v="9620000705"/>
  </r>
  <r>
    <x v="139"/>
    <s v="VP Coffee_9620000705_RECON.xlsx"/>
    <n v="39145"/>
    <d v="2021-06-10T00:00:00"/>
    <n v="390.56"/>
    <n v="380392"/>
    <s v="Service Call"/>
    <n v="0"/>
    <n v="9620000705"/>
  </r>
  <r>
    <x v="139"/>
    <s v="VP Coffee_9620000705_RECON.xlsx"/>
    <n v="39146"/>
    <d v="2021-06-10T00:00:00"/>
    <n v="430.08"/>
    <n v="380347"/>
    <s v="Service Call"/>
    <n v="0"/>
    <n v="9620000705"/>
  </r>
  <r>
    <x v="139"/>
    <s v="VP Coffee_9620000705_RECON.xlsx"/>
    <n v="39147"/>
    <d v="2021-06-10T00:00:00"/>
    <n v="264.20999999999998"/>
    <n v="380833"/>
    <s v="Service Call"/>
    <n v="0"/>
    <n v="9620000705"/>
  </r>
  <r>
    <x v="139"/>
    <s v="VP Coffee_9620000705_RECON.xlsx"/>
    <n v="39148"/>
    <d v="2021-06-10T00:00:00"/>
    <n v="193.05"/>
    <n v="381006"/>
    <s v="Service Call"/>
    <n v="0"/>
    <n v="9620000705"/>
  </r>
  <r>
    <x v="139"/>
    <s v="VP Coffee_9620000705_RECON.xlsx"/>
    <n v="39149"/>
    <d v="2021-06-10T00:00:00"/>
    <n v="292.5"/>
    <n v="380897"/>
    <s v="Service Call"/>
    <n v="0"/>
    <n v="9620000705"/>
  </r>
  <r>
    <x v="139"/>
    <s v="VP Coffee_9620000705_RECON.xlsx"/>
    <n v="39150"/>
    <d v="2021-06-10T00:00:00"/>
    <n v="192.15"/>
    <n v="380941"/>
    <s v="Service Call"/>
    <n v="0"/>
    <n v="9620000705"/>
  </r>
  <r>
    <x v="139"/>
    <s v="VP Coffee_9620000705_RECON.xlsx"/>
    <n v="39151"/>
    <d v="2021-06-10T00:00:00"/>
    <n v="272.8"/>
    <n v="380892"/>
    <s v="Service Call"/>
    <n v="0"/>
    <n v="9620000705"/>
  </r>
  <r>
    <x v="139"/>
    <s v="VP Coffee_9620000705_RECON.xlsx"/>
    <n v="39152"/>
    <d v="2021-06-10T00:00:00"/>
    <n v="192.6"/>
    <n v="380828"/>
    <s v="Service Call"/>
    <n v="0"/>
    <n v="9620000705"/>
  </r>
  <r>
    <x v="139"/>
    <s v="VP Coffee_9620000705_RECON.xlsx"/>
    <n v="38169"/>
    <d v="2021-04-15T00:00:00"/>
    <n v="264.20999999999998"/>
    <n v="4565575913"/>
    <s v="Install"/>
    <n v="0"/>
    <n v="9620000705"/>
  </r>
  <r>
    <x v="139"/>
    <s v="VP Coffee_9620000705_RECON.xlsx"/>
    <n v="38181"/>
    <d v="2021-04-15T00:00:00"/>
    <n v="476.15"/>
    <n v="214521"/>
    <s v="PM"/>
    <n v="0"/>
    <n v="9620000705"/>
  </r>
  <r>
    <x v="139"/>
    <s v="VP Coffee_9620000705_RECON.xlsx"/>
    <n v="38185"/>
    <d v="2021-04-15T00:00:00"/>
    <n v="187.25"/>
    <n v="342631"/>
    <s v="PM"/>
    <n v="0"/>
    <n v="9620000705"/>
  </r>
  <r>
    <x v="139"/>
    <s v="VP Coffee_9620000705_RECON.xlsx"/>
    <n v="38385"/>
    <d v="2021-04-23T00:00:00"/>
    <n v="187.25"/>
    <n v="289176"/>
    <s v="PM"/>
    <n v="0"/>
    <n v="9620000705"/>
  </r>
  <r>
    <x v="139"/>
    <s v="VP Coffee_9620000705_RECON.xlsx"/>
    <n v="38502"/>
    <d v="2021-05-04T00:00:00"/>
    <n v="216.68"/>
    <n v="1020242614"/>
    <s v="Install"/>
    <n v="0"/>
    <n v="9620000705"/>
  </r>
  <r>
    <x v="139"/>
    <s v="VP Coffee_9620000705_RECON.xlsx"/>
    <n v="38505"/>
    <d v="2021-05-04T00:00:00"/>
    <n v="289.58"/>
    <n v="365603"/>
    <s v="Service Call"/>
    <n v="0"/>
    <n v="9620000705"/>
  </r>
  <r>
    <x v="139"/>
    <s v="VP Coffee_9620000705_RECON.xlsx"/>
    <n v="38616"/>
    <d v="2021-05-10T00:00:00"/>
    <n v="96.53"/>
    <n v="369682"/>
    <s v="Service Call"/>
    <n v="0"/>
    <n v="9620000705"/>
  </r>
  <r>
    <x v="139"/>
    <s v="VP Coffee_9620000705_RECON.xlsx"/>
    <n v="38617"/>
    <d v="2021-05-10T00:00:00"/>
    <n v="192.6"/>
    <n v="369369"/>
    <s v="Service Call"/>
    <n v="0"/>
    <n v="9620000705"/>
  </r>
  <r>
    <x v="139"/>
    <s v="VP Coffee_9620000705_RECON.xlsx"/>
    <n v="37485"/>
    <d v="2021-03-03T00:00:00"/>
    <n v="107.46"/>
    <n v="210612601"/>
    <s v="TBD"/>
    <n v="0"/>
    <n v="9620000705"/>
  </r>
  <r>
    <x v="139"/>
    <s v="VP Coffee_9620000705_RECON.xlsx"/>
    <n v="37583"/>
    <d v="2021-03-08T00:00:00"/>
    <n v="361.12"/>
    <n v="310378"/>
    <s v="PM"/>
    <n v="0"/>
    <n v="9620000705"/>
  </r>
  <r>
    <x v="139"/>
    <s v="VP Coffee_9620000705_RECON.xlsx"/>
    <n v="37845"/>
    <d v="2021-03-23T00:00:00"/>
    <n v="193.05"/>
    <n v="361323"/>
    <s v="Service Call"/>
    <n v="0"/>
    <n v="9620000705"/>
  </r>
  <r>
    <x v="139"/>
    <s v="VP Coffee_9620000705_RECON.xlsx"/>
    <n v="36987"/>
    <d v="2021-02-08T00:00:00"/>
    <n v="1351.52"/>
    <n v="345099"/>
    <s v="Service Call"/>
    <n v="0"/>
    <n v="9620000705"/>
  </r>
  <r>
    <x v="139"/>
    <s v="VP Coffee_9620000705_RECON.xlsx"/>
    <n v="37084"/>
    <d v="2021-02-12T00:00:00"/>
    <n v="481.51"/>
    <n v="349369"/>
    <s v="Service Call"/>
    <n v="0"/>
    <n v="9620000705"/>
  </r>
  <r>
    <x v="139"/>
    <s v="VP Coffee_9620000705_RECON.xlsx"/>
    <n v="37085"/>
    <d v="2021-02-12T00:00:00"/>
    <n v="384.3"/>
    <n v="349632"/>
    <s v="Service Call"/>
    <n v="0"/>
    <n v="9620000705"/>
  </r>
  <r>
    <x v="139"/>
    <s v="VP Coffee_9620000705_RECON.xlsx"/>
    <n v="37213"/>
    <d v="2021-02-18T00:00:00"/>
    <n v="409.28"/>
    <n v="4500480318"/>
    <s v="Install"/>
    <n v="0"/>
    <n v="9620000705"/>
  </r>
  <r>
    <x v="139"/>
    <s v="VP Coffee_9620000705_RECON.xlsx"/>
    <n v="37235"/>
    <d v="2021-02-19T00:00:00"/>
    <n v="456.36"/>
    <n v="344467"/>
    <s v="Service Call"/>
    <n v="0"/>
    <n v="9620000705"/>
  </r>
  <r>
    <x v="139"/>
    <s v="VP Coffee_9620000705_RECON.xlsx"/>
    <n v="34705"/>
    <d v="2020-10-02T00:00:00"/>
    <n v="2082.4899999999998"/>
    <s v="306947 &amp; 00307988"/>
    <s v="TBD"/>
    <n v="0"/>
    <n v="9620000705"/>
  </r>
  <r>
    <x v="139"/>
    <s v="VP Coffee_9620000705_RECON.xlsx"/>
    <n v="36099"/>
    <d v="2020-12-14T00:00:00"/>
    <n v="190.93"/>
    <n v="322207"/>
    <s v="Service Call"/>
    <n v="0"/>
    <n v="9620000705"/>
  </r>
  <r>
    <x v="139"/>
    <s v="VP Coffee_9620000705_RECON.xlsx"/>
    <n v="36422"/>
    <d v="2021-01-05T00:00:00"/>
    <n v="360"/>
    <n v="327898"/>
    <s v="Service Call"/>
    <n v="0"/>
    <n v="9620000705"/>
  </r>
  <r>
    <x v="139"/>
    <s v="VP Coffee_9620000705_RECON.xlsx"/>
    <n v="36423"/>
    <d v="2021-01-05T00:00:00"/>
    <n v="2269.6"/>
    <n v="339930"/>
    <s v="Service Call"/>
    <n v="0"/>
    <n v="9620000705"/>
  </r>
  <r>
    <x v="139"/>
    <s v="VP Coffee_9620000705_RECON.xlsx"/>
    <n v="36429"/>
    <d v="2021-01-05T00:00:00"/>
    <n v="312.97000000000003"/>
    <n v="214392"/>
    <s v="PM"/>
    <n v="0"/>
    <n v="9620000705"/>
  </r>
  <r>
    <x v="139"/>
    <s v="VP Coffee_9620000705_RECON.xlsx"/>
    <n v="36431"/>
    <d v="2021-01-05T00:00:00"/>
    <n v="240.19"/>
    <n v="303690"/>
    <s v="PM"/>
    <n v="0"/>
    <n v="9620000705"/>
  </r>
  <r>
    <x v="139"/>
    <s v="VP Coffee_9620000705_RECON.xlsx"/>
    <n v="36481"/>
    <d v="2021-01-07T00:00:00"/>
    <n v="192.6"/>
    <n v="175009"/>
    <s v="PM"/>
    <n v="0"/>
    <n v="9620000705"/>
  </r>
  <r>
    <x v="139"/>
    <s v="VP Coffee_9620000705_RECON.xlsx"/>
    <n v="36631"/>
    <d v="2021-01-14T00:00:00"/>
    <n v="315"/>
    <n v="343415"/>
    <s v="Service Call"/>
    <n v="0"/>
    <n v="9620000705"/>
  </r>
  <r>
    <x v="139"/>
    <s v="VP Coffee_9620000705_RECON.xlsx"/>
    <n v="36738"/>
    <d v="2021-01-20T00:00:00"/>
    <n v="206.75"/>
    <n v="344916"/>
    <s v="Service Call"/>
    <n v="0"/>
    <n v="9620000705"/>
  </r>
  <r>
    <x v="140"/>
    <s v="Weldon Service _9620047081_RECON.xlsx"/>
    <n v="130502"/>
    <d v="2020-11-10T00:00:00"/>
    <n v="729"/>
    <n v="1020162927"/>
    <s v="Install"/>
    <n v="0"/>
    <n v="9620047081"/>
  </r>
  <r>
    <x v="140"/>
    <s v="Weldon Service _9620047081_RECON.xlsx"/>
    <n v="133416"/>
    <d v="2020-11-17T00:00:00"/>
    <n v="853.35"/>
    <n v="319267"/>
    <s v="Service Call"/>
    <n v="0"/>
    <n v="9620047081"/>
  </r>
  <r>
    <x v="140"/>
    <s v="Weldon Service _9620047081_RECON.xlsx"/>
    <n v="133847"/>
    <d v="2020-12-07T00:00:00"/>
    <n v="534.6"/>
    <n v="4500482313"/>
    <s v="Install"/>
    <n v="0"/>
    <n v="9620047081"/>
  </r>
  <r>
    <x v="140"/>
    <s v="Weldon Service _9620047081_RECON.xlsx"/>
    <n v="130846"/>
    <d v="2020-12-22T00:00:00"/>
    <n v="864.43"/>
    <s v="PO36"/>
    <s v="Install"/>
    <n v="0"/>
    <n v="9620047081"/>
  </r>
  <r>
    <x v="140"/>
    <s v="Weldon Service _9620047081_RECON.xlsx"/>
    <n v="134397"/>
    <d v="2021-01-05T00:00:00"/>
    <n v="510.3"/>
    <n v="4500487255"/>
    <s v="Install"/>
    <n v="0"/>
    <n v="9620047081"/>
  </r>
  <r>
    <x v="140"/>
    <s v="Weldon Service _9620047081_RECON.xlsx"/>
    <n v="134638"/>
    <d v="2021-01-12T00:00:00"/>
    <n v="413.1"/>
    <n v="1020214289"/>
    <s v="Install"/>
    <n v="0"/>
    <n v="9620047081"/>
  </r>
  <r>
    <x v="140"/>
    <s v="Weldon Service _9620047081_RECON.xlsx"/>
    <n v="135703"/>
    <d v="2021-03-03T00:00:00"/>
    <n v="739.35"/>
    <n v="0"/>
    <s v="TBD"/>
    <n v="0"/>
    <n v="9620047081"/>
  </r>
  <r>
    <x v="140"/>
    <s v="Weldon Service _9620047081_RECON.xlsx"/>
    <n v="135807"/>
    <d v="2021-03-04T00:00:00"/>
    <n v="631.79999999999995"/>
    <n v="0"/>
    <s v="TBD"/>
    <n v="0"/>
    <n v="9620047081"/>
  </r>
  <r>
    <x v="140"/>
    <s v="Weldon Service _9620047081_RECON.xlsx"/>
    <n v="136891"/>
    <d v="2021-03-23T00:00:00"/>
    <n v="388.8"/>
    <n v="0"/>
    <s v="TBD"/>
    <n v="0"/>
    <n v="9620047081"/>
  </r>
  <r>
    <x v="140"/>
    <s v="Weldon Service _9620047081_RECON.xlsx"/>
    <n v="137204"/>
    <d v="2021-03-24T00:00:00"/>
    <n v="1012"/>
    <n v="0"/>
    <s v="TBD"/>
    <n v="0"/>
    <n v="9620047081"/>
  </r>
  <r>
    <x v="140"/>
    <s v="Weldon Service _9620047081_RECON.xlsx"/>
    <n v="137322"/>
    <d v="2021-04-06T00:00:00"/>
    <n v="145.80000000000001"/>
    <n v="0"/>
    <s v="TBD"/>
    <n v="0"/>
    <n v="9620047081"/>
  </r>
  <r>
    <x v="140"/>
    <s v="Weldon Service _9620047081_RECON.xlsx"/>
    <n v="137623"/>
    <d v="2021-04-15T00:00:00"/>
    <n v="170.1"/>
    <n v="0"/>
    <s v="TBD"/>
    <n v="0"/>
    <n v="9620047081"/>
  </r>
  <r>
    <x v="140"/>
    <s v="Weldon Service _9620047081_RECON.xlsx"/>
    <n v="137745"/>
    <d v="2021-04-21T00:00:00"/>
    <n v="1664.71"/>
    <n v="0"/>
    <s v="TBD"/>
    <n v="0"/>
    <n v="9620047081"/>
  </r>
  <r>
    <x v="140"/>
    <s v="Weldon Service _9620047081_RECON.xlsx"/>
    <n v="137923"/>
    <d v="2021-04-26T00:00:00"/>
    <n v="874.8"/>
    <n v="0"/>
    <s v="TBD"/>
    <n v="0"/>
    <n v="9620047081"/>
  </r>
  <r>
    <x v="140"/>
    <s v="Weldon Service _9620047081_RECON.xlsx"/>
    <n v="137971"/>
    <d v="2021-04-28T00:00:00"/>
    <n v="1694.85"/>
    <n v="0"/>
    <s v="TBD"/>
    <n v="0"/>
    <n v="9620047081"/>
  </r>
  <r>
    <x v="140"/>
    <s v="Weldon Service _9620047081_RECON.xlsx"/>
    <n v="138042"/>
    <d v="2021-04-30T00:00:00"/>
    <n v="2376.81"/>
    <n v="0"/>
    <s v="TBD"/>
    <n v="0"/>
    <n v="9620047081"/>
  </r>
  <r>
    <x v="140"/>
    <s v="Weldon Service _9620047081_RECON.xlsx"/>
    <n v="137686"/>
    <d v="2021-05-06T00:00:00"/>
    <n v="189"/>
    <n v="0"/>
    <s v="TBD"/>
    <n v="0"/>
    <n v="9620047081"/>
  </r>
  <r>
    <x v="140"/>
    <s v="Weldon Service _9620047081_RECON.xlsx"/>
    <n v="137690"/>
    <d v="2021-05-06T00:00:00"/>
    <n v="189"/>
    <n v="0"/>
    <s v="TBD"/>
    <n v="0"/>
    <n v="9620047081"/>
  </r>
  <r>
    <x v="140"/>
    <s v="Weldon Service _9620047081_RECON.xlsx"/>
    <n v="137893"/>
    <d v="2021-05-06T00:00:00"/>
    <n v="189"/>
    <n v="0"/>
    <s v="TBD"/>
    <n v="0"/>
    <n v="9620047081"/>
  </r>
  <r>
    <x v="140"/>
    <s v="Weldon Service _9620047081_RECON.xlsx"/>
    <n v="137892"/>
    <d v="2021-05-06T00:00:00"/>
    <n v="189"/>
    <n v="0"/>
    <s v="TBD"/>
    <n v="0"/>
    <n v="9620047081"/>
  </r>
  <r>
    <x v="140"/>
    <s v="Weldon Service _9620047081_RECON.xlsx"/>
    <n v="137688"/>
    <d v="2021-05-06T00:00:00"/>
    <n v="189"/>
    <n v="0"/>
    <s v="TBD"/>
    <n v="0"/>
    <n v="9620047081"/>
  </r>
  <r>
    <x v="140"/>
    <s v="Weldon Service _9620047081_RECON.xlsx"/>
    <n v="137894"/>
    <d v="2021-05-06T00:00:00"/>
    <n v="189"/>
    <n v="0"/>
    <s v="TBD"/>
    <n v="0"/>
    <n v="9620047081"/>
  </r>
  <r>
    <x v="140"/>
    <s v="Weldon Service _9620047081_RECON.xlsx"/>
    <n v="137896"/>
    <d v="2021-05-06T00:00:00"/>
    <n v="189"/>
    <n v="0"/>
    <s v="TBD"/>
    <n v="0"/>
    <n v="9620047081"/>
  </r>
  <r>
    <x v="140"/>
    <s v="Weldon Service _9620047081_RECON.xlsx"/>
    <n v="137696"/>
    <d v="2021-05-06T00:00:00"/>
    <n v="189"/>
    <n v="0"/>
    <s v="TBD"/>
    <n v="0"/>
    <n v="9620047081"/>
  </r>
  <r>
    <x v="140"/>
    <s v="Weldon Service _9620047081_RECON.xlsx"/>
    <n v="137895"/>
    <d v="2021-05-06T00:00:00"/>
    <n v="189"/>
    <n v="0"/>
    <s v="TBD"/>
    <n v="0"/>
    <n v="9620047081"/>
  </r>
  <r>
    <x v="140"/>
    <s v="Weldon Service _9620047081_RECON.xlsx"/>
    <n v="137875"/>
    <d v="2021-05-06T00:00:00"/>
    <n v="189"/>
    <n v="0"/>
    <s v="TBD"/>
    <n v="0"/>
    <n v="9620047081"/>
  </r>
  <r>
    <x v="140"/>
    <s v="Weldon Service _9620047081_RECON.xlsx"/>
    <n v="137876"/>
    <d v="2021-05-06T00:00:00"/>
    <n v="189"/>
    <n v="0"/>
    <s v="TBD"/>
    <n v="0"/>
    <n v="9620047081"/>
  </r>
  <r>
    <x v="140"/>
    <s v="Weldon Service _9620047081_RECON.xlsx"/>
    <n v="137695"/>
    <d v="2021-05-06T00:00:00"/>
    <n v="189"/>
    <n v="0"/>
    <s v="TBD"/>
    <n v="0"/>
    <n v="9620047081"/>
  </r>
  <r>
    <x v="140"/>
    <s v="Weldon Service _9620047081_RECON.xlsx"/>
    <n v="137882"/>
    <d v="2021-05-10T00:00:00"/>
    <n v="189"/>
    <n v="0"/>
    <s v="TBD"/>
    <n v="0"/>
    <n v="9620047081"/>
  </r>
  <r>
    <x v="140"/>
    <s v="Weldon Service _9620047081_RECON.xlsx"/>
    <n v="137900"/>
    <d v="2021-05-10T00:00:00"/>
    <n v="189"/>
    <n v="0"/>
    <s v="TBD"/>
    <n v="0"/>
    <n v="9620047081"/>
  </r>
  <r>
    <x v="140"/>
    <s v="Weldon Service _9620047081_RECON.xlsx"/>
    <n v="137888"/>
    <d v="2021-05-10T00:00:00"/>
    <n v="189"/>
    <n v="0"/>
    <s v="TBD"/>
    <n v="0"/>
    <n v="9620047081"/>
  </r>
  <r>
    <x v="140"/>
    <s v="Weldon Service _9620047081_RECON.xlsx"/>
    <n v="137902"/>
    <d v="2021-05-10T00:00:00"/>
    <n v="189"/>
    <n v="0"/>
    <s v="TBD"/>
    <n v="0"/>
    <n v="9620047081"/>
  </r>
  <r>
    <x v="140"/>
    <s v="Weldon Service _9620047081_RECON.xlsx"/>
    <n v="137904"/>
    <d v="2021-05-10T00:00:00"/>
    <n v="189"/>
    <n v="0"/>
    <s v="TBD"/>
    <n v="0"/>
    <n v="9620047081"/>
  </r>
  <r>
    <x v="140"/>
    <s v="Weldon Service _9620047081_RECON.xlsx"/>
    <n v="137703"/>
    <d v="2021-05-10T00:00:00"/>
    <n v="189"/>
    <n v="0"/>
    <s v="TBD"/>
    <n v="0"/>
    <n v="9620047081"/>
  </r>
  <r>
    <x v="140"/>
    <s v="Weldon Service _9620047081_RECON.xlsx"/>
    <n v="137898"/>
    <d v="2021-05-10T00:00:00"/>
    <n v="189"/>
    <n v="0"/>
    <s v="TBD"/>
    <n v="0"/>
    <n v="9620047081"/>
  </r>
  <r>
    <x v="140"/>
    <s v="Weldon Service _9620047081_RECON.xlsx"/>
    <n v="137691"/>
    <d v="2021-05-10T00:00:00"/>
    <n v="189"/>
    <n v="0"/>
    <s v="TBD"/>
    <n v="0"/>
    <n v="9620047081"/>
  </r>
  <r>
    <x v="140"/>
    <s v="Weldon Service _9620047081_RECON.xlsx"/>
    <n v="137874"/>
    <d v="2021-05-10T00:00:00"/>
    <n v="189"/>
    <n v="0"/>
    <s v="TBD"/>
    <n v="0"/>
    <n v="9620047081"/>
  </r>
  <r>
    <x v="140"/>
    <s v="Weldon Service _9620047081_RECON.xlsx"/>
    <n v="137877"/>
    <d v="2021-05-10T00:00:00"/>
    <n v="189"/>
    <n v="0"/>
    <s v="TBD"/>
    <n v="0"/>
    <n v="9620047081"/>
  </r>
  <r>
    <x v="140"/>
    <s v="Weldon Service _9620047081_RECON.xlsx"/>
    <n v="137880"/>
    <d v="2021-05-10T00:00:00"/>
    <n v="189"/>
    <n v="0"/>
    <s v="TBD"/>
    <n v="0"/>
    <n v="9620047081"/>
  </r>
  <r>
    <x v="140"/>
    <s v="Weldon Service _9620047081_RECON.xlsx"/>
    <n v="137693"/>
    <d v="2021-05-12T00:00:00"/>
    <n v="189"/>
    <n v="0"/>
    <s v="TBD"/>
    <n v="0"/>
    <n v="9620047081"/>
  </r>
  <r>
    <x v="140"/>
    <s v="Weldon Service _9620047081_RECON.xlsx"/>
    <n v="137897"/>
    <d v="2021-05-12T00:00:00"/>
    <n v="189"/>
    <n v="0"/>
    <s v="TBD"/>
    <n v="0"/>
    <n v="9620047081"/>
  </r>
  <r>
    <x v="140"/>
    <s v="Weldon Service _9620047081_RECON.xlsx"/>
    <n v="137891"/>
    <d v="2021-05-12T00:00:00"/>
    <n v="189"/>
    <n v="0"/>
    <s v="TBD"/>
    <n v="0"/>
    <n v="9620047081"/>
  </r>
  <r>
    <x v="140"/>
    <s v="Weldon Service _9620047081_RECON.xlsx"/>
    <n v="137906"/>
    <d v="2021-05-12T00:00:00"/>
    <n v="190.31"/>
    <n v="0"/>
    <s v="TBD"/>
    <n v="0"/>
    <n v="9620047081"/>
  </r>
  <r>
    <x v="140"/>
    <s v="Weldon Service _9620047081_RECON.xlsx"/>
    <n v="137887"/>
    <d v="2021-05-12T00:00:00"/>
    <n v="190.31"/>
    <n v="0"/>
    <s v="TBD"/>
    <n v="0"/>
    <n v="9620047081"/>
  </r>
  <r>
    <x v="140"/>
    <s v="Weldon Service _9620047081_RECON.xlsx"/>
    <n v="137889"/>
    <d v="2021-05-12T00:00:00"/>
    <n v="190.31"/>
    <n v="0"/>
    <s v="TBD"/>
    <n v="0"/>
    <n v="9620047081"/>
  </r>
  <r>
    <x v="140"/>
    <s v="Weldon Service _9620047081_RECON.xlsx"/>
    <n v="137905"/>
    <d v="2021-05-13T00:00:00"/>
    <n v="189"/>
    <n v="0"/>
    <s v="TBD"/>
    <n v="0"/>
    <n v="9620047081"/>
  </r>
  <r>
    <x v="140"/>
    <s v="Weldon Service _9620047081_RECON.xlsx"/>
    <n v="137685"/>
    <d v="2021-05-13T00:00:00"/>
    <n v="189"/>
    <n v="0"/>
    <s v="TBD"/>
    <n v="0"/>
    <n v="9620047081"/>
  </r>
  <r>
    <x v="140"/>
    <s v="Weldon Service _9620047081_RECON.xlsx"/>
    <n v="137698"/>
    <d v="2021-05-13T00:00:00"/>
    <n v="189"/>
    <n v="0"/>
    <s v="TBD"/>
    <n v="0"/>
    <n v="9620047081"/>
  </r>
  <r>
    <x v="140"/>
    <s v="Weldon Service _9620047081_RECON.xlsx"/>
    <n v="137684"/>
    <d v="2021-05-13T00:00:00"/>
    <n v="189"/>
    <n v="0"/>
    <s v="TBD"/>
    <n v="0"/>
    <n v="9620047081"/>
  </r>
  <r>
    <x v="140"/>
    <s v="Weldon Service _9620047081_RECON.xlsx"/>
    <n v="137901"/>
    <d v="2021-05-13T00:00:00"/>
    <n v="189"/>
    <n v="0"/>
    <s v="TBD"/>
    <n v="0"/>
    <n v="9620047081"/>
  </r>
  <r>
    <x v="140"/>
    <s v="Weldon Service _9620047081_RECON.xlsx"/>
    <n v="137701"/>
    <d v="2021-05-13T00:00:00"/>
    <n v="189"/>
    <n v="0"/>
    <s v="TBD"/>
    <n v="0"/>
    <n v="9620047081"/>
  </r>
  <r>
    <x v="141"/>
    <s v="Whitehead Food Equipment_9620000714_RECON.xlsx"/>
    <n v="119874"/>
    <d v="2021-03-31T00:00:00"/>
    <n v="653.26"/>
    <n v="357746"/>
    <s v="TBD"/>
    <s v="Need Work Order"/>
    <n v="9620000714"/>
  </r>
  <r>
    <x v="141"/>
    <s v="Whitehead Food Equipment_9620000714_RECON.xlsx"/>
    <n v="119463"/>
    <d v="2021-01-18T00:00:00"/>
    <n v="650"/>
    <n v="319717"/>
    <s v="TBD"/>
    <s v="in file"/>
    <n v="9620000714"/>
  </r>
  <r>
    <x v="141"/>
    <s v="Whitehead Food Equipment_9620000714_RECON.xlsx"/>
    <n v="119462"/>
    <d v="2021-01-18T00:00:00"/>
    <n v="650"/>
    <n v="319712"/>
    <s v="TBD"/>
    <s v="Need Work Order"/>
    <n v="9620000714"/>
  </r>
  <r>
    <x v="141"/>
    <s v="Whitehead Food Equipment_9620000714_RECON.xlsx"/>
    <n v="119460"/>
    <d v="2021-01-18T00:00:00"/>
    <n v="650"/>
    <n v="319713"/>
    <s v="TBD"/>
    <s v="Need Work Order"/>
    <n v="9620000714"/>
  </r>
  <r>
    <x v="141"/>
    <s v="Whitehead Food Equipment_9620000714_RECON.xlsx"/>
    <n v="119446"/>
    <d v="2021-01-15T00:00:00"/>
    <n v="350"/>
    <n v="319696"/>
    <s v="TBD"/>
    <s v="Need Work Order"/>
    <n v="9620000714"/>
  </r>
  <r>
    <x v="141"/>
    <s v="Whitehead Food Equipment_9620000714_RECON.xlsx"/>
    <n v="119410"/>
    <d v="2021-01-13T00:00:00"/>
    <n v="585"/>
    <n v="319704"/>
    <s v="TBD"/>
    <s v="in file"/>
    <n v="9620000714"/>
  </r>
  <r>
    <x v="141"/>
    <s v="Whitehead Food Equipment_9620000714_RECON.xlsx"/>
    <n v="119391"/>
    <d v="2021-01-11T00:00:00"/>
    <n v="411.56"/>
    <n v="326998"/>
    <s v="TBD"/>
    <s v="in file"/>
    <n v="9620000714"/>
  </r>
  <r>
    <x v="141"/>
    <s v="Whitehead Food Equipment_9620000714_RECON.xlsx"/>
    <n v="119392"/>
    <d v="2021-01-11T00:00:00"/>
    <n v="225"/>
    <n v="321209"/>
    <s v="TBD"/>
    <s v="in file"/>
    <n v="9620000714"/>
  </r>
  <r>
    <x v="141"/>
    <s v="Whitehead Food Equipment_9620000714_RECON.xlsx"/>
    <n v="119395"/>
    <d v="2021-01-11T00:00:00"/>
    <n v="175"/>
    <n v="319722"/>
    <s v="TBD"/>
    <s v="in file"/>
    <n v="9620000714"/>
  </r>
  <r>
    <x v="141"/>
    <s v="Whitehead Food Equipment_9620000714_RECON.xlsx"/>
    <n v="119396"/>
    <d v="2021-01-11T00:00:00"/>
    <n v="175"/>
    <n v="319706"/>
    <s v="TBD"/>
    <s v="in file"/>
    <n v="9620000714"/>
  </r>
  <r>
    <x v="141"/>
    <s v="Whitehead Food Equipment_9620000714_RECON.xlsx"/>
    <n v="119297"/>
    <d v="2020-12-18T00:00:00"/>
    <n v="135"/>
    <n v="351185"/>
    <s v="TBD"/>
    <s v="in file"/>
    <n v="9620000714"/>
  </r>
  <r>
    <x v="142"/>
    <s v="Wichman Company_9620000897, 9620000896, 9620000716_RECON.xlsx"/>
    <n v="72825"/>
    <d v="2021-06-08T00:00:00"/>
    <n v="357.65"/>
    <s v="966423521-5"/>
    <s v="Service Call"/>
    <n v="0"/>
    <n v="9620000897"/>
  </r>
  <r>
    <x v="142"/>
    <s v="Wichman Company_9620000897, 9620000896, 9620000716_RECON.xlsx"/>
    <n v="72823"/>
    <d v="2021-06-08T00:00:00"/>
    <n v="324.73"/>
    <s v="966423031-5"/>
    <s v="TBD"/>
    <n v="0"/>
    <n v="9620000897"/>
  </r>
  <r>
    <x v="142"/>
    <s v="Wichman Company_9620000897, 9620000896, 9620000716_RECON.xlsx"/>
    <n v="72671"/>
    <d v="2021-06-02T00:00:00"/>
    <n v="183.38"/>
    <s v="966420050-5"/>
    <s v="Service Call"/>
    <n v="0"/>
    <n v="9620000897"/>
  </r>
  <r>
    <x v="142"/>
    <s v="Wichman Company_9620000897, 9620000896, 9620000716_RECON.xlsx"/>
    <n v="72824"/>
    <d v="2021-06-08T00:00:00"/>
    <n v="326.83999999999997"/>
    <s v="966422562-5"/>
    <s v="TBD"/>
    <n v="0"/>
    <n v="9620000897"/>
  </r>
  <r>
    <x v="142"/>
    <s v="Wichman Company_9620000897, 9620000896, 9620000716_RECON.xlsx"/>
    <n v="72821"/>
    <d v="2021-06-08T00:00:00"/>
    <n v="577.24"/>
    <s v="966422907-5"/>
    <s v="TBD"/>
    <n v="0"/>
    <n v="9620000897"/>
  </r>
  <r>
    <x v="142"/>
    <s v="Wichman Company_9620000897, 9620000896, 9620000716_RECON.xlsx"/>
    <n v="70268"/>
    <d v="2021-01-25T00:00:00"/>
    <n v="746.14"/>
    <s v="M15028"/>
    <s v="Install"/>
    <n v="0"/>
    <n v="9620000897"/>
  </r>
  <r>
    <x v="142"/>
    <s v="Wichman Company_9620000897, 9620000896, 9620000716_RECON.xlsx"/>
    <n v="72546"/>
    <d v="2021-05-25T00:00:00"/>
    <n v="580.44000000000005"/>
    <n v="4500517214"/>
    <s v="Install"/>
    <n v="0"/>
    <n v="9620000897"/>
  </r>
  <r>
    <x v="142"/>
    <s v="Wichman Company_9620000897, 9620000896, 9620000716_RECON.xlsx"/>
    <n v="72391"/>
    <d v="2021-05-18T00:00:00"/>
    <n v="300.43"/>
    <n v="222039"/>
    <s v="PM"/>
    <n v="0"/>
    <n v="9620000897"/>
  </r>
  <r>
    <x v="142"/>
    <s v="Wichman Company_9620000897, 9620000896, 9620000716_RECON.xlsx"/>
    <n v="72392"/>
    <d v="2021-05-18T00:00:00"/>
    <n v="390.39"/>
    <n v="223152"/>
    <s v="PM"/>
    <n v="0"/>
    <n v="9620000897"/>
  </r>
  <r>
    <x v="142"/>
    <s v="Wichman Company_9620000897, 9620000896, 9620000716_RECON.xlsx"/>
    <n v="70933"/>
    <d v="2021-03-02T00:00:00"/>
    <n v="524"/>
    <n v="184817"/>
    <s v="PM"/>
    <n v="0"/>
    <n v="9620000897"/>
  </r>
  <r>
    <x v="142"/>
    <s v="Wichman Company_9620000897, 9620000896, 9620000716_RECON.xlsx"/>
    <n v="72822"/>
    <d v="2021-06-08T00:00:00"/>
    <n v="500.71"/>
    <n v="13115663"/>
    <s v="Service Call"/>
    <n v="0"/>
    <n v="9620000897"/>
  </r>
  <r>
    <x v="142"/>
    <s v="Wichman Company_9620000897, 9620000896, 9620000716_RECON.xlsx"/>
    <n v="71168"/>
    <d v="2021-03-15T00:00:00"/>
    <n v="261"/>
    <n v="310424"/>
    <s v="PM"/>
    <n v="0"/>
    <n v="9620000897"/>
  </r>
  <r>
    <x v="142"/>
    <s v="Wichman Company_9620000897, 9620000896, 9620000716_RECON.xlsx"/>
    <n v="70267"/>
    <d v="2021-01-25T00:00:00"/>
    <n v="470.61"/>
    <n v="4520207895"/>
    <s v="Install"/>
    <n v="0"/>
    <n v="9620000897"/>
  </r>
  <r>
    <x v="142"/>
    <s v="Wichman Company_9620000897, 9620000896, 9620000716_RECON.xlsx"/>
    <n v="71948"/>
    <d v="2021-04-28T00:00:00"/>
    <n v="359.3"/>
    <n v="224392"/>
    <s v="Service Call"/>
    <n v="0"/>
    <n v="9620000897"/>
  </r>
  <r>
    <x v="143"/>
    <s v="Woodward Coffee_9620000723_RECON.xlsx"/>
    <n v="120631"/>
    <d v="2020-10-08T00:00:00"/>
    <n v="250.68"/>
    <n v="313080"/>
    <s v="TBD"/>
    <n v="0"/>
    <n v="9620000723"/>
  </r>
  <r>
    <x v="143"/>
    <s v="Woodward Coffee_9620000723_RECON.xlsx"/>
    <n v="16223"/>
    <d v="2020-10-10T00:00:00"/>
    <n v="188.01"/>
    <n v="0"/>
    <s v="TBD"/>
    <n v="0"/>
    <n v="9620000723"/>
  </r>
  <r>
    <x v="143"/>
    <s v="Woodward Coffee_9620000723_RECON.xlsx"/>
    <n v="120645"/>
    <d v="2020-10-16T00:00:00"/>
    <n v="501.36"/>
    <n v="314219"/>
    <s v="TBD"/>
    <n v="0"/>
    <n v="9620000723"/>
  </r>
  <r>
    <x v="143"/>
    <s v="Woodward Coffee_9620000723_RECON.xlsx"/>
    <n v="120647"/>
    <d v="2020-10-18T00:00:00"/>
    <n v="188.01"/>
    <n v="314374"/>
    <s v="TBD"/>
    <n v="0"/>
    <n v="9620000723"/>
  </r>
  <r>
    <x v="143"/>
    <s v="Woodward Coffee_9620000723_RECON.xlsx"/>
    <n v="120685"/>
    <d v="2020-10-30T00:00:00"/>
    <n v="376.02"/>
    <n v="316482"/>
    <s v="TBD"/>
    <n v="0"/>
    <n v="9620000723"/>
  </r>
  <r>
    <x v="143"/>
    <s v="Woodward Coffee_9620000723_RECON.xlsx"/>
    <n v="16224"/>
    <d v="2021-01-05T00:00:00"/>
    <n v="125.34"/>
    <n v="0"/>
    <s v="TBD"/>
    <n v="0"/>
    <n v="9620000723"/>
  </r>
  <r>
    <x v="143"/>
    <s v="Woodward Coffee_9620000723_RECON.xlsx"/>
    <n v="16268"/>
    <d v="2021-01-12T00:00:00"/>
    <n v="376.02"/>
    <n v="0"/>
    <s v="TBD"/>
    <n v="0"/>
    <n v="9620000723"/>
  </r>
  <r>
    <x v="143"/>
    <s v="Woodward Coffee_9620000723_RECON.xlsx"/>
    <n v="16285"/>
    <d v="2021-01-14T00:00:00"/>
    <n v="173.84"/>
    <n v="0"/>
    <s v="TBD"/>
    <n v="0"/>
    <n v="9620000723"/>
  </r>
  <r>
    <x v="143"/>
    <s v="Woodward Coffee_9620000723_RECON.xlsx"/>
    <n v="16286"/>
    <d v="2021-01-23T00:00:00"/>
    <n v="182.79"/>
    <n v="0"/>
    <s v="TBD"/>
    <n v="0"/>
    <n v="9620000723"/>
  </r>
  <r>
    <x v="143"/>
    <s v="Woodward Coffee_9620000723_RECON.xlsx"/>
    <n v="16398"/>
    <d v="2021-02-12T00:00:00"/>
    <n v="83.56"/>
    <n v="0"/>
    <s v="TBD"/>
    <n v="0"/>
    <n v="9620000723"/>
  </r>
  <r>
    <x v="143"/>
    <s v="Woodward Coffee_9620000723_RECON.xlsx"/>
    <n v="16384"/>
    <d v="2021-02-23T00:00:00"/>
    <n v="182.79"/>
    <n v="0"/>
    <s v="TBD"/>
    <n v="0"/>
    <n v="9620000723"/>
  </r>
  <r>
    <x v="143"/>
    <s v="Woodward Coffee_9620000723_RECON.xlsx"/>
    <n v="125089"/>
    <d v="2021-04-23T00:00:00"/>
    <n v="182.79"/>
    <n v="0"/>
    <s v="TBD"/>
    <n v="0"/>
    <n v="9620000723"/>
  </r>
  <r>
    <x v="143"/>
    <s v="Woodward Coffee_9620000723_RECON.xlsx"/>
    <n v="125090"/>
    <d v="2021-04-23T00:00:00"/>
    <n v="182.79"/>
    <n v="0"/>
    <s v="TBD"/>
    <n v="0"/>
    <n v="9620000723"/>
  </r>
  <r>
    <x v="143"/>
    <s v="Woodward Coffee_9620000723_RECON.xlsx"/>
    <n v="125091"/>
    <d v="2021-04-23T00:00:00"/>
    <n v="182.79"/>
    <n v="0"/>
    <s v="TBD"/>
    <n v="0"/>
    <n v="9620000723"/>
  </r>
  <r>
    <x v="143"/>
    <s v="Woodward Coffee_9620000723_RECON.xlsx"/>
    <n v="125122"/>
    <d v="2021-04-30T00:00:00"/>
    <n v="125.34"/>
    <n v="0"/>
    <s v="TBD"/>
    <n v="0"/>
    <n v="9620000723"/>
  </r>
  <r>
    <x v="143"/>
    <s v="Woodward Coffee_9620000723_RECON.xlsx"/>
    <n v="125124"/>
    <d v="2021-04-30T00:00:00"/>
    <n v="266.35000000000002"/>
    <n v="0"/>
    <s v="TBD"/>
    <n v="0"/>
    <n v="9620000723"/>
  </r>
  <r>
    <x v="143"/>
    <s v="Woodward Coffee_9620000723_RECON.xlsx"/>
    <n v="125125"/>
    <d v="2021-04-30T00:00:00"/>
    <n v="182.79"/>
    <n v="0"/>
    <s v="TBD"/>
    <n v="0"/>
    <n v="9620000723"/>
  </r>
  <r>
    <x v="143"/>
    <s v="Woodward Coffee_9620000723_RECON.xlsx"/>
    <n v="125126"/>
    <d v="2021-04-30T00:00:00"/>
    <n v="182.79"/>
    <n v="0"/>
    <s v="TBD"/>
    <n v="0"/>
    <n v="9620000723"/>
  </r>
  <r>
    <x v="143"/>
    <s v="Woodward Coffee_9620000723_RECON.xlsx"/>
    <n v="125181"/>
    <d v="2021-05-19T00:00:00"/>
    <n v="292.45999999999998"/>
    <n v="0"/>
    <s v="TBD"/>
    <n v="0"/>
    <n v="9620000723"/>
  </r>
  <r>
    <x v="143"/>
    <s v="Woodward Coffee_9620000723_RECON.xlsx"/>
    <n v="125182"/>
    <d v="2021-05-19T00:00:00"/>
    <n v="125.34"/>
    <n v="0"/>
    <s v="TBD"/>
    <n v="0"/>
    <n v="9620000723"/>
  </r>
  <r>
    <x v="143"/>
    <s v="Woodward Coffee_9620000723_RECON.xlsx"/>
    <n v="125224"/>
    <d v="2021-05-26T00:00:00"/>
    <n v="417.8"/>
    <n v="0"/>
    <s v="TBD"/>
    <n v="0"/>
    <n v="9620000723"/>
  </r>
  <r>
    <x v="143"/>
    <s v="Woodward Coffee_9620000723_RECON.xlsx"/>
    <n v="125240"/>
    <d v="2021-06-01T00:00:00"/>
    <n v="138.22999999999999"/>
    <n v="0"/>
    <s v="TBD"/>
    <n v="0"/>
    <n v="9620000723"/>
  </r>
  <r>
    <x v="143"/>
    <s v="Woodward Coffee_9620000723_RECON.xlsx"/>
    <n v="16355"/>
    <d v="2021-06-01T00:00:00"/>
    <n v="668.48"/>
    <n v="0"/>
    <s v="TBD"/>
    <n v="0"/>
    <n v="9620000723"/>
  </r>
  <r>
    <x v="143"/>
    <s v="Woodward Coffee_9620000723_RECON.xlsx"/>
    <n v="16359"/>
    <d v="2021-06-07T00:00:00"/>
    <n v="180.01"/>
    <n v="0"/>
    <s v="TBD"/>
    <n v="0"/>
    <n v="9620000723"/>
  </r>
  <r>
    <x v="144"/>
    <s v="Perfect Brew_9620000869_Recon.xlsx"/>
    <s v="3638A"/>
    <d v="2020-06-26T00:00:00"/>
    <n v="658.41"/>
    <m/>
    <s v="TBD"/>
    <m/>
    <n v="9620000869"/>
  </r>
  <r>
    <x v="144"/>
    <s v="Perfect Brew_9620000869_Recon.xlsx"/>
    <s v="3784A"/>
    <d v="2020-09-22T00:00:00"/>
    <n v="1539.32"/>
    <m/>
    <s v="TBD"/>
    <m/>
    <n v="9620000869"/>
  </r>
  <r>
    <x v="144"/>
    <s v="Perfect Brew_9620000869_Recon.xlsx"/>
    <s v="3850A"/>
    <d v="2020-10-15T00:00:00"/>
    <n v="212"/>
    <m/>
    <s v="TBD"/>
    <m/>
    <n v="9620000869"/>
  </r>
  <r>
    <x v="144"/>
    <s v="Perfect Brew_9620000869_Recon.xlsx"/>
    <s v="3891A"/>
    <d v="2020-10-27T00:00:00"/>
    <n v="525"/>
    <m/>
    <s v="TBD"/>
    <m/>
    <n v="9620000869"/>
  </r>
  <r>
    <x v="144"/>
    <s v="Perfect Brew_9620000869_Recon.xlsx"/>
    <s v="3902A"/>
    <d v="2020-10-29T00:00:00"/>
    <n v="453.38"/>
    <m/>
    <s v="TBD"/>
    <m/>
    <n v="9620000869"/>
  </r>
  <r>
    <x v="144"/>
    <s v="Perfect Brew_9620000869_Recon.xlsx"/>
    <s v="3994A"/>
    <d v="2020-11-23T00:00:00"/>
    <n v="1145.3"/>
    <m/>
    <s v="TBD"/>
    <m/>
    <n v="9620000869"/>
  </r>
  <r>
    <x v="144"/>
    <s v="Perfect Brew_9620000869_Recon.xlsx"/>
    <s v="4020A"/>
    <d v="2020-11-30T00:00:00"/>
    <n v="322.58"/>
    <m/>
    <s v="Service Call"/>
    <s v="Invoice Requires Further Research"/>
    <n v="9620000869"/>
  </r>
  <r>
    <x v="144"/>
    <s v="Perfect Brew_9620000869_Recon.xlsx"/>
    <s v="4027A"/>
    <d v="2020-12-01T00:00:00"/>
    <n v="396"/>
    <m/>
    <s v="PM"/>
    <s v="case already used - emailed Heather "/>
    <n v="9620000869"/>
  </r>
  <r>
    <x v="144"/>
    <s v="Perfect Brew_9620000869_Recon.xlsx"/>
    <s v="4051A"/>
    <d v="2020-12-07T00:00:00"/>
    <n v="617.86"/>
    <m/>
    <s v="TBD"/>
    <m/>
    <n v="9620000869"/>
  </r>
  <r>
    <x v="144"/>
    <s v="Perfect Brew_9620000869_Recon.xlsx"/>
    <s v="4104A"/>
    <d v="2020-12-21T00:00:00"/>
    <n v="304.33"/>
    <m/>
    <s v="TBD"/>
    <m/>
    <n v="9620000869"/>
  </r>
  <r>
    <x v="144"/>
    <s v="Perfect Brew_9620000869_Recon.xlsx"/>
    <s v="4190A"/>
    <d v="2021-01-28T00:00:00"/>
    <n v="915.18"/>
    <m/>
    <s v="TBD"/>
    <m/>
    <n v="9620000869"/>
  </r>
  <r>
    <x v="144"/>
    <s v="Perfect Brew_9620000869_Recon.xlsx"/>
    <s v="4222A"/>
    <d v="2021-02-08T00:00:00"/>
    <n v="238.5"/>
    <m/>
    <s v="TBD"/>
    <m/>
    <n v="9620000869"/>
  </r>
  <r>
    <x v="144"/>
    <s v="Perfect Brew_9620000869_Recon.xlsx"/>
    <s v="4224A"/>
    <d v="2021-02-08T00:00:00"/>
    <n v="992.08"/>
    <m/>
    <s v="TBD"/>
    <m/>
    <n v="9620000869"/>
  </r>
  <r>
    <x v="144"/>
    <s v="Perfect Brew_9620000869_Recon.xlsx"/>
    <s v="4229A"/>
    <d v="2021-02-10T00:00:00"/>
    <n v="275"/>
    <m/>
    <s v="TBD"/>
    <m/>
    <n v="9620000869"/>
  </r>
  <r>
    <x v="144"/>
    <s v="Perfect Brew_9620000869_Recon.xlsx"/>
    <s v="4288A"/>
    <d v="2021-02-10T00:00:00"/>
    <n v="275"/>
    <m/>
    <s v="TBD"/>
    <m/>
    <n v="9620000869"/>
  </r>
  <r>
    <x v="144"/>
    <s v="Perfect Brew_9620000869_Recon.xlsx"/>
    <s v="4230A"/>
    <d v="2021-02-11T00:00:00"/>
    <n v="1023.42"/>
    <m/>
    <s v="TBD"/>
    <m/>
    <n v="9620000869"/>
  </r>
  <r>
    <x v="144"/>
    <s v="Perfect Brew_9620000869_Recon.xlsx"/>
    <s v="4239A"/>
    <d v="2021-02-12T00:00:00"/>
    <n v="275"/>
    <m/>
    <s v="TBD"/>
    <m/>
    <n v="9620000869"/>
  </r>
  <r>
    <x v="144"/>
    <s v="Perfect Brew_9620000869_Recon.xlsx"/>
    <s v="4251A"/>
    <d v="2021-02-12T00:00:00"/>
    <n v="291.5"/>
    <m/>
    <s v="TBD"/>
    <m/>
    <n v="9620000869"/>
  </r>
  <r>
    <x v="144"/>
    <s v="Perfect Brew_9620000869_Recon.xlsx"/>
    <s v="4266A"/>
    <d v="2021-02-12T00:00:00"/>
    <n v="521.5"/>
    <m/>
    <s v="TBD"/>
    <m/>
    <n v="9620000869"/>
  </r>
  <r>
    <x v="144"/>
    <s v="Perfect Brew_9620000869_Recon.xlsx"/>
    <s v="4263A"/>
    <d v="2021-02-15T00:00:00"/>
    <n v="291.5"/>
    <m/>
    <s v="TBD"/>
    <m/>
    <n v="9620000869"/>
  </r>
  <r>
    <x v="144"/>
    <s v="Perfect Brew_9620000869_Recon.xlsx"/>
    <s v="4268A"/>
    <d v="2021-02-15T00:00:00"/>
    <n v="205.1"/>
    <m/>
    <s v="TBD"/>
    <m/>
    <n v="9620000869"/>
  </r>
  <r>
    <x v="144"/>
    <s v="Perfect Brew_9620000869_Recon.xlsx"/>
    <s v="4254A"/>
    <d v="2021-02-17T00:00:00"/>
    <n v="275"/>
    <m/>
    <s v="TBD"/>
    <m/>
    <n v="9620000869"/>
  </r>
  <r>
    <x v="144"/>
    <s v="Perfect Brew_9620000869_Recon.xlsx"/>
    <s v="4276A"/>
    <d v="2021-02-17T00:00:00"/>
    <n v="318"/>
    <m/>
    <s v="TBD"/>
    <m/>
    <n v="9620000869"/>
  </r>
  <r>
    <x v="144"/>
    <s v="Perfect Brew_9620000869_Recon.xlsx"/>
    <s v="4277A"/>
    <d v="2021-02-17T00:00:00"/>
    <n v="615.86"/>
    <m/>
    <s v="TBD"/>
    <m/>
    <n v="9620000869"/>
  </r>
  <r>
    <x v="144"/>
    <s v="Perfect Brew_9620000869_Recon.xlsx"/>
    <s v="4261A"/>
    <d v="2021-02-19T00:00:00"/>
    <n v="275"/>
    <m/>
    <s v="TBD"/>
    <m/>
    <n v="9620000869"/>
  </r>
  <r>
    <x v="144"/>
    <s v="Perfect Brew_9620000869_Recon.xlsx"/>
    <s v="4337A"/>
    <d v="2021-03-04T00:00:00"/>
    <n v="238.5"/>
    <m/>
    <s v="TBD"/>
    <m/>
    <n v="9620000869"/>
  </r>
  <r>
    <x v="144"/>
    <s v="Perfect Brew_9620000869_Recon.xlsx"/>
    <s v="4338A"/>
    <d v="2021-03-04T00:00:00"/>
    <n v="606.46"/>
    <m/>
    <s v="TBD"/>
    <m/>
    <n v="9620000869"/>
  </r>
  <r>
    <x v="144"/>
    <s v="Perfect Brew_9620000869_Recon.xlsx"/>
    <s v="4385A"/>
    <d v="2021-05-04T00:00:00"/>
    <n v="1450"/>
    <m/>
    <s v="TBD"/>
    <m/>
    <n v="9620000869"/>
  </r>
  <r>
    <x v="144"/>
    <s v="Perfect Brew_9620000869_Recon.xlsx"/>
    <s v="4377A"/>
    <d v="2021-05-04T00:00:00"/>
    <n v="2507.1"/>
    <m/>
    <s v="TBD"/>
    <m/>
    <n v="9620000869"/>
  </r>
  <r>
    <x v="144"/>
    <s v="Perfect Brew_9620000869_Recon.xlsx"/>
    <s v="4219A"/>
    <d v="2021-05-12T00:00:00"/>
    <n v="737.78"/>
    <m/>
    <s v="TBD"/>
    <m/>
    <n v="9620000869"/>
  </r>
  <r>
    <x v="144"/>
    <s v="Perfect Brew_9620000869_Recon.xlsx"/>
    <s v="4373A"/>
    <d v="2021-05-20T00:00:00"/>
    <n v="150"/>
    <m/>
    <s v="TBD"/>
    <m/>
    <n v="9620000869"/>
  </r>
  <r>
    <x v="144"/>
    <s v="Perfect Brew_9620000869_Recon.xlsx"/>
    <s v="4432A"/>
    <d v="2021-05-24T00:00:00"/>
    <n v="152.71"/>
    <m/>
    <s v="TBD"/>
    <m/>
    <n v="9620000869"/>
  </r>
  <r>
    <x v="144"/>
    <s v="Perfect Brew_9620000869_Recon.xlsx"/>
    <s v="4447A"/>
    <d v="2021-05-24T00:00:00"/>
    <n v="1203.58"/>
    <m/>
    <s v="TBD"/>
    <m/>
    <n v="9620000869"/>
  </r>
  <r>
    <x v="144"/>
    <s v="Perfect Brew_9620000869_Recon.xlsx"/>
    <s v="4541A"/>
    <d v="2021-06-01T00:00:00"/>
    <n v="258.48"/>
    <m/>
    <s v="TBD"/>
    <m/>
    <n v="9620000869"/>
  </r>
  <r>
    <x v="144"/>
    <s v="Perfect Brew_9620000869_Recon.xlsx"/>
    <s v="4411A"/>
    <d v="2021-06-08T00:00:00"/>
    <n v="150"/>
    <m/>
    <s v="TBD"/>
    <m/>
    <n v="9620000869"/>
  </r>
  <r>
    <x v="144"/>
    <s v="Perfect Brew_9620000869_Recon.xlsx"/>
    <s v="4470A"/>
    <d v="2021-06-08T00:00:00"/>
    <n v="238.5"/>
    <m/>
    <s v="TBD"/>
    <m/>
    <n v="9620000869"/>
  </r>
  <r>
    <x v="144"/>
    <s v="Perfect Brew_9620000869_Recon.xlsx"/>
    <s v="4554A"/>
    <d v="2021-06-08T00:00:00"/>
    <n v="267.70999999999998"/>
    <m/>
    <s v="TBD"/>
    <m/>
    <n v="9620000869"/>
  </r>
  <r>
    <x v="144"/>
    <s v="Perfect Brew_9620000869_Recon.xlsx"/>
    <s v="4388A"/>
    <d v="2021-06-08T00:00:00"/>
    <n v="1100"/>
    <m/>
    <s v="TBD"/>
    <m/>
    <n v="9620000869"/>
  </r>
  <r>
    <x v="144"/>
    <s v="Perfect Brew_9620000869_Recon.xlsx"/>
    <s v="4653A"/>
    <d v="2021-06-10T00:00:00"/>
    <n v="212"/>
    <m/>
    <s v="TBD"/>
    <m/>
    <n v="9620000869"/>
  </r>
  <r>
    <x v="144"/>
    <s v="Perfect Brew_9620000869_Recon.xlsx"/>
    <s v="4569A"/>
    <d v="2021-06-10T00:00:00"/>
    <n v="946.76"/>
    <m/>
    <s v="TBD"/>
    <m/>
    <n v="9620000869"/>
  </r>
  <r>
    <x v="144"/>
    <s v="Perfect Brew_9620000869_Recon.xlsx"/>
    <s v="4570A"/>
    <d v="2021-06-10T00:00:00"/>
    <n v="2742.49"/>
    <m/>
    <s v="TBD"/>
    <m/>
    <n v="9620000869"/>
  </r>
  <r>
    <x v="144"/>
    <s v="Perfect Brew_9620000869_Recon.xlsx"/>
    <s v="4706A"/>
    <d v="2021-06-14T00:00:00"/>
    <n v="224.72"/>
    <m/>
    <s v="TBD"/>
    <m/>
    <n v="9620000869"/>
  </r>
  <r>
    <x v="144"/>
    <s v="Perfect Brew_9620000869_Recon.xlsx"/>
    <s v="4720A"/>
    <d v="2021-06-17T00:00:00"/>
    <n v="275"/>
    <m/>
    <s v="TBD"/>
    <m/>
    <n v="9620000869"/>
  </r>
  <r>
    <x v="144"/>
    <s v="Perfect Brew_9620000869_Recon.xlsx"/>
    <s v="4682A"/>
    <d v="2021-06-21T00:00:00"/>
    <n v="761.99"/>
    <m/>
    <s v="TBD"/>
    <m/>
    <n v="9620000869"/>
  </r>
  <r>
    <x v="144"/>
    <s v="Perfect Brew_9620000869_Recon.xlsx"/>
    <s v="4726A"/>
    <d v="2021-06-28T00:00:00"/>
    <n v="79.5"/>
    <m/>
    <s v="TBD"/>
    <m/>
    <n v="9620000869"/>
  </r>
  <r>
    <x v="144"/>
    <s v="Perfect Brew_9620000869_Recon.xlsx"/>
    <s v="4023A"/>
    <d v="2021-06-28T00:00:00"/>
    <n v="106"/>
    <m/>
    <s v="TBD"/>
    <m/>
    <n v="9620000869"/>
  </r>
  <r>
    <x v="144"/>
    <s v="Perfect Brew_9620000869_Recon.xlsx"/>
    <s v="4486A"/>
    <d v="2021-06-28T00:00:00"/>
    <n v="159"/>
    <m/>
    <s v="TBD"/>
    <m/>
    <n v="9620000869"/>
  </r>
  <r>
    <x v="144"/>
    <s v="Perfect Brew_9620000869_Recon.xlsx"/>
    <s v="4548A"/>
    <d v="2021-06-28T00:00:00"/>
    <n v="212.2"/>
    <m/>
    <s v="TBD"/>
    <m/>
    <n v="9620000869"/>
  </r>
  <r>
    <x v="144"/>
    <s v="Perfect Brew_9620000869_Recon.xlsx"/>
    <s v="4308A"/>
    <d v="2021-06-28T00:00:00"/>
    <n v="275"/>
    <m/>
    <s v="TBD"/>
    <m/>
    <n v="9620000869"/>
  </r>
  <r>
    <x v="144"/>
    <s v="Perfect Brew_9620000869_Recon.xlsx"/>
    <s v="4306A"/>
    <d v="2021-06-28T00:00:00"/>
    <n v="291.5"/>
    <m/>
    <s v="TBD"/>
    <m/>
    <n v="9620000869"/>
  </r>
  <r>
    <x v="144"/>
    <s v="Perfect Brew_9620000869_Recon.xlsx"/>
    <s v="4740A"/>
    <d v="2021-06-28T00:00:00"/>
    <n v="302.56"/>
    <m/>
    <s v="TBD"/>
    <m/>
    <n v="9620000869"/>
  </r>
  <r>
    <x v="144"/>
    <s v="Perfect Brew_9620000869_Recon.xlsx"/>
    <s v="4728A"/>
    <d v="2021-06-28T00:00:00"/>
    <n v="302.56"/>
    <m/>
    <s v="TBD"/>
    <m/>
    <n v="9620000869"/>
  </r>
  <r>
    <x v="144"/>
    <s v="Perfect Brew_9620000869_Recon.xlsx"/>
    <s v="4691A"/>
    <d v="2021-06-28T00:00:00"/>
    <n v="372.27"/>
    <m/>
    <s v="TBD"/>
    <m/>
    <n v="9620000869"/>
  </r>
  <r>
    <x v="144"/>
    <s v="Perfect Brew_9620000869_Recon.xlsx"/>
    <s v="4683A"/>
    <d v="2021-06-28T00:00:00"/>
    <n v="418.7"/>
    <m/>
    <s v="TBD"/>
    <m/>
    <n v="9620000869"/>
  </r>
  <r>
    <x v="144"/>
    <s v="Perfect Brew_9620000869_Recon.xlsx"/>
    <s v="4671A"/>
    <d v="2021-06-28T00:00:00"/>
    <n v="455.59"/>
    <m/>
    <s v="TBD"/>
    <m/>
    <n v="9620000869"/>
  </r>
  <r>
    <x v="144"/>
    <s v="Perfect Brew_9620000869_Recon.xlsx"/>
    <s v="4721A"/>
    <d v="2021-06-28T00:00:00"/>
    <n v="667.39"/>
    <m/>
    <s v="TBD"/>
    <m/>
    <n v="9620000869"/>
  </r>
  <r>
    <x v="144"/>
    <s v="Perfect Brew_9620000869_Recon.xlsx"/>
    <s v="4597A"/>
    <d v="2021-06-28T00:00:00"/>
    <n v="901.12"/>
    <m/>
    <s v="TBD"/>
    <m/>
    <n v="9620000869"/>
  </r>
  <r>
    <x v="144"/>
    <s v="Perfect Brew_9620000869_Recon.xlsx"/>
    <s v="4474A"/>
    <d v="2021-06-28T00:00:00"/>
    <n v="1403.57"/>
    <m/>
    <s v="TBD"/>
    <m/>
    <n v="9620000869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e v="#N/A"/>
  </r>
  <r>
    <x v="145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C62B00-0E46-49EF-BB10-6435D676D96A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D148" firstHeaderRow="0" firstDataRow="1" firstDataCol="1"/>
  <pivotFields count="9">
    <pivotField axis="axisRow" dataField="1" showAll="0">
      <items count="178">
        <item x="0"/>
        <item x="1"/>
        <item x="2"/>
        <item x="4"/>
        <item m="1" x="168"/>
        <item x="5"/>
        <item x="6"/>
        <item x="9"/>
        <item x="11"/>
        <item x="12"/>
        <item x="13"/>
        <item x="14"/>
        <item x="15"/>
        <item x="16"/>
        <item m="1" x="157"/>
        <item x="20"/>
        <item m="1" x="146"/>
        <item x="21"/>
        <item x="22"/>
        <item x="23"/>
        <item x="24"/>
        <item x="25"/>
        <item x="26"/>
        <item x="28"/>
        <item x="30"/>
        <item m="1" x="164"/>
        <item x="33"/>
        <item x="34"/>
        <item x="35"/>
        <item x="36"/>
        <item m="1" x="156"/>
        <item x="37"/>
        <item m="1" x="158"/>
        <item x="38"/>
        <item x="39"/>
        <item x="41"/>
        <item x="42"/>
        <item m="1" x="174"/>
        <item x="43"/>
        <item x="46"/>
        <item m="1" x="167"/>
        <item x="52"/>
        <item m="1" x="163"/>
        <item x="54"/>
        <item x="55"/>
        <item x="56"/>
        <item x="57"/>
        <item m="1" x="148"/>
        <item x="58"/>
        <item x="59"/>
        <item m="1" x="159"/>
        <item x="60"/>
        <item x="61"/>
        <item x="62"/>
        <item x="63"/>
        <item x="64"/>
        <item x="65"/>
        <item m="1" x="173"/>
        <item x="66"/>
        <item x="67"/>
        <item m="1" x="166"/>
        <item x="68"/>
        <item x="69"/>
        <item m="1" x="149"/>
        <item x="70"/>
        <item x="72"/>
        <item x="74"/>
        <item x="75"/>
        <item x="76"/>
        <item x="77"/>
        <item m="1" x="160"/>
        <item x="79"/>
        <item m="1" x="175"/>
        <item x="80"/>
        <item x="81"/>
        <item x="83"/>
        <item x="84"/>
        <item x="85"/>
        <item x="86"/>
        <item x="87"/>
        <item x="88"/>
        <item x="89"/>
        <item x="90"/>
        <item x="92"/>
        <item x="93"/>
        <item x="94"/>
        <item x="95"/>
        <item x="96"/>
        <item x="98"/>
        <item x="99"/>
        <item x="101"/>
        <item x="103"/>
        <item m="1" x="147"/>
        <item x="104"/>
        <item m="1" x="170"/>
        <item x="106"/>
        <item x="108"/>
        <item m="1" x="153"/>
        <item x="109"/>
        <item x="110"/>
        <item x="112"/>
        <item m="1" x="165"/>
        <item x="114"/>
        <item x="117"/>
        <item m="1" x="154"/>
        <item x="120"/>
        <item m="1" x="155"/>
        <item x="123"/>
        <item x="125"/>
        <item x="126"/>
        <item m="1" x="169"/>
        <item x="127"/>
        <item m="1" x="171"/>
        <item x="128"/>
        <item x="129"/>
        <item x="132"/>
        <item m="1" x="152"/>
        <item x="135"/>
        <item x="138"/>
        <item x="139"/>
        <item x="140"/>
        <item x="141"/>
        <item x="143"/>
        <item x="145"/>
        <item x="78"/>
        <item x="3"/>
        <item m="1" x="176"/>
        <item x="7"/>
        <item x="10"/>
        <item x="18"/>
        <item x="19"/>
        <item m="1" x="161"/>
        <item x="29"/>
        <item x="32"/>
        <item x="48"/>
        <item x="49"/>
        <item x="50"/>
        <item m="1" x="150"/>
        <item x="82"/>
        <item x="97"/>
        <item m="1" x="151"/>
        <item m="1" x="172"/>
        <item x="121"/>
        <item x="134"/>
        <item m="1" x="162"/>
        <item x="8"/>
        <item x="17"/>
        <item x="27"/>
        <item x="31"/>
        <item x="40"/>
        <item x="44"/>
        <item x="45"/>
        <item x="47"/>
        <item x="51"/>
        <item x="53"/>
        <item x="71"/>
        <item x="73"/>
        <item x="91"/>
        <item x="100"/>
        <item x="102"/>
        <item x="105"/>
        <item x="107"/>
        <item x="111"/>
        <item x="113"/>
        <item x="115"/>
        <item x="116"/>
        <item x="118"/>
        <item x="119"/>
        <item x="122"/>
        <item x="124"/>
        <item x="130"/>
        <item x="131"/>
        <item x="133"/>
        <item x="136"/>
        <item x="137"/>
        <item x="142"/>
        <item x="14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47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6"/>
    </i>
    <i>
      <x v="27"/>
    </i>
    <i>
      <x v="28"/>
    </i>
    <i>
      <x v="29"/>
    </i>
    <i>
      <x v="31"/>
    </i>
    <i>
      <x v="33"/>
    </i>
    <i>
      <x v="34"/>
    </i>
    <i>
      <x v="35"/>
    </i>
    <i>
      <x v="36"/>
    </i>
    <i>
      <x v="38"/>
    </i>
    <i>
      <x v="39"/>
    </i>
    <i>
      <x v="41"/>
    </i>
    <i>
      <x v="43"/>
    </i>
    <i>
      <x v="44"/>
    </i>
    <i>
      <x v="45"/>
    </i>
    <i>
      <x v="46"/>
    </i>
    <i>
      <x v="48"/>
    </i>
    <i>
      <x v="49"/>
    </i>
    <i>
      <x v="51"/>
    </i>
    <i>
      <x v="52"/>
    </i>
    <i>
      <x v="53"/>
    </i>
    <i>
      <x v="54"/>
    </i>
    <i>
      <x v="55"/>
    </i>
    <i>
      <x v="56"/>
    </i>
    <i>
      <x v="58"/>
    </i>
    <i>
      <x v="59"/>
    </i>
    <i>
      <x v="61"/>
    </i>
    <i>
      <x v="62"/>
    </i>
    <i>
      <x v="64"/>
    </i>
    <i>
      <x v="65"/>
    </i>
    <i>
      <x v="66"/>
    </i>
    <i>
      <x v="67"/>
    </i>
    <i>
      <x v="68"/>
    </i>
    <i>
      <x v="69"/>
    </i>
    <i>
      <x v="71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5"/>
    </i>
    <i>
      <x v="96"/>
    </i>
    <i>
      <x v="98"/>
    </i>
    <i>
      <x v="99"/>
    </i>
    <i>
      <x v="100"/>
    </i>
    <i>
      <x v="102"/>
    </i>
    <i>
      <x v="103"/>
    </i>
    <i>
      <x v="105"/>
    </i>
    <i>
      <x v="107"/>
    </i>
    <i>
      <x v="108"/>
    </i>
    <i>
      <x v="109"/>
    </i>
    <i>
      <x v="111"/>
    </i>
    <i>
      <x v="113"/>
    </i>
    <i>
      <x v="114"/>
    </i>
    <i>
      <x v="115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7"/>
    </i>
    <i>
      <x v="128"/>
    </i>
    <i>
      <x v="129"/>
    </i>
    <i>
      <x v="130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BP" fld="8" subtotal="average" baseField="0" baseItem="0"/>
    <dataField name="Count of Service Vendor Name" fld="0" subtotal="count" baseField="0" baseItem="0"/>
    <dataField name="Sum of Amt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03"/>
  <sheetViews>
    <sheetView tabSelected="1" workbookViewId="0">
      <selection activeCell="D1" sqref="D1"/>
    </sheetView>
  </sheetViews>
  <sheetFormatPr defaultRowHeight="15" x14ac:dyDescent="0.25"/>
  <cols>
    <col min="1" max="1" width="28.140625" style="59" bestFit="1" customWidth="1"/>
    <col min="2" max="2" width="62.42578125" style="59" bestFit="1" customWidth="1"/>
    <col min="3" max="3" width="21.28515625" style="59" bestFit="1" customWidth="1"/>
    <col min="4" max="4" width="10.7109375" style="60" bestFit="1" customWidth="1"/>
    <col min="5" max="5" width="9.140625" style="59"/>
    <col min="6" max="6" width="38.5703125" style="59" bestFit="1" customWidth="1"/>
    <col min="7" max="7" width="11.140625" style="59" bestFit="1" customWidth="1"/>
    <col min="8" max="8" width="42.42578125" style="59" customWidth="1"/>
    <col min="9" max="9" width="11" style="59" bestFit="1" customWidth="1"/>
  </cols>
  <sheetData>
    <row r="1" spans="1:9" x14ac:dyDescent="0.25">
      <c r="A1" s="59" t="s">
        <v>117</v>
      </c>
      <c r="B1" s="59" t="s">
        <v>3</v>
      </c>
      <c r="C1" s="59" t="s">
        <v>4</v>
      </c>
      <c r="D1" s="60" t="s">
        <v>5</v>
      </c>
      <c r="E1" s="59" t="s">
        <v>6</v>
      </c>
      <c r="F1" s="59" t="s">
        <v>383</v>
      </c>
      <c r="G1" s="59" t="s">
        <v>381</v>
      </c>
      <c r="H1" s="59" t="s">
        <v>382</v>
      </c>
      <c r="I1" s="59" t="s">
        <v>118</v>
      </c>
    </row>
    <row r="2" spans="1:9" x14ac:dyDescent="0.25">
      <c r="E2" s="61"/>
      <c r="F2" s="79"/>
    </row>
    <row r="3" spans="1:9" x14ac:dyDescent="0.25">
      <c r="E3" s="61"/>
      <c r="F3" s="79"/>
      <c r="I3" s="123"/>
    </row>
    <row r="4" spans="1:9" x14ac:dyDescent="0.25">
      <c r="E4" s="61"/>
      <c r="F4" s="79"/>
      <c r="I4" s="123"/>
    </row>
    <row r="5" spans="1:9" x14ac:dyDescent="0.25">
      <c r="E5" s="61"/>
      <c r="F5" s="79"/>
      <c r="I5" s="123"/>
    </row>
    <row r="6" spans="1:9" x14ac:dyDescent="0.25">
      <c r="E6" s="61"/>
      <c r="F6" s="79"/>
      <c r="G6" s="123"/>
      <c r="H6" s="123"/>
      <c r="I6" s="123"/>
    </row>
    <row r="7" spans="1:9" x14ac:dyDescent="0.25">
      <c r="D7" s="62"/>
      <c r="E7" s="61"/>
      <c r="F7" s="79"/>
      <c r="G7" s="123"/>
      <c r="H7" s="123"/>
      <c r="I7" s="123"/>
    </row>
    <row r="8" spans="1:9" x14ac:dyDescent="0.25">
      <c r="E8" s="61"/>
      <c r="F8" s="79"/>
      <c r="G8" s="63"/>
      <c r="H8" s="63"/>
      <c r="I8" s="123"/>
    </row>
    <row r="9" spans="1:9" x14ac:dyDescent="0.25">
      <c r="F9" s="79"/>
      <c r="G9" s="63"/>
      <c r="H9" s="63"/>
      <c r="I9" s="123"/>
    </row>
    <row r="10" spans="1:9" x14ac:dyDescent="0.25">
      <c r="F10" s="79"/>
      <c r="G10" s="63"/>
      <c r="H10" s="63"/>
      <c r="I10" s="123"/>
    </row>
    <row r="11" spans="1:9" x14ac:dyDescent="0.25">
      <c r="F11" s="79"/>
      <c r="G11" s="63"/>
      <c r="H11" s="63"/>
      <c r="I11" s="123"/>
    </row>
    <row r="12" spans="1:9" x14ac:dyDescent="0.25">
      <c r="F12" s="79"/>
      <c r="G12" s="63"/>
      <c r="H12" s="63"/>
      <c r="I12" s="123"/>
    </row>
    <row r="13" spans="1:9" x14ac:dyDescent="0.25">
      <c r="F13" s="79"/>
      <c r="G13" s="64"/>
      <c r="H13" s="64"/>
      <c r="I13" s="123"/>
    </row>
    <row r="14" spans="1:9" x14ac:dyDescent="0.25">
      <c r="F14" s="79"/>
      <c r="G14" s="64"/>
      <c r="H14" s="64"/>
      <c r="I14" s="123"/>
    </row>
    <row r="15" spans="1:9" x14ac:dyDescent="0.25">
      <c r="F15" s="79"/>
      <c r="G15" s="64"/>
      <c r="H15" s="64"/>
      <c r="I15" s="123"/>
    </row>
    <row r="16" spans="1:9" x14ac:dyDescent="0.25">
      <c r="F16" s="79"/>
      <c r="G16" s="64"/>
      <c r="H16" s="64"/>
      <c r="I16" s="123"/>
    </row>
    <row r="17" spans="3:9" x14ac:dyDescent="0.25">
      <c r="C17" s="9"/>
      <c r="D17" s="10"/>
      <c r="E17" s="11"/>
      <c r="F17" s="86"/>
      <c r="G17" s="11"/>
      <c r="H17" s="11"/>
      <c r="I17" s="123"/>
    </row>
    <row r="18" spans="3:9" x14ac:dyDescent="0.25">
      <c r="C18" s="9"/>
      <c r="D18" s="10"/>
      <c r="E18" s="11"/>
      <c r="F18" s="86"/>
      <c r="G18" s="11"/>
      <c r="H18" s="11"/>
      <c r="I18" s="123"/>
    </row>
    <row r="19" spans="3:9" x14ac:dyDescent="0.25">
      <c r="C19" s="9"/>
      <c r="D19" s="10"/>
      <c r="E19" s="11"/>
      <c r="F19" s="86"/>
      <c r="G19" s="11"/>
      <c r="H19" s="11"/>
      <c r="I19" s="123"/>
    </row>
    <row r="20" spans="3:9" x14ac:dyDescent="0.25">
      <c r="F20" s="79"/>
      <c r="I20" s="123"/>
    </row>
    <row r="21" spans="3:9" x14ac:dyDescent="0.25">
      <c r="F21" s="79"/>
      <c r="I21" s="123"/>
    </row>
    <row r="22" spans="3:9" x14ac:dyDescent="0.25">
      <c r="F22" s="79"/>
      <c r="I22" s="123"/>
    </row>
    <row r="23" spans="3:9" x14ac:dyDescent="0.25">
      <c r="F23" s="79"/>
      <c r="I23" s="123"/>
    </row>
    <row r="24" spans="3:9" x14ac:dyDescent="0.25">
      <c r="F24" s="79"/>
      <c r="I24" s="123"/>
    </row>
    <row r="25" spans="3:9" x14ac:dyDescent="0.25">
      <c r="F25" s="79"/>
      <c r="I25" s="123"/>
    </row>
    <row r="26" spans="3:9" x14ac:dyDescent="0.25">
      <c r="F26" s="79"/>
      <c r="I26" s="123"/>
    </row>
    <row r="27" spans="3:9" x14ac:dyDescent="0.25">
      <c r="F27" s="79"/>
      <c r="I27" s="123"/>
    </row>
    <row r="28" spans="3:9" x14ac:dyDescent="0.25">
      <c r="F28" s="79"/>
      <c r="I28" s="123"/>
    </row>
    <row r="29" spans="3:9" x14ac:dyDescent="0.25">
      <c r="F29" s="79"/>
      <c r="I29" s="123"/>
    </row>
    <row r="30" spans="3:9" x14ac:dyDescent="0.25">
      <c r="F30" s="79"/>
      <c r="I30" s="123"/>
    </row>
    <row r="31" spans="3:9" x14ac:dyDescent="0.25">
      <c r="F31" s="79"/>
      <c r="I31" s="123"/>
    </row>
    <row r="32" spans="3:9" x14ac:dyDescent="0.25">
      <c r="F32" s="79"/>
      <c r="I32" s="123"/>
    </row>
    <row r="33" spans="1:9" x14ac:dyDescent="0.25">
      <c r="F33" s="79"/>
      <c r="I33" s="123"/>
    </row>
    <row r="34" spans="1:9" x14ac:dyDescent="0.25">
      <c r="F34" s="79"/>
      <c r="I34" s="123"/>
    </row>
    <row r="35" spans="1:9" x14ac:dyDescent="0.25">
      <c r="F35" s="79"/>
      <c r="I35" s="123"/>
    </row>
    <row r="36" spans="1:9" x14ac:dyDescent="0.25">
      <c r="F36" s="79"/>
      <c r="I36" s="123"/>
    </row>
    <row r="37" spans="1:9" x14ac:dyDescent="0.25">
      <c r="F37" s="79"/>
      <c r="I37" s="123"/>
    </row>
    <row r="38" spans="1:9" x14ac:dyDescent="0.25">
      <c r="F38" s="79"/>
      <c r="I38" s="123"/>
    </row>
    <row r="39" spans="1:9" x14ac:dyDescent="0.25">
      <c r="D39" s="62"/>
      <c r="F39" s="79"/>
      <c r="I39" s="123"/>
    </row>
    <row r="40" spans="1:9" x14ac:dyDescent="0.25">
      <c r="F40" s="79"/>
      <c r="I40" s="123"/>
    </row>
    <row r="41" spans="1:9" x14ac:dyDescent="0.25">
      <c r="F41" s="79"/>
      <c r="I41" s="123"/>
    </row>
    <row r="42" spans="1:9" x14ac:dyDescent="0.25">
      <c r="F42" s="79"/>
      <c r="I42" s="123"/>
    </row>
    <row r="43" spans="1:9" x14ac:dyDescent="0.25">
      <c r="F43" s="79"/>
      <c r="I43" s="123"/>
    </row>
    <row r="44" spans="1:9" s="17" customFormat="1" x14ac:dyDescent="0.25">
      <c r="A44" s="59"/>
      <c r="B44" s="59"/>
      <c r="C44" s="123"/>
      <c r="D44" s="60"/>
      <c r="E44" s="123"/>
      <c r="F44" s="79"/>
      <c r="G44" s="123"/>
      <c r="H44" s="123"/>
      <c r="I44" s="123"/>
    </row>
    <row r="45" spans="1:9" x14ac:dyDescent="0.25">
      <c r="F45" s="79"/>
      <c r="I45" s="123"/>
    </row>
    <row r="46" spans="1:9" x14ac:dyDescent="0.25">
      <c r="F46" s="79"/>
      <c r="I46" s="123"/>
    </row>
    <row r="47" spans="1:9" x14ac:dyDescent="0.25">
      <c r="F47" s="79"/>
      <c r="I47" s="123"/>
    </row>
    <row r="48" spans="1:9" x14ac:dyDescent="0.25">
      <c r="F48" s="79"/>
      <c r="I48" s="123"/>
    </row>
    <row r="49" spans="3:9" x14ac:dyDescent="0.25">
      <c r="C49" s="24"/>
      <c r="D49" s="25"/>
      <c r="E49" s="44"/>
      <c r="F49" s="80"/>
      <c r="G49" s="44"/>
      <c r="H49" s="44"/>
      <c r="I49" s="123"/>
    </row>
    <row r="50" spans="3:9" x14ac:dyDescent="0.25">
      <c r="D50" s="62"/>
      <c r="F50" s="79"/>
      <c r="I50" s="123"/>
    </row>
    <row r="51" spans="3:9" x14ac:dyDescent="0.25">
      <c r="F51" s="79"/>
      <c r="I51" s="123"/>
    </row>
    <row r="52" spans="3:9" x14ac:dyDescent="0.25">
      <c r="F52" s="79"/>
      <c r="I52" s="123"/>
    </row>
    <row r="53" spans="3:9" x14ac:dyDescent="0.25">
      <c r="F53" s="79"/>
      <c r="I53" s="123"/>
    </row>
    <row r="54" spans="3:9" x14ac:dyDescent="0.25">
      <c r="F54" s="79"/>
      <c r="I54" s="123"/>
    </row>
    <row r="55" spans="3:9" x14ac:dyDescent="0.25">
      <c r="F55" s="79"/>
      <c r="I55" s="123"/>
    </row>
    <row r="56" spans="3:9" x14ac:dyDescent="0.25">
      <c r="F56" s="79"/>
      <c r="I56" s="123"/>
    </row>
    <row r="57" spans="3:9" x14ac:dyDescent="0.25">
      <c r="F57" s="79"/>
      <c r="I57" s="123"/>
    </row>
    <row r="58" spans="3:9" x14ac:dyDescent="0.25">
      <c r="F58" s="79"/>
      <c r="I58" s="123"/>
    </row>
    <row r="59" spans="3:9" x14ac:dyDescent="0.25">
      <c r="F59" s="79"/>
      <c r="I59" s="123"/>
    </row>
    <row r="60" spans="3:9" x14ac:dyDescent="0.25">
      <c r="F60" s="79"/>
      <c r="I60" s="123"/>
    </row>
    <row r="61" spans="3:9" x14ac:dyDescent="0.25">
      <c r="F61" s="79"/>
      <c r="I61" s="123"/>
    </row>
    <row r="62" spans="3:9" x14ac:dyDescent="0.25">
      <c r="F62" s="79"/>
      <c r="I62" s="123"/>
    </row>
    <row r="63" spans="3:9" x14ac:dyDescent="0.25">
      <c r="F63" s="79"/>
      <c r="I63" s="123"/>
    </row>
    <row r="64" spans="3:9" x14ac:dyDescent="0.25">
      <c r="F64" s="79"/>
      <c r="I64" s="123"/>
    </row>
    <row r="65" spans="6:9" x14ac:dyDescent="0.25">
      <c r="F65" s="79"/>
      <c r="I65" s="123"/>
    </row>
    <row r="66" spans="6:9" x14ac:dyDescent="0.25">
      <c r="F66" s="79"/>
      <c r="I66" s="123"/>
    </row>
    <row r="67" spans="6:9" x14ac:dyDescent="0.25">
      <c r="F67" s="79"/>
      <c r="I67" s="123"/>
    </row>
    <row r="68" spans="6:9" x14ac:dyDescent="0.25">
      <c r="F68" s="79"/>
      <c r="I68" s="123"/>
    </row>
    <row r="69" spans="6:9" x14ac:dyDescent="0.25">
      <c r="F69" s="79"/>
      <c r="I69" s="123"/>
    </row>
    <row r="70" spans="6:9" x14ac:dyDescent="0.25">
      <c r="F70" s="79"/>
      <c r="I70" s="123"/>
    </row>
    <row r="71" spans="6:9" x14ac:dyDescent="0.25">
      <c r="F71" s="79"/>
      <c r="I71" s="123"/>
    </row>
    <row r="72" spans="6:9" x14ac:dyDescent="0.25">
      <c r="F72" s="79"/>
      <c r="I72" s="123"/>
    </row>
    <row r="73" spans="6:9" x14ac:dyDescent="0.25">
      <c r="F73" s="79"/>
      <c r="I73" s="123"/>
    </row>
    <row r="74" spans="6:9" x14ac:dyDescent="0.25">
      <c r="F74" s="79"/>
      <c r="I74" s="123"/>
    </row>
    <row r="75" spans="6:9" x14ac:dyDescent="0.25">
      <c r="F75" s="79"/>
      <c r="I75" s="123"/>
    </row>
    <row r="76" spans="6:9" x14ac:dyDescent="0.25">
      <c r="F76" s="79"/>
      <c r="I76" s="123"/>
    </row>
    <row r="77" spans="6:9" x14ac:dyDescent="0.25">
      <c r="F77" s="79"/>
      <c r="I77" s="123"/>
    </row>
    <row r="78" spans="6:9" x14ac:dyDescent="0.25">
      <c r="F78" s="79"/>
      <c r="I78" s="123"/>
    </row>
    <row r="79" spans="6:9" x14ac:dyDescent="0.25">
      <c r="F79" s="79"/>
      <c r="I79" s="123"/>
    </row>
    <row r="80" spans="6:9" x14ac:dyDescent="0.25">
      <c r="F80" s="79"/>
      <c r="I80" s="123"/>
    </row>
    <row r="81" spans="6:9" x14ac:dyDescent="0.25">
      <c r="F81" s="79"/>
      <c r="I81" s="123"/>
    </row>
    <row r="82" spans="6:9" x14ac:dyDescent="0.25">
      <c r="F82" s="79"/>
      <c r="I82" s="123"/>
    </row>
    <row r="83" spans="6:9" x14ac:dyDescent="0.25">
      <c r="F83" s="79"/>
      <c r="I83" s="123"/>
    </row>
    <row r="84" spans="6:9" x14ac:dyDescent="0.25">
      <c r="F84" s="79"/>
      <c r="I84" s="123"/>
    </row>
    <row r="85" spans="6:9" x14ac:dyDescent="0.25">
      <c r="F85" s="79"/>
      <c r="I85" s="123"/>
    </row>
    <row r="86" spans="6:9" x14ac:dyDescent="0.25">
      <c r="F86" s="79"/>
      <c r="I86" s="123"/>
    </row>
    <row r="87" spans="6:9" x14ac:dyDescent="0.25">
      <c r="F87" s="79"/>
      <c r="I87" s="123"/>
    </row>
    <row r="88" spans="6:9" x14ac:dyDescent="0.25">
      <c r="F88" s="79"/>
      <c r="I88" s="123"/>
    </row>
    <row r="89" spans="6:9" x14ac:dyDescent="0.25">
      <c r="F89" s="79"/>
      <c r="I89" s="123"/>
    </row>
    <row r="90" spans="6:9" x14ac:dyDescent="0.25">
      <c r="F90" s="79"/>
      <c r="I90" s="123"/>
    </row>
    <row r="91" spans="6:9" x14ac:dyDescent="0.25">
      <c r="F91" s="79"/>
      <c r="I91" s="123"/>
    </row>
    <row r="92" spans="6:9" x14ac:dyDescent="0.25">
      <c r="F92" s="79"/>
      <c r="I92" s="123"/>
    </row>
    <row r="93" spans="6:9" x14ac:dyDescent="0.25">
      <c r="F93" s="79"/>
      <c r="I93" s="123"/>
    </row>
    <row r="94" spans="6:9" x14ac:dyDescent="0.25">
      <c r="F94" s="79"/>
      <c r="I94" s="123"/>
    </row>
    <row r="95" spans="6:9" x14ac:dyDescent="0.25">
      <c r="F95" s="79"/>
      <c r="I95" s="123"/>
    </row>
    <row r="96" spans="6:9" x14ac:dyDescent="0.25">
      <c r="F96" s="79"/>
      <c r="I96" s="123"/>
    </row>
    <row r="97" spans="6:9" x14ac:dyDescent="0.25">
      <c r="F97" s="79"/>
      <c r="I97" s="123"/>
    </row>
    <row r="98" spans="6:9" x14ac:dyDescent="0.25">
      <c r="F98" s="79"/>
      <c r="I98" s="123"/>
    </row>
    <row r="99" spans="6:9" x14ac:dyDescent="0.25">
      <c r="F99" s="79"/>
      <c r="I99" s="123"/>
    </row>
    <row r="100" spans="6:9" x14ac:dyDescent="0.25">
      <c r="F100" s="79"/>
      <c r="I100" s="123"/>
    </row>
    <row r="101" spans="6:9" x14ac:dyDescent="0.25">
      <c r="F101" s="79"/>
      <c r="I101" s="123"/>
    </row>
    <row r="102" spans="6:9" x14ac:dyDescent="0.25">
      <c r="F102" s="79"/>
      <c r="I102" s="123"/>
    </row>
    <row r="103" spans="6:9" x14ac:dyDescent="0.25">
      <c r="F103" s="79"/>
      <c r="I103" s="123"/>
    </row>
    <row r="104" spans="6:9" x14ac:dyDescent="0.25">
      <c r="F104" s="79"/>
      <c r="I104" s="123"/>
    </row>
    <row r="105" spans="6:9" x14ac:dyDescent="0.25">
      <c r="F105" s="79"/>
      <c r="I105" s="123"/>
    </row>
    <row r="106" spans="6:9" x14ac:dyDescent="0.25">
      <c r="F106" s="79"/>
      <c r="I106" s="123"/>
    </row>
    <row r="107" spans="6:9" x14ac:dyDescent="0.25">
      <c r="F107" s="79"/>
      <c r="I107" s="123"/>
    </row>
    <row r="108" spans="6:9" x14ac:dyDescent="0.25">
      <c r="F108" s="79"/>
      <c r="I108" s="123"/>
    </row>
    <row r="109" spans="6:9" x14ac:dyDescent="0.25">
      <c r="F109" s="79"/>
      <c r="I109" s="123"/>
    </row>
    <row r="110" spans="6:9" x14ac:dyDescent="0.25">
      <c r="F110" s="79"/>
      <c r="I110" s="123"/>
    </row>
    <row r="111" spans="6:9" x14ac:dyDescent="0.25">
      <c r="F111" s="79"/>
      <c r="I111" s="123"/>
    </row>
    <row r="112" spans="6:9" x14ac:dyDescent="0.25">
      <c r="F112" s="79"/>
      <c r="I112" s="123"/>
    </row>
    <row r="113" spans="1:9" x14ac:dyDescent="0.25">
      <c r="F113" s="79"/>
      <c r="I113" s="123"/>
    </row>
    <row r="114" spans="1:9" x14ac:dyDescent="0.25">
      <c r="F114" s="79"/>
      <c r="I114" s="123"/>
    </row>
    <row r="115" spans="1:9" x14ac:dyDescent="0.25">
      <c r="F115" s="79"/>
      <c r="I115" s="123"/>
    </row>
    <row r="116" spans="1:9" x14ac:dyDescent="0.25">
      <c r="F116" s="79"/>
      <c r="I116" s="123"/>
    </row>
    <row r="117" spans="1:9" x14ac:dyDescent="0.25">
      <c r="F117" s="79"/>
      <c r="I117" s="123"/>
    </row>
    <row r="118" spans="1:9" x14ac:dyDescent="0.25">
      <c r="F118" s="79"/>
      <c r="I118" s="123"/>
    </row>
    <row r="119" spans="1:9" x14ac:dyDescent="0.25">
      <c r="F119" s="79"/>
      <c r="I119" s="123"/>
    </row>
    <row r="120" spans="1:9" x14ac:dyDescent="0.25">
      <c r="F120" s="79"/>
      <c r="I120" s="123"/>
    </row>
    <row r="121" spans="1:9" x14ac:dyDescent="0.25">
      <c r="F121" s="79"/>
      <c r="I121" s="123"/>
    </row>
    <row r="122" spans="1:9" x14ac:dyDescent="0.25">
      <c r="F122" s="79"/>
      <c r="I122" s="123"/>
    </row>
    <row r="123" spans="1:9" s="23" customFormat="1" x14ac:dyDescent="0.25">
      <c r="A123" s="59"/>
      <c r="B123" s="59"/>
      <c r="C123" s="140"/>
      <c r="D123" s="60"/>
      <c r="E123" s="123"/>
      <c r="F123" s="79"/>
      <c r="G123" s="123"/>
      <c r="H123" s="123"/>
      <c r="I123" s="123"/>
    </row>
    <row r="124" spans="1:9" x14ac:dyDescent="0.25">
      <c r="C124" s="140"/>
      <c r="F124" s="79"/>
      <c r="I124" s="123"/>
    </row>
    <row r="125" spans="1:9" x14ac:dyDescent="0.25">
      <c r="F125" s="79"/>
      <c r="I125" s="123"/>
    </row>
    <row r="126" spans="1:9" x14ac:dyDescent="0.25">
      <c r="F126" s="79"/>
      <c r="I126" s="123"/>
    </row>
    <row r="127" spans="1:9" x14ac:dyDescent="0.25">
      <c r="F127" s="79"/>
      <c r="I127" s="123"/>
    </row>
    <row r="128" spans="1:9" x14ac:dyDescent="0.25">
      <c r="F128" s="79"/>
      <c r="I128" s="123"/>
    </row>
    <row r="129" spans="3:9" x14ac:dyDescent="0.25">
      <c r="C129" s="52"/>
      <c r="D129" s="50"/>
      <c r="E129" s="51"/>
      <c r="F129" s="81"/>
      <c r="G129" s="51"/>
      <c r="H129" s="51"/>
      <c r="I129" s="123"/>
    </row>
    <row r="130" spans="3:9" x14ac:dyDescent="0.25">
      <c r="D130" s="62"/>
      <c r="F130" s="79"/>
      <c r="I130" s="123"/>
    </row>
    <row r="131" spans="3:9" x14ac:dyDescent="0.25">
      <c r="F131" s="79"/>
      <c r="I131" s="123"/>
    </row>
    <row r="132" spans="3:9" x14ac:dyDescent="0.25">
      <c r="F132" s="79"/>
      <c r="I132" s="123"/>
    </row>
    <row r="133" spans="3:9" x14ac:dyDescent="0.25">
      <c r="F133" s="79"/>
      <c r="I133" s="123"/>
    </row>
    <row r="134" spans="3:9" x14ac:dyDescent="0.25">
      <c r="F134" s="79"/>
      <c r="I134" s="123"/>
    </row>
    <row r="135" spans="3:9" x14ac:dyDescent="0.25">
      <c r="F135" s="79"/>
      <c r="I135" s="123"/>
    </row>
    <row r="136" spans="3:9" x14ac:dyDescent="0.25">
      <c r="F136" s="79"/>
      <c r="I136" s="123"/>
    </row>
    <row r="137" spans="3:9" x14ac:dyDescent="0.25">
      <c r="F137" s="79"/>
      <c r="I137" s="123"/>
    </row>
    <row r="138" spans="3:9" x14ac:dyDescent="0.25">
      <c r="F138" s="79"/>
      <c r="I138" s="123"/>
    </row>
    <row r="139" spans="3:9" x14ac:dyDescent="0.25">
      <c r="F139" s="79"/>
      <c r="I139" s="123"/>
    </row>
    <row r="140" spans="3:9" x14ac:dyDescent="0.25">
      <c r="F140" s="79"/>
      <c r="I140" s="123"/>
    </row>
    <row r="141" spans="3:9" x14ac:dyDescent="0.25">
      <c r="F141" s="79"/>
      <c r="I141" s="123"/>
    </row>
    <row r="142" spans="3:9" x14ac:dyDescent="0.25">
      <c r="F142" s="79"/>
      <c r="I142" s="123"/>
    </row>
    <row r="143" spans="3:9" x14ac:dyDescent="0.25">
      <c r="F143" s="79"/>
      <c r="I143" s="123"/>
    </row>
    <row r="144" spans="3:9" x14ac:dyDescent="0.25">
      <c r="F144" s="79"/>
      <c r="I144" s="123"/>
    </row>
    <row r="145" spans="3:9" x14ac:dyDescent="0.25">
      <c r="F145" s="79"/>
      <c r="I145" s="123"/>
    </row>
    <row r="146" spans="3:9" x14ac:dyDescent="0.25">
      <c r="F146" s="79"/>
      <c r="I146" s="123"/>
    </row>
    <row r="147" spans="3:9" x14ac:dyDescent="0.25">
      <c r="F147" s="79"/>
      <c r="I147" s="123"/>
    </row>
    <row r="148" spans="3:9" x14ac:dyDescent="0.25">
      <c r="F148" s="79"/>
      <c r="I148" s="123"/>
    </row>
    <row r="149" spans="3:9" x14ac:dyDescent="0.25">
      <c r="C149" s="140"/>
      <c r="F149" s="79"/>
      <c r="I149" s="123"/>
    </row>
    <row r="150" spans="3:9" x14ac:dyDescent="0.25">
      <c r="F150" s="79"/>
      <c r="I150" s="123"/>
    </row>
    <row r="151" spans="3:9" x14ac:dyDescent="0.25">
      <c r="F151" s="79"/>
      <c r="I151" s="123"/>
    </row>
    <row r="152" spans="3:9" x14ac:dyDescent="0.25">
      <c r="F152" s="79"/>
      <c r="I152" s="123"/>
    </row>
    <row r="153" spans="3:9" x14ac:dyDescent="0.25">
      <c r="F153" s="79"/>
      <c r="I153" s="123"/>
    </row>
    <row r="154" spans="3:9" x14ac:dyDescent="0.25">
      <c r="F154" s="79"/>
      <c r="I154" s="123"/>
    </row>
    <row r="155" spans="3:9" x14ac:dyDescent="0.25">
      <c r="F155" s="79"/>
      <c r="I155" s="123"/>
    </row>
    <row r="156" spans="3:9" x14ac:dyDescent="0.25">
      <c r="F156" s="79"/>
      <c r="I156" s="123"/>
    </row>
    <row r="157" spans="3:9" x14ac:dyDescent="0.25">
      <c r="F157" s="79"/>
      <c r="I157" s="123"/>
    </row>
    <row r="158" spans="3:9" x14ac:dyDescent="0.25">
      <c r="F158" s="79"/>
      <c r="I158" s="123"/>
    </row>
    <row r="159" spans="3:9" x14ac:dyDescent="0.25">
      <c r="F159" s="79"/>
      <c r="I159" s="123"/>
    </row>
    <row r="160" spans="3:9" x14ac:dyDescent="0.25">
      <c r="F160" s="79"/>
      <c r="I160" s="123"/>
    </row>
    <row r="161" spans="1:9" x14ac:dyDescent="0.25">
      <c r="F161" s="79"/>
      <c r="I161" s="123"/>
    </row>
    <row r="162" spans="1:9" x14ac:dyDescent="0.25">
      <c r="F162" s="79"/>
      <c r="I162" s="123"/>
    </row>
    <row r="163" spans="1:9" x14ac:dyDescent="0.25">
      <c r="F163" s="79"/>
      <c r="I163" s="123"/>
    </row>
    <row r="164" spans="1:9" x14ac:dyDescent="0.25">
      <c r="F164" s="79"/>
      <c r="I164" s="123"/>
    </row>
    <row r="165" spans="1:9" x14ac:dyDescent="0.25">
      <c r="F165" s="79"/>
      <c r="I165" s="123"/>
    </row>
    <row r="166" spans="1:9" x14ac:dyDescent="0.25">
      <c r="F166" s="79"/>
      <c r="I166" s="123"/>
    </row>
    <row r="167" spans="1:9" x14ac:dyDescent="0.25">
      <c r="F167" s="79"/>
      <c r="I167" s="123"/>
    </row>
    <row r="168" spans="1:9" x14ac:dyDescent="0.25">
      <c r="F168" s="79"/>
      <c r="I168" s="123"/>
    </row>
    <row r="169" spans="1:9" x14ac:dyDescent="0.25">
      <c r="F169" s="79"/>
      <c r="I169" s="123"/>
    </row>
    <row r="170" spans="1:9" x14ac:dyDescent="0.25">
      <c r="F170" s="79"/>
      <c r="I170" s="123"/>
    </row>
    <row r="171" spans="1:9" x14ac:dyDescent="0.25">
      <c r="F171" s="79"/>
      <c r="I171" s="123"/>
    </row>
    <row r="172" spans="1:9" x14ac:dyDescent="0.25">
      <c r="F172" s="79"/>
      <c r="I172" s="123"/>
    </row>
    <row r="173" spans="1:9" x14ac:dyDescent="0.25">
      <c r="F173" s="79"/>
      <c r="I173" s="123"/>
    </row>
    <row r="174" spans="1:9" s="21" customFormat="1" x14ac:dyDescent="0.25">
      <c r="A174" s="59"/>
      <c r="B174" s="59"/>
      <c r="C174" s="123"/>
      <c r="D174" s="60"/>
      <c r="E174" s="123"/>
      <c r="F174" s="79"/>
      <c r="G174" s="123"/>
      <c r="H174" s="123"/>
      <c r="I174" s="123"/>
    </row>
    <row r="175" spans="1:9" x14ac:dyDescent="0.25">
      <c r="F175" s="79"/>
      <c r="I175" s="123"/>
    </row>
    <row r="176" spans="1:9" x14ac:dyDescent="0.25">
      <c r="F176" s="79"/>
      <c r="G176" s="123"/>
      <c r="H176" s="123"/>
      <c r="I176" s="123"/>
    </row>
    <row r="177" spans="3:9" x14ac:dyDescent="0.25">
      <c r="F177" s="79"/>
      <c r="I177" s="123"/>
    </row>
    <row r="178" spans="3:9" x14ac:dyDescent="0.25">
      <c r="F178" s="79"/>
      <c r="I178" s="123"/>
    </row>
    <row r="179" spans="3:9" x14ac:dyDescent="0.25">
      <c r="F179" s="79"/>
      <c r="I179" s="123"/>
    </row>
    <row r="180" spans="3:9" x14ac:dyDescent="0.25">
      <c r="C180" s="27"/>
      <c r="D180" s="65"/>
      <c r="E180" s="28"/>
      <c r="F180" s="82"/>
      <c r="G180" s="28"/>
      <c r="H180" s="28"/>
      <c r="I180" s="123"/>
    </row>
    <row r="181" spans="3:9" x14ac:dyDescent="0.25">
      <c r="D181" s="62"/>
      <c r="F181" s="79"/>
      <c r="I181" s="123"/>
    </row>
    <row r="182" spans="3:9" x14ac:dyDescent="0.25">
      <c r="D182" s="62"/>
      <c r="F182" s="119"/>
      <c r="G182" s="119"/>
      <c r="H182" s="119"/>
      <c r="I182" s="123"/>
    </row>
    <row r="183" spans="3:9" x14ac:dyDescent="0.25">
      <c r="D183" s="62"/>
      <c r="F183" s="79"/>
      <c r="I183" s="123"/>
    </row>
    <row r="184" spans="3:9" x14ac:dyDescent="0.25">
      <c r="F184" s="79"/>
      <c r="I184" s="123"/>
    </row>
    <row r="185" spans="3:9" x14ac:dyDescent="0.25">
      <c r="F185" s="79"/>
      <c r="I185" s="123"/>
    </row>
    <row r="186" spans="3:9" x14ac:dyDescent="0.25">
      <c r="F186" s="79"/>
      <c r="I186" s="123"/>
    </row>
    <row r="187" spans="3:9" x14ac:dyDescent="0.25">
      <c r="F187" s="79"/>
      <c r="I187" s="123"/>
    </row>
    <row r="188" spans="3:9" x14ac:dyDescent="0.25">
      <c r="F188" s="79"/>
      <c r="I188" s="123"/>
    </row>
    <row r="189" spans="3:9" x14ac:dyDescent="0.25">
      <c r="F189" s="79"/>
      <c r="I189" s="123"/>
    </row>
    <row r="190" spans="3:9" x14ac:dyDescent="0.25">
      <c r="F190" s="79"/>
      <c r="I190" s="123"/>
    </row>
    <row r="191" spans="3:9" x14ac:dyDescent="0.25">
      <c r="F191" s="79"/>
      <c r="I191" s="123"/>
    </row>
    <row r="192" spans="3:9" x14ac:dyDescent="0.25">
      <c r="F192" s="79"/>
      <c r="I192" s="123"/>
    </row>
    <row r="193" spans="6:9" x14ac:dyDescent="0.25">
      <c r="F193" s="79"/>
      <c r="I193" s="123"/>
    </row>
    <row r="194" spans="6:9" x14ac:dyDescent="0.25">
      <c r="F194" s="79"/>
      <c r="I194" s="123"/>
    </row>
    <row r="195" spans="6:9" x14ac:dyDescent="0.25">
      <c r="F195" s="79"/>
      <c r="I195" s="123"/>
    </row>
    <row r="196" spans="6:9" x14ac:dyDescent="0.25">
      <c r="F196" s="79"/>
      <c r="I196" s="123"/>
    </row>
    <row r="197" spans="6:9" x14ac:dyDescent="0.25">
      <c r="F197" s="79"/>
      <c r="I197" s="123"/>
    </row>
    <row r="198" spans="6:9" x14ac:dyDescent="0.25">
      <c r="F198" s="79"/>
      <c r="I198" s="123"/>
    </row>
    <row r="199" spans="6:9" x14ac:dyDescent="0.25">
      <c r="F199" s="79"/>
      <c r="I199" s="123"/>
    </row>
    <row r="200" spans="6:9" x14ac:dyDescent="0.25">
      <c r="F200" s="79"/>
      <c r="I200" s="123"/>
    </row>
    <row r="201" spans="6:9" x14ac:dyDescent="0.25">
      <c r="F201" s="79"/>
      <c r="I201" s="123"/>
    </row>
    <row r="202" spans="6:9" x14ac:dyDescent="0.25">
      <c r="F202" s="79"/>
      <c r="I202" s="123"/>
    </row>
    <row r="203" spans="6:9" x14ac:dyDescent="0.25">
      <c r="F203" s="79"/>
      <c r="I203" s="123"/>
    </row>
    <row r="204" spans="6:9" x14ac:dyDescent="0.25">
      <c r="F204" s="79"/>
      <c r="I204" s="123"/>
    </row>
    <row r="205" spans="6:9" x14ac:dyDescent="0.25">
      <c r="F205" s="79"/>
      <c r="I205" s="123"/>
    </row>
    <row r="206" spans="6:9" x14ac:dyDescent="0.25">
      <c r="F206" s="79"/>
      <c r="I206" s="123"/>
    </row>
    <row r="207" spans="6:9" x14ac:dyDescent="0.25">
      <c r="F207" s="79"/>
      <c r="I207" s="123"/>
    </row>
    <row r="208" spans="6:9" x14ac:dyDescent="0.25">
      <c r="F208" s="79"/>
      <c r="I208" s="123"/>
    </row>
    <row r="209" spans="6:9" x14ac:dyDescent="0.25">
      <c r="F209" s="79"/>
      <c r="I209" s="123"/>
    </row>
    <row r="210" spans="6:9" x14ac:dyDescent="0.25">
      <c r="F210" s="79"/>
      <c r="I210" s="123"/>
    </row>
    <row r="211" spans="6:9" x14ac:dyDescent="0.25">
      <c r="F211" s="79"/>
      <c r="G211" s="130"/>
      <c r="H211" s="123"/>
      <c r="I211" s="123"/>
    </row>
    <row r="212" spans="6:9" x14ac:dyDescent="0.25">
      <c r="F212" s="79"/>
      <c r="G212" s="123"/>
      <c r="H212" s="123"/>
      <c r="I212" s="123"/>
    </row>
    <row r="213" spans="6:9" x14ac:dyDescent="0.25">
      <c r="F213" s="79"/>
      <c r="G213" s="123"/>
      <c r="H213" s="123"/>
      <c r="I213" s="123"/>
    </row>
    <row r="214" spans="6:9" x14ac:dyDescent="0.25">
      <c r="F214" s="79"/>
      <c r="I214" s="123"/>
    </row>
    <row r="215" spans="6:9" x14ac:dyDescent="0.25">
      <c r="F215" s="79"/>
      <c r="I215" s="123"/>
    </row>
    <row r="216" spans="6:9" x14ac:dyDescent="0.25">
      <c r="F216" s="79"/>
      <c r="I216" s="123"/>
    </row>
    <row r="217" spans="6:9" x14ac:dyDescent="0.25">
      <c r="F217" s="101"/>
      <c r="G217" s="129"/>
      <c r="H217" s="120"/>
      <c r="I217" s="123"/>
    </row>
    <row r="218" spans="6:9" x14ac:dyDescent="0.25">
      <c r="F218" s="121"/>
      <c r="G218" s="121"/>
      <c r="H218" s="121"/>
      <c r="I218" s="123"/>
    </row>
    <row r="219" spans="6:9" x14ac:dyDescent="0.25">
      <c r="F219" s="121"/>
      <c r="G219" s="121"/>
      <c r="H219" s="121"/>
      <c r="I219" s="123"/>
    </row>
    <row r="220" spans="6:9" x14ac:dyDescent="0.25">
      <c r="F220" s="79"/>
      <c r="I220" s="123"/>
    </row>
    <row r="221" spans="6:9" x14ac:dyDescent="0.25">
      <c r="F221" s="79"/>
      <c r="I221" s="123"/>
    </row>
    <row r="222" spans="6:9" x14ac:dyDescent="0.25">
      <c r="F222" s="79"/>
      <c r="I222" s="123"/>
    </row>
    <row r="223" spans="6:9" x14ac:dyDescent="0.25">
      <c r="F223" s="79"/>
      <c r="I223" s="123"/>
    </row>
    <row r="224" spans="6:9" x14ac:dyDescent="0.25">
      <c r="F224" s="79"/>
      <c r="I224" s="123"/>
    </row>
    <row r="225" spans="6:9" x14ac:dyDescent="0.25">
      <c r="F225" s="79"/>
      <c r="I225" s="123"/>
    </row>
    <row r="226" spans="6:9" x14ac:dyDescent="0.25">
      <c r="F226" s="79"/>
      <c r="I226" s="123"/>
    </row>
    <row r="227" spans="6:9" x14ac:dyDescent="0.25">
      <c r="F227" s="79"/>
      <c r="I227" s="123"/>
    </row>
    <row r="228" spans="6:9" x14ac:dyDescent="0.25">
      <c r="F228" s="79"/>
      <c r="I228" s="123"/>
    </row>
    <row r="229" spans="6:9" x14ac:dyDescent="0.25">
      <c r="F229" s="79"/>
      <c r="I229" s="123"/>
    </row>
    <row r="230" spans="6:9" x14ac:dyDescent="0.25">
      <c r="F230" s="79"/>
      <c r="I230" s="123"/>
    </row>
    <row r="231" spans="6:9" x14ac:dyDescent="0.25">
      <c r="F231" s="79"/>
      <c r="I231" s="123"/>
    </row>
    <row r="232" spans="6:9" x14ac:dyDescent="0.25">
      <c r="F232" s="79"/>
      <c r="I232" s="123"/>
    </row>
    <row r="233" spans="6:9" x14ac:dyDescent="0.25">
      <c r="F233" s="79"/>
      <c r="I233" s="123"/>
    </row>
    <row r="234" spans="6:9" x14ac:dyDescent="0.25">
      <c r="F234" s="79"/>
      <c r="I234" s="123"/>
    </row>
    <row r="235" spans="6:9" x14ac:dyDescent="0.25">
      <c r="F235" s="79"/>
      <c r="I235" s="123"/>
    </row>
    <row r="236" spans="6:9" x14ac:dyDescent="0.25">
      <c r="F236" s="79"/>
      <c r="I236" s="123"/>
    </row>
    <row r="237" spans="6:9" x14ac:dyDescent="0.25">
      <c r="F237" s="79"/>
      <c r="I237" s="123"/>
    </row>
    <row r="238" spans="6:9" x14ac:dyDescent="0.25">
      <c r="F238" s="79"/>
      <c r="I238" s="123"/>
    </row>
    <row r="239" spans="6:9" x14ac:dyDescent="0.25">
      <c r="F239" s="79"/>
      <c r="I239" s="123"/>
    </row>
    <row r="240" spans="6:9" x14ac:dyDescent="0.25">
      <c r="F240" s="79"/>
      <c r="I240" s="123"/>
    </row>
    <row r="241" spans="6:9" x14ac:dyDescent="0.25">
      <c r="F241" s="79"/>
      <c r="I241" s="123"/>
    </row>
    <row r="242" spans="6:9" x14ac:dyDescent="0.25">
      <c r="F242" s="79"/>
      <c r="I242" s="123"/>
    </row>
    <row r="243" spans="6:9" x14ac:dyDescent="0.25">
      <c r="F243" s="79"/>
      <c r="I243" s="123"/>
    </row>
    <row r="244" spans="6:9" x14ac:dyDescent="0.25">
      <c r="F244" s="79"/>
      <c r="I244" s="123"/>
    </row>
    <row r="245" spans="6:9" x14ac:dyDescent="0.25">
      <c r="F245" s="79"/>
      <c r="I245" s="123"/>
    </row>
    <row r="246" spans="6:9" x14ac:dyDescent="0.25">
      <c r="F246" s="79"/>
      <c r="I246" s="123"/>
    </row>
    <row r="247" spans="6:9" x14ac:dyDescent="0.25">
      <c r="F247" s="79"/>
      <c r="I247" s="123"/>
    </row>
    <row r="248" spans="6:9" x14ac:dyDescent="0.25">
      <c r="F248" s="79"/>
      <c r="I248" s="123"/>
    </row>
    <row r="249" spans="6:9" x14ac:dyDescent="0.25">
      <c r="F249" s="79"/>
      <c r="I249" s="123"/>
    </row>
    <row r="250" spans="6:9" x14ac:dyDescent="0.25">
      <c r="F250" s="79"/>
      <c r="I250" s="123"/>
    </row>
    <row r="251" spans="6:9" x14ac:dyDescent="0.25">
      <c r="F251" s="79"/>
      <c r="I251" s="123"/>
    </row>
    <row r="252" spans="6:9" x14ac:dyDescent="0.25">
      <c r="F252" s="79"/>
      <c r="I252" s="123"/>
    </row>
    <row r="253" spans="6:9" x14ac:dyDescent="0.25">
      <c r="F253" s="79"/>
      <c r="I253" s="123"/>
    </row>
    <row r="254" spans="6:9" x14ac:dyDescent="0.25">
      <c r="F254" s="79"/>
      <c r="I254" s="123"/>
    </row>
    <row r="255" spans="6:9" x14ac:dyDescent="0.25">
      <c r="F255" s="79"/>
      <c r="I255" s="123"/>
    </row>
    <row r="256" spans="6:9" x14ac:dyDescent="0.25">
      <c r="F256" s="79"/>
      <c r="I256" s="123"/>
    </row>
    <row r="257" spans="6:9" x14ac:dyDescent="0.25">
      <c r="F257" s="79"/>
      <c r="I257" s="123"/>
    </row>
    <row r="258" spans="6:9" x14ac:dyDescent="0.25">
      <c r="F258" s="79"/>
      <c r="I258" s="123"/>
    </row>
    <row r="259" spans="6:9" x14ac:dyDescent="0.25">
      <c r="F259" s="79"/>
      <c r="I259" s="123"/>
    </row>
    <row r="260" spans="6:9" x14ac:dyDescent="0.25">
      <c r="F260" s="79"/>
      <c r="I260" s="123"/>
    </row>
    <row r="261" spans="6:9" x14ac:dyDescent="0.25">
      <c r="F261" s="79"/>
      <c r="I261" s="123"/>
    </row>
    <row r="262" spans="6:9" x14ac:dyDescent="0.25">
      <c r="F262" s="79"/>
      <c r="I262" s="123"/>
    </row>
    <row r="263" spans="6:9" x14ac:dyDescent="0.25">
      <c r="F263" s="79"/>
      <c r="I263" s="123"/>
    </row>
    <row r="264" spans="6:9" x14ac:dyDescent="0.25">
      <c r="F264" s="79"/>
      <c r="I264" s="123"/>
    </row>
    <row r="265" spans="6:9" x14ac:dyDescent="0.25">
      <c r="F265" s="79"/>
      <c r="I265" s="123"/>
    </row>
    <row r="266" spans="6:9" x14ac:dyDescent="0.25">
      <c r="F266" s="79"/>
      <c r="I266" s="123"/>
    </row>
    <row r="267" spans="6:9" x14ac:dyDescent="0.25">
      <c r="F267" s="79"/>
      <c r="I267" s="123"/>
    </row>
    <row r="268" spans="6:9" x14ac:dyDescent="0.25">
      <c r="F268" s="79"/>
      <c r="I268" s="123"/>
    </row>
    <row r="269" spans="6:9" x14ac:dyDescent="0.25">
      <c r="F269" s="79"/>
      <c r="I269" s="123"/>
    </row>
    <row r="270" spans="6:9" x14ac:dyDescent="0.25">
      <c r="F270" s="79"/>
      <c r="I270" s="123"/>
    </row>
    <row r="271" spans="6:9" x14ac:dyDescent="0.25">
      <c r="F271" s="79"/>
      <c r="I271" s="123"/>
    </row>
    <row r="272" spans="6:9" x14ac:dyDescent="0.25">
      <c r="F272" s="79"/>
      <c r="I272" s="123"/>
    </row>
    <row r="273" spans="6:9" x14ac:dyDescent="0.25">
      <c r="F273" s="79"/>
      <c r="I273" s="123"/>
    </row>
    <row r="274" spans="6:9" x14ac:dyDescent="0.25">
      <c r="F274" s="79"/>
      <c r="I274" s="123"/>
    </row>
    <row r="275" spans="6:9" x14ac:dyDescent="0.25">
      <c r="F275" s="79"/>
      <c r="I275" s="123"/>
    </row>
    <row r="276" spans="6:9" x14ac:dyDescent="0.25">
      <c r="F276" s="79"/>
      <c r="I276" s="123"/>
    </row>
    <row r="277" spans="6:9" x14ac:dyDescent="0.25">
      <c r="F277" s="79"/>
      <c r="I277" s="123"/>
    </row>
    <row r="278" spans="6:9" x14ac:dyDescent="0.25">
      <c r="F278" s="79"/>
      <c r="I278" s="123"/>
    </row>
    <row r="279" spans="6:9" x14ac:dyDescent="0.25">
      <c r="F279" s="79"/>
      <c r="I279" s="123"/>
    </row>
    <row r="280" spans="6:9" x14ac:dyDescent="0.25">
      <c r="F280" s="79"/>
      <c r="I280" s="123"/>
    </row>
    <row r="281" spans="6:9" x14ac:dyDescent="0.25">
      <c r="F281" s="79"/>
      <c r="I281" s="123"/>
    </row>
    <row r="282" spans="6:9" x14ac:dyDescent="0.25">
      <c r="F282" s="79"/>
      <c r="I282" s="123"/>
    </row>
    <row r="283" spans="6:9" x14ac:dyDescent="0.25">
      <c r="F283" s="79"/>
      <c r="I283" s="123"/>
    </row>
    <row r="284" spans="6:9" x14ac:dyDescent="0.25">
      <c r="F284" s="79"/>
      <c r="I284" s="123"/>
    </row>
    <row r="285" spans="6:9" x14ac:dyDescent="0.25">
      <c r="F285" s="79"/>
      <c r="I285" s="123"/>
    </row>
    <row r="286" spans="6:9" x14ac:dyDescent="0.25">
      <c r="F286" s="79"/>
      <c r="I286" s="123"/>
    </row>
    <row r="287" spans="6:9" x14ac:dyDescent="0.25">
      <c r="F287" s="79"/>
      <c r="I287" s="123"/>
    </row>
    <row r="288" spans="6:9" x14ac:dyDescent="0.25">
      <c r="F288" s="79"/>
      <c r="I288" s="123"/>
    </row>
    <row r="289" spans="1:9" x14ac:dyDescent="0.25">
      <c r="F289" s="79"/>
      <c r="I289" s="123"/>
    </row>
    <row r="290" spans="1:9" x14ac:dyDescent="0.25">
      <c r="F290" s="79"/>
      <c r="I290" s="123"/>
    </row>
    <row r="291" spans="1:9" x14ac:dyDescent="0.25">
      <c r="F291" s="79"/>
      <c r="I291" s="123"/>
    </row>
    <row r="292" spans="1:9" x14ac:dyDescent="0.25">
      <c r="F292" s="79"/>
      <c r="I292" s="123"/>
    </row>
    <row r="293" spans="1:9" s="26" customFormat="1" x14ac:dyDescent="0.25">
      <c r="A293" s="59"/>
      <c r="B293" s="59"/>
      <c r="C293" s="123"/>
      <c r="D293" s="60"/>
      <c r="E293" s="123"/>
      <c r="F293" s="79"/>
      <c r="G293" s="123"/>
      <c r="H293" s="123"/>
      <c r="I293" s="123"/>
    </row>
    <row r="294" spans="1:9" x14ac:dyDescent="0.25">
      <c r="F294" s="79"/>
      <c r="I294" s="123"/>
    </row>
    <row r="295" spans="1:9" x14ac:dyDescent="0.25">
      <c r="F295" s="79"/>
      <c r="I295" s="123"/>
    </row>
    <row r="296" spans="1:9" x14ac:dyDescent="0.25">
      <c r="F296" s="79"/>
      <c r="I296" s="123"/>
    </row>
    <row r="297" spans="1:9" x14ac:dyDescent="0.25">
      <c r="F297" s="79"/>
      <c r="I297" s="123"/>
    </row>
    <row r="298" spans="1:9" x14ac:dyDescent="0.25">
      <c r="F298" s="79"/>
      <c r="I298" s="123"/>
    </row>
    <row r="299" spans="1:9" x14ac:dyDescent="0.25">
      <c r="F299" s="79"/>
      <c r="I299" s="123"/>
    </row>
    <row r="300" spans="1:9" x14ac:dyDescent="0.25">
      <c r="F300" s="79"/>
      <c r="I300" s="123"/>
    </row>
    <row r="301" spans="1:9" x14ac:dyDescent="0.25">
      <c r="F301" s="79"/>
      <c r="I301" s="123"/>
    </row>
    <row r="302" spans="1:9" x14ac:dyDescent="0.25">
      <c r="F302" s="79"/>
      <c r="I302" s="123"/>
    </row>
    <row r="303" spans="1:9" x14ac:dyDescent="0.25">
      <c r="F303" s="79"/>
      <c r="I303" s="123"/>
    </row>
    <row r="304" spans="1:9" x14ac:dyDescent="0.25">
      <c r="F304" s="79"/>
      <c r="I304" s="123"/>
    </row>
    <row r="305" spans="3:9" x14ac:dyDescent="0.25">
      <c r="F305" s="79"/>
      <c r="I305" s="123"/>
    </row>
    <row r="306" spans="3:9" x14ac:dyDescent="0.25">
      <c r="F306" s="79"/>
      <c r="I306" s="123"/>
    </row>
    <row r="307" spans="3:9" x14ac:dyDescent="0.25">
      <c r="C307" s="29"/>
      <c r="D307" s="30"/>
      <c r="E307" s="31"/>
      <c r="F307" s="83"/>
      <c r="G307" s="31"/>
      <c r="H307" s="31"/>
      <c r="I307" s="123"/>
    </row>
    <row r="308" spans="3:9" x14ac:dyDescent="0.25">
      <c r="D308" s="62"/>
      <c r="F308" s="79"/>
      <c r="I308" s="123"/>
    </row>
    <row r="309" spans="3:9" x14ac:dyDescent="0.25">
      <c r="F309" s="79"/>
      <c r="I309" s="123"/>
    </row>
    <row r="310" spans="3:9" x14ac:dyDescent="0.25">
      <c r="F310" s="79"/>
      <c r="I310" s="123"/>
    </row>
    <row r="311" spans="3:9" x14ac:dyDescent="0.25">
      <c r="F311" s="79"/>
      <c r="I311" s="123"/>
    </row>
    <row r="312" spans="3:9" x14ac:dyDescent="0.25">
      <c r="F312" s="79"/>
      <c r="I312" s="123"/>
    </row>
    <row r="313" spans="3:9" x14ac:dyDescent="0.25">
      <c r="F313" s="79"/>
      <c r="I313" s="123"/>
    </row>
    <row r="314" spans="3:9" x14ac:dyDescent="0.25">
      <c r="F314" s="79"/>
      <c r="I314" s="123"/>
    </row>
    <row r="315" spans="3:9" x14ac:dyDescent="0.25">
      <c r="F315" s="79"/>
      <c r="I315" s="123"/>
    </row>
    <row r="316" spans="3:9" x14ac:dyDescent="0.25">
      <c r="F316" s="79"/>
      <c r="I316" s="123"/>
    </row>
    <row r="317" spans="3:9" x14ac:dyDescent="0.25">
      <c r="F317" s="79"/>
      <c r="I317" s="123"/>
    </row>
    <row r="318" spans="3:9" x14ac:dyDescent="0.25">
      <c r="F318" s="79"/>
      <c r="I318" s="123"/>
    </row>
    <row r="319" spans="3:9" x14ac:dyDescent="0.25">
      <c r="F319" s="79"/>
      <c r="I319" s="123"/>
    </row>
    <row r="320" spans="3:9" x14ac:dyDescent="0.25">
      <c r="F320" s="79"/>
      <c r="I320" s="123"/>
    </row>
    <row r="321" spans="6:9" x14ac:dyDescent="0.25">
      <c r="F321" s="79"/>
      <c r="I321" s="123"/>
    </row>
    <row r="322" spans="6:9" x14ac:dyDescent="0.25">
      <c r="F322" s="79"/>
      <c r="I322" s="123"/>
    </row>
    <row r="323" spans="6:9" x14ac:dyDescent="0.25">
      <c r="F323" s="79"/>
      <c r="I323" s="123"/>
    </row>
    <row r="324" spans="6:9" x14ac:dyDescent="0.25">
      <c r="F324" s="79"/>
      <c r="I324" s="123"/>
    </row>
    <row r="325" spans="6:9" x14ac:dyDescent="0.25">
      <c r="F325" s="79"/>
      <c r="I325" s="123"/>
    </row>
    <row r="326" spans="6:9" x14ac:dyDescent="0.25">
      <c r="F326" s="79"/>
      <c r="I326" s="123"/>
    </row>
    <row r="327" spans="6:9" x14ac:dyDescent="0.25">
      <c r="F327" s="79"/>
      <c r="I327" s="123"/>
    </row>
    <row r="328" spans="6:9" x14ac:dyDescent="0.25">
      <c r="F328" s="79"/>
      <c r="I328" s="123"/>
    </row>
    <row r="329" spans="6:9" x14ac:dyDescent="0.25">
      <c r="F329" s="79"/>
      <c r="I329" s="123"/>
    </row>
    <row r="330" spans="6:9" x14ac:dyDescent="0.25">
      <c r="F330" s="79"/>
      <c r="I330" s="123"/>
    </row>
    <row r="331" spans="6:9" x14ac:dyDescent="0.25">
      <c r="F331" s="79"/>
      <c r="I331" s="123"/>
    </row>
    <row r="332" spans="6:9" x14ac:dyDescent="0.25">
      <c r="F332" s="79"/>
      <c r="I332" s="123"/>
    </row>
    <row r="333" spans="6:9" x14ac:dyDescent="0.25">
      <c r="F333" s="79"/>
      <c r="I333" s="123"/>
    </row>
    <row r="334" spans="6:9" x14ac:dyDescent="0.25">
      <c r="F334" s="79"/>
      <c r="I334" s="123"/>
    </row>
    <row r="335" spans="6:9" x14ac:dyDescent="0.25">
      <c r="F335" s="79"/>
      <c r="I335" s="123"/>
    </row>
    <row r="336" spans="6:9" x14ac:dyDescent="0.25">
      <c r="F336" s="79"/>
      <c r="I336" s="123"/>
    </row>
    <row r="337" spans="6:9" x14ac:dyDescent="0.25">
      <c r="F337" s="79"/>
      <c r="I337" s="123"/>
    </row>
    <row r="338" spans="6:9" x14ac:dyDescent="0.25">
      <c r="F338" s="79"/>
      <c r="I338" s="123"/>
    </row>
    <row r="339" spans="6:9" x14ac:dyDescent="0.25">
      <c r="F339" s="79"/>
      <c r="I339" s="123"/>
    </row>
    <row r="340" spans="6:9" x14ac:dyDescent="0.25">
      <c r="F340" s="79"/>
      <c r="I340" s="123"/>
    </row>
    <row r="341" spans="6:9" x14ac:dyDescent="0.25">
      <c r="F341" s="79"/>
      <c r="I341" s="123"/>
    </row>
    <row r="342" spans="6:9" x14ac:dyDescent="0.25">
      <c r="F342" s="79"/>
      <c r="I342" s="123"/>
    </row>
    <row r="343" spans="6:9" x14ac:dyDescent="0.25">
      <c r="F343" s="79"/>
      <c r="I343" s="123"/>
    </row>
    <row r="344" spans="6:9" x14ac:dyDescent="0.25">
      <c r="F344" s="79"/>
      <c r="I344" s="123"/>
    </row>
    <row r="345" spans="6:9" x14ac:dyDescent="0.25">
      <c r="F345" s="79"/>
      <c r="I345" s="123"/>
    </row>
    <row r="346" spans="6:9" x14ac:dyDescent="0.25">
      <c r="F346" s="79"/>
      <c r="I346" s="123"/>
    </row>
    <row r="347" spans="6:9" x14ac:dyDescent="0.25">
      <c r="F347" s="79"/>
      <c r="I347" s="123"/>
    </row>
    <row r="348" spans="6:9" x14ac:dyDescent="0.25">
      <c r="F348" s="79"/>
      <c r="I348" s="123"/>
    </row>
    <row r="349" spans="6:9" x14ac:dyDescent="0.25">
      <c r="F349" s="79"/>
      <c r="I349" s="123"/>
    </row>
    <row r="350" spans="6:9" x14ac:dyDescent="0.25">
      <c r="F350" s="79"/>
      <c r="I350" s="123"/>
    </row>
    <row r="351" spans="6:9" x14ac:dyDescent="0.25">
      <c r="F351" s="79"/>
      <c r="I351" s="123"/>
    </row>
    <row r="352" spans="6:9" x14ac:dyDescent="0.25">
      <c r="F352" s="79"/>
      <c r="I352" s="123"/>
    </row>
    <row r="353" spans="6:9" x14ac:dyDescent="0.25">
      <c r="F353" s="79"/>
      <c r="G353" s="123"/>
      <c r="I353" s="123"/>
    </row>
    <row r="354" spans="6:9" x14ac:dyDescent="0.25">
      <c r="F354" s="79"/>
      <c r="G354" s="123"/>
      <c r="I354" s="123"/>
    </row>
    <row r="355" spans="6:9" x14ac:dyDescent="0.25">
      <c r="F355" s="79"/>
      <c r="G355" s="123"/>
      <c r="I355" s="123"/>
    </row>
    <row r="356" spans="6:9" x14ac:dyDescent="0.25">
      <c r="F356" s="79"/>
      <c r="G356" s="123"/>
      <c r="I356" s="123"/>
    </row>
    <row r="357" spans="6:9" x14ac:dyDescent="0.25">
      <c r="F357" s="79"/>
      <c r="G357" s="123"/>
      <c r="I357" s="123"/>
    </row>
    <row r="358" spans="6:9" x14ac:dyDescent="0.25">
      <c r="F358" s="79"/>
      <c r="G358" s="123"/>
      <c r="I358" s="123"/>
    </row>
    <row r="359" spans="6:9" x14ac:dyDescent="0.25">
      <c r="F359" s="79"/>
      <c r="G359" s="123"/>
      <c r="I359" s="123"/>
    </row>
    <row r="360" spans="6:9" x14ac:dyDescent="0.25">
      <c r="F360" s="79"/>
      <c r="G360" s="123"/>
      <c r="I360" s="123"/>
    </row>
    <row r="361" spans="6:9" x14ac:dyDescent="0.25">
      <c r="F361" s="79"/>
      <c r="G361" s="123"/>
      <c r="I361" s="123"/>
    </row>
    <row r="362" spans="6:9" x14ac:dyDescent="0.25">
      <c r="F362" s="79"/>
      <c r="G362" s="123"/>
      <c r="I362" s="123"/>
    </row>
    <row r="363" spans="6:9" x14ac:dyDescent="0.25">
      <c r="F363" s="79"/>
      <c r="G363" s="123"/>
      <c r="I363" s="123"/>
    </row>
    <row r="364" spans="6:9" x14ac:dyDescent="0.25">
      <c r="F364" s="79"/>
      <c r="G364" s="123"/>
      <c r="I364" s="123"/>
    </row>
    <row r="365" spans="6:9" x14ac:dyDescent="0.25">
      <c r="F365" s="79"/>
      <c r="G365" s="123"/>
      <c r="I365" s="123"/>
    </row>
    <row r="366" spans="6:9" x14ac:dyDescent="0.25">
      <c r="F366" s="79"/>
      <c r="G366" s="123"/>
      <c r="I366" s="123"/>
    </row>
    <row r="367" spans="6:9" x14ac:dyDescent="0.25">
      <c r="F367" s="79"/>
      <c r="G367" s="123"/>
      <c r="I367" s="123"/>
    </row>
    <row r="368" spans="6:9" x14ac:dyDescent="0.25">
      <c r="F368" s="79"/>
      <c r="G368" s="123"/>
      <c r="I368" s="123"/>
    </row>
    <row r="369" spans="3:9" x14ac:dyDescent="0.25">
      <c r="F369" s="79"/>
      <c r="G369" s="123"/>
      <c r="I369" s="123"/>
    </row>
    <row r="370" spans="3:9" x14ac:dyDescent="0.25">
      <c r="F370" s="79"/>
      <c r="G370" s="123"/>
      <c r="I370" s="123"/>
    </row>
    <row r="371" spans="3:9" x14ac:dyDescent="0.25">
      <c r="F371" s="79"/>
      <c r="G371" s="123"/>
      <c r="I371" s="123"/>
    </row>
    <row r="372" spans="3:9" x14ac:dyDescent="0.25">
      <c r="F372" s="79"/>
      <c r="G372" s="123"/>
      <c r="I372" s="123"/>
    </row>
    <row r="373" spans="3:9" x14ac:dyDescent="0.25">
      <c r="F373" s="79"/>
      <c r="G373" s="123"/>
      <c r="I373" s="123"/>
    </row>
    <row r="374" spans="3:9" x14ac:dyDescent="0.25">
      <c r="F374" s="79"/>
      <c r="G374" s="123"/>
      <c r="I374" s="123"/>
    </row>
    <row r="375" spans="3:9" x14ac:dyDescent="0.25">
      <c r="F375" s="79"/>
      <c r="G375" s="123"/>
      <c r="I375" s="123"/>
    </row>
    <row r="376" spans="3:9" x14ac:dyDescent="0.25">
      <c r="F376" s="79"/>
      <c r="I376" s="123"/>
    </row>
    <row r="377" spans="3:9" x14ac:dyDescent="0.25">
      <c r="F377" s="79"/>
      <c r="I377" s="123"/>
    </row>
    <row r="378" spans="3:9" x14ac:dyDescent="0.25">
      <c r="F378" s="79"/>
      <c r="I378" s="123"/>
    </row>
    <row r="379" spans="3:9" x14ac:dyDescent="0.25">
      <c r="F379" s="79"/>
      <c r="I379" s="123"/>
    </row>
    <row r="380" spans="3:9" x14ac:dyDescent="0.25">
      <c r="C380" s="123"/>
      <c r="E380" s="123"/>
      <c r="F380" s="79"/>
      <c r="G380" s="123"/>
      <c r="H380" s="123"/>
      <c r="I380" s="123"/>
    </row>
    <row r="381" spans="3:9" x14ac:dyDescent="0.25">
      <c r="C381" s="123"/>
      <c r="E381" s="123"/>
      <c r="F381" s="79"/>
      <c r="G381" s="123"/>
      <c r="H381" s="123"/>
      <c r="I381" s="123"/>
    </row>
    <row r="382" spans="3:9" x14ac:dyDescent="0.25">
      <c r="C382" s="123"/>
      <c r="E382" s="123"/>
      <c r="F382" s="79"/>
      <c r="G382" s="123"/>
      <c r="H382" s="123"/>
      <c r="I382" s="123"/>
    </row>
    <row r="383" spans="3:9" x14ac:dyDescent="0.25">
      <c r="C383" s="123"/>
      <c r="E383" s="123"/>
      <c r="F383" s="79"/>
      <c r="G383" s="123"/>
      <c r="H383" s="123"/>
      <c r="I383" s="123"/>
    </row>
    <row r="384" spans="3:9" x14ac:dyDescent="0.25">
      <c r="C384" s="123"/>
      <c r="E384" s="123"/>
      <c r="F384" s="79"/>
      <c r="G384" s="123"/>
      <c r="H384" s="123"/>
      <c r="I384" s="123"/>
    </row>
    <row r="385" spans="3:9" x14ac:dyDescent="0.25">
      <c r="C385" s="123"/>
      <c r="E385" s="123"/>
      <c r="F385" s="79"/>
      <c r="G385" s="123"/>
      <c r="H385" s="123"/>
      <c r="I385" s="123"/>
    </row>
    <row r="386" spans="3:9" x14ac:dyDescent="0.25">
      <c r="C386" s="123"/>
      <c r="E386" s="123"/>
      <c r="F386" s="79"/>
      <c r="G386" s="123"/>
      <c r="H386" s="123"/>
      <c r="I386" s="123"/>
    </row>
    <row r="387" spans="3:9" x14ac:dyDescent="0.25">
      <c r="C387" s="123"/>
      <c r="E387" s="123"/>
      <c r="F387" s="79"/>
      <c r="G387" s="123"/>
      <c r="H387" s="123"/>
      <c r="I387" s="123"/>
    </row>
    <row r="388" spans="3:9" x14ac:dyDescent="0.25">
      <c r="C388" s="123"/>
      <c r="E388" s="123"/>
      <c r="F388" s="79"/>
      <c r="G388" s="123"/>
      <c r="H388" s="123"/>
      <c r="I388" s="123"/>
    </row>
    <row r="389" spans="3:9" x14ac:dyDescent="0.25">
      <c r="C389" s="123"/>
      <c r="E389" s="123"/>
      <c r="F389" s="79"/>
      <c r="G389" s="123"/>
      <c r="H389" s="123"/>
      <c r="I389" s="123"/>
    </row>
    <row r="390" spans="3:9" x14ac:dyDescent="0.25">
      <c r="C390" s="123"/>
      <c r="E390" s="123"/>
      <c r="F390" s="79"/>
      <c r="G390" s="123"/>
      <c r="H390" s="123"/>
      <c r="I390" s="123"/>
    </row>
    <row r="391" spans="3:9" x14ac:dyDescent="0.25">
      <c r="C391" s="123"/>
      <c r="E391" s="123"/>
      <c r="F391" s="79"/>
      <c r="G391" s="123"/>
      <c r="H391" s="123"/>
      <c r="I391" s="123"/>
    </row>
    <row r="392" spans="3:9" x14ac:dyDescent="0.25">
      <c r="C392" s="123"/>
      <c r="E392" s="123"/>
      <c r="F392" s="79"/>
      <c r="G392" s="123"/>
      <c r="H392" s="123"/>
      <c r="I392" s="123"/>
    </row>
    <row r="393" spans="3:9" x14ac:dyDescent="0.25">
      <c r="C393" s="123"/>
      <c r="E393" s="123"/>
      <c r="F393" s="79"/>
      <c r="G393" s="123"/>
      <c r="H393" s="123"/>
      <c r="I393" s="123"/>
    </row>
    <row r="394" spans="3:9" x14ac:dyDescent="0.25">
      <c r="C394" s="123"/>
      <c r="E394" s="123"/>
      <c r="F394" s="79"/>
      <c r="G394" s="123"/>
      <c r="H394" s="123"/>
      <c r="I394" s="123"/>
    </row>
    <row r="395" spans="3:9" x14ac:dyDescent="0.25">
      <c r="C395" s="123"/>
      <c r="E395" s="123"/>
      <c r="F395" s="79"/>
      <c r="G395" s="123"/>
      <c r="H395" s="123"/>
      <c r="I395" s="123"/>
    </row>
    <row r="396" spans="3:9" x14ac:dyDescent="0.25">
      <c r="C396" s="123"/>
      <c r="E396" s="123"/>
      <c r="F396" s="79"/>
      <c r="G396" s="123"/>
      <c r="H396" s="123"/>
      <c r="I396" s="123"/>
    </row>
    <row r="397" spans="3:9" x14ac:dyDescent="0.25">
      <c r="C397" s="123"/>
      <c r="E397" s="123"/>
      <c r="F397" s="79"/>
      <c r="G397" s="123"/>
      <c r="H397" s="123"/>
      <c r="I397" s="123"/>
    </row>
    <row r="398" spans="3:9" x14ac:dyDescent="0.25">
      <c r="C398" s="123"/>
      <c r="E398" s="123"/>
      <c r="F398" s="79"/>
      <c r="G398" s="123"/>
      <c r="H398" s="123"/>
      <c r="I398" s="123"/>
    </row>
    <row r="399" spans="3:9" x14ac:dyDescent="0.25">
      <c r="C399" s="123"/>
      <c r="E399" s="123"/>
      <c r="F399" s="79"/>
      <c r="G399" s="123"/>
      <c r="H399" s="123"/>
      <c r="I399" s="123"/>
    </row>
    <row r="400" spans="3:9" x14ac:dyDescent="0.25">
      <c r="C400" s="123"/>
      <c r="E400" s="123"/>
      <c r="F400" s="79"/>
      <c r="G400" s="123"/>
      <c r="H400" s="123"/>
      <c r="I400" s="123"/>
    </row>
    <row r="401" spans="1:10" x14ac:dyDescent="0.25">
      <c r="C401" s="123"/>
      <c r="E401" s="123"/>
      <c r="F401" s="79"/>
      <c r="G401" s="123"/>
      <c r="H401" s="123"/>
      <c r="I401" s="123"/>
    </row>
    <row r="402" spans="1:10" x14ac:dyDescent="0.25">
      <c r="C402" s="123"/>
      <c r="E402" s="123"/>
      <c r="F402" s="79"/>
      <c r="G402" s="123"/>
      <c r="H402" s="123"/>
      <c r="I402" s="123"/>
    </row>
    <row r="403" spans="1:10" x14ac:dyDescent="0.25">
      <c r="C403" s="123"/>
      <c r="E403" s="123"/>
      <c r="F403" s="79"/>
      <c r="G403" s="123"/>
      <c r="H403" s="123"/>
      <c r="I403" s="123"/>
    </row>
    <row r="404" spans="1:10" x14ac:dyDescent="0.25">
      <c r="C404" s="123"/>
      <c r="E404" s="123"/>
      <c r="F404" s="79"/>
      <c r="G404" s="123"/>
      <c r="H404" s="123"/>
      <c r="I404" s="123"/>
    </row>
    <row r="405" spans="1:10" x14ac:dyDescent="0.25">
      <c r="C405" s="123"/>
      <c r="E405" s="123"/>
      <c r="F405" s="79"/>
      <c r="G405" s="123"/>
      <c r="H405" s="123"/>
      <c r="I405" s="123"/>
    </row>
    <row r="406" spans="1:10" x14ac:dyDescent="0.25">
      <c r="C406" s="123"/>
      <c r="E406" s="123"/>
      <c r="F406" s="79"/>
      <c r="G406" s="123"/>
      <c r="H406" s="123"/>
      <c r="I406" s="123"/>
    </row>
    <row r="407" spans="1:10" x14ac:dyDescent="0.25">
      <c r="C407" s="123"/>
      <c r="E407" s="123"/>
      <c r="F407" s="79"/>
      <c r="G407" s="123"/>
      <c r="H407" s="123"/>
      <c r="I407" s="123"/>
    </row>
    <row r="408" spans="1:10" x14ac:dyDescent="0.25">
      <c r="C408" s="123"/>
      <c r="E408" s="123"/>
      <c r="F408" s="79"/>
      <c r="G408" s="123"/>
      <c r="H408" s="123"/>
      <c r="I408" s="123"/>
    </row>
    <row r="409" spans="1:10" x14ac:dyDescent="0.25">
      <c r="C409" s="123"/>
      <c r="E409" s="123"/>
      <c r="F409" s="79"/>
      <c r="G409" s="123"/>
      <c r="H409" s="123"/>
      <c r="I409" s="123"/>
    </row>
    <row r="410" spans="1:10" x14ac:dyDescent="0.25">
      <c r="A410" s="123"/>
      <c r="B410" s="123"/>
      <c r="C410" s="123"/>
      <c r="E410" s="123"/>
      <c r="F410" s="79"/>
      <c r="G410" s="123"/>
      <c r="H410" s="131"/>
      <c r="I410" s="123"/>
      <c r="J410" s="118"/>
    </row>
    <row r="411" spans="1:10" x14ac:dyDescent="0.25">
      <c r="C411" s="123"/>
      <c r="E411" s="123"/>
      <c r="F411" s="79"/>
      <c r="G411" s="123"/>
      <c r="I411" s="123"/>
    </row>
    <row r="412" spans="1:10" x14ac:dyDescent="0.25">
      <c r="C412" s="123"/>
      <c r="E412" s="123"/>
      <c r="F412" s="79"/>
      <c r="G412" s="123"/>
      <c r="I412" s="123"/>
    </row>
    <row r="413" spans="1:10" x14ac:dyDescent="0.25">
      <c r="C413" s="123"/>
      <c r="E413" s="123"/>
      <c r="F413" s="79"/>
      <c r="G413" s="123"/>
      <c r="I413" s="123"/>
    </row>
    <row r="414" spans="1:10" x14ac:dyDescent="0.25">
      <c r="C414" s="123"/>
      <c r="E414" s="123"/>
      <c r="F414" s="79"/>
      <c r="G414" s="123"/>
      <c r="I414" s="123"/>
    </row>
    <row r="415" spans="1:10" x14ac:dyDescent="0.25">
      <c r="C415" s="123"/>
      <c r="E415" s="123"/>
      <c r="F415" s="79"/>
      <c r="G415" s="123"/>
      <c r="I415" s="123"/>
    </row>
    <row r="416" spans="1:10" x14ac:dyDescent="0.25">
      <c r="C416" s="123"/>
      <c r="E416" s="123"/>
      <c r="F416" s="79"/>
      <c r="G416" s="123"/>
      <c r="I416" s="123"/>
    </row>
    <row r="417" spans="3:9" x14ac:dyDescent="0.25">
      <c r="C417" s="123"/>
      <c r="E417" s="123"/>
      <c r="F417" s="79"/>
      <c r="G417" s="123"/>
      <c r="I417" s="123"/>
    </row>
    <row r="418" spans="3:9" x14ac:dyDescent="0.25">
      <c r="C418" s="123"/>
      <c r="E418" s="123"/>
      <c r="F418" s="79"/>
      <c r="G418" s="123"/>
      <c r="I418" s="123"/>
    </row>
    <row r="419" spans="3:9" x14ac:dyDescent="0.25">
      <c r="C419" s="123"/>
      <c r="E419" s="123"/>
      <c r="F419" s="79"/>
      <c r="G419" s="123"/>
      <c r="I419" s="123"/>
    </row>
    <row r="420" spans="3:9" x14ac:dyDescent="0.25">
      <c r="C420" s="123"/>
      <c r="E420" s="123"/>
      <c r="F420" s="79"/>
      <c r="G420" s="123"/>
      <c r="I420" s="123"/>
    </row>
    <row r="421" spans="3:9" x14ac:dyDescent="0.25">
      <c r="C421" s="123"/>
      <c r="E421" s="123"/>
      <c r="F421" s="79"/>
      <c r="G421" s="123"/>
      <c r="I421" s="123"/>
    </row>
    <row r="422" spans="3:9" x14ac:dyDescent="0.25">
      <c r="C422" s="123"/>
      <c r="E422" s="123"/>
      <c r="F422" s="79"/>
      <c r="G422" s="123"/>
      <c r="I422" s="123"/>
    </row>
    <row r="423" spans="3:9" x14ac:dyDescent="0.25">
      <c r="C423" s="123"/>
      <c r="E423" s="123"/>
      <c r="F423" s="79"/>
      <c r="G423" s="123"/>
      <c r="I423" s="123"/>
    </row>
    <row r="424" spans="3:9" x14ac:dyDescent="0.25">
      <c r="C424" s="123"/>
      <c r="E424" s="123"/>
      <c r="F424" s="79"/>
      <c r="G424" s="123"/>
      <c r="I424" s="123"/>
    </row>
    <row r="425" spans="3:9" x14ac:dyDescent="0.25">
      <c r="C425" s="123"/>
      <c r="E425" s="123"/>
      <c r="F425" s="79"/>
      <c r="G425" s="123"/>
      <c r="I425" s="123"/>
    </row>
    <row r="426" spans="3:9" x14ac:dyDescent="0.25">
      <c r="C426" s="123"/>
      <c r="E426" s="123"/>
      <c r="F426" s="79"/>
      <c r="G426" s="123"/>
      <c r="I426" s="123"/>
    </row>
    <row r="427" spans="3:9" x14ac:dyDescent="0.25">
      <c r="C427" s="123"/>
      <c r="E427" s="123"/>
      <c r="F427" s="79"/>
      <c r="G427" s="123"/>
      <c r="I427" s="123"/>
    </row>
    <row r="428" spans="3:9" x14ac:dyDescent="0.25">
      <c r="C428" s="123"/>
      <c r="E428" s="123"/>
      <c r="F428" s="79"/>
      <c r="G428" s="123"/>
      <c r="I428" s="123"/>
    </row>
    <row r="429" spans="3:9" x14ac:dyDescent="0.25">
      <c r="F429" s="79"/>
      <c r="I429" s="123"/>
    </row>
    <row r="430" spans="3:9" x14ac:dyDescent="0.25">
      <c r="F430" s="79"/>
      <c r="I430" s="123"/>
    </row>
    <row r="431" spans="3:9" x14ac:dyDescent="0.25">
      <c r="F431" s="79"/>
      <c r="I431" s="123"/>
    </row>
    <row r="432" spans="3:9" x14ac:dyDescent="0.25">
      <c r="F432" s="79"/>
      <c r="I432" s="123"/>
    </row>
    <row r="433" spans="1:9" x14ac:dyDescent="0.25">
      <c r="F433" s="79"/>
      <c r="I433" s="123"/>
    </row>
    <row r="434" spans="1:9" x14ac:dyDescent="0.25">
      <c r="F434" s="79"/>
      <c r="I434" s="123"/>
    </row>
    <row r="435" spans="1:9" x14ac:dyDescent="0.25">
      <c r="F435" s="79"/>
      <c r="I435" s="123"/>
    </row>
    <row r="436" spans="1:9" x14ac:dyDescent="0.25">
      <c r="F436" s="79"/>
      <c r="I436" s="123"/>
    </row>
    <row r="437" spans="1:9" s="22" customFormat="1" x14ac:dyDescent="0.25">
      <c r="A437" s="59"/>
      <c r="B437" s="59"/>
      <c r="C437" s="123"/>
      <c r="D437" s="60"/>
      <c r="E437" s="123"/>
      <c r="F437" s="79"/>
      <c r="G437" s="123"/>
      <c r="H437" s="123"/>
      <c r="I437" s="123"/>
    </row>
    <row r="438" spans="1:9" x14ac:dyDescent="0.25">
      <c r="F438" s="79"/>
      <c r="I438" s="123"/>
    </row>
    <row r="439" spans="1:9" x14ac:dyDescent="0.25">
      <c r="F439" s="79"/>
      <c r="I439" s="123"/>
    </row>
    <row r="440" spans="1:9" x14ac:dyDescent="0.25">
      <c r="F440" s="79"/>
      <c r="I440" s="123"/>
    </row>
    <row r="441" spans="1:9" x14ac:dyDescent="0.25">
      <c r="F441" s="79"/>
      <c r="I441" s="123"/>
    </row>
    <row r="442" spans="1:9" x14ac:dyDescent="0.25">
      <c r="F442" s="79"/>
      <c r="I442" s="123"/>
    </row>
    <row r="443" spans="1:9" x14ac:dyDescent="0.25">
      <c r="F443" s="79"/>
      <c r="I443" s="123"/>
    </row>
    <row r="444" spans="1:9" x14ac:dyDescent="0.25">
      <c r="F444" s="79"/>
      <c r="I444" s="123"/>
    </row>
    <row r="445" spans="1:9" x14ac:dyDescent="0.25">
      <c r="F445" s="79"/>
      <c r="I445" s="123"/>
    </row>
    <row r="446" spans="1:9" x14ac:dyDescent="0.25">
      <c r="F446" s="79"/>
      <c r="I446" s="123"/>
    </row>
    <row r="447" spans="1:9" x14ac:dyDescent="0.25">
      <c r="F447" s="79"/>
      <c r="I447" s="123"/>
    </row>
    <row r="448" spans="1:9" x14ac:dyDescent="0.25">
      <c r="F448" s="79"/>
      <c r="I448" s="123"/>
    </row>
    <row r="449" spans="3:9" x14ac:dyDescent="0.25">
      <c r="F449" s="79"/>
      <c r="I449" s="123"/>
    </row>
    <row r="450" spans="3:9" x14ac:dyDescent="0.25">
      <c r="F450" s="79"/>
      <c r="I450" s="123"/>
    </row>
    <row r="451" spans="3:9" x14ac:dyDescent="0.25">
      <c r="F451" s="79"/>
      <c r="I451" s="123"/>
    </row>
    <row r="452" spans="3:9" x14ac:dyDescent="0.25">
      <c r="F452" s="79"/>
      <c r="I452" s="123"/>
    </row>
    <row r="453" spans="3:9" x14ac:dyDescent="0.25">
      <c r="F453" s="79"/>
      <c r="I453" s="123"/>
    </row>
    <row r="454" spans="3:9" x14ac:dyDescent="0.25">
      <c r="C454" s="52"/>
      <c r="D454" s="50"/>
      <c r="E454" s="51"/>
      <c r="F454" s="81"/>
      <c r="G454" s="51"/>
      <c r="H454" s="51"/>
      <c r="I454" s="123"/>
    </row>
    <row r="455" spans="3:9" x14ac:dyDescent="0.25">
      <c r="D455" s="62"/>
      <c r="F455" s="79"/>
      <c r="I455" s="123"/>
    </row>
    <row r="456" spans="3:9" x14ac:dyDescent="0.25">
      <c r="F456" s="79"/>
      <c r="I456" s="123"/>
    </row>
    <row r="457" spans="3:9" x14ac:dyDescent="0.25">
      <c r="F457" s="79"/>
      <c r="I457" s="123"/>
    </row>
    <row r="458" spans="3:9" x14ac:dyDescent="0.25">
      <c r="F458" s="79"/>
      <c r="I458" s="123"/>
    </row>
    <row r="459" spans="3:9" x14ac:dyDescent="0.25">
      <c r="F459" s="79"/>
      <c r="I459" s="123"/>
    </row>
    <row r="460" spans="3:9" x14ac:dyDescent="0.25">
      <c r="F460" s="79"/>
      <c r="I460" s="123"/>
    </row>
    <row r="461" spans="3:9" x14ac:dyDescent="0.25">
      <c r="F461" s="79"/>
      <c r="I461" s="123"/>
    </row>
    <row r="462" spans="3:9" x14ac:dyDescent="0.25">
      <c r="F462" s="79"/>
      <c r="I462" s="123"/>
    </row>
    <row r="463" spans="3:9" x14ac:dyDescent="0.25">
      <c r="F463" s="79"/>
      <c r="I463" s="123"/>
    </row>
    <row r="464" spans="3:9" x14ac:dyDescent="0.25">
      <c r="F464" s="79"/>
      <c r="I464" s="123"/>
    </row>
    <row r="465" spans="3:9" x14ac:dyDescent="0.25">
      <c r="F465" s="79"/>
      <c r="I465" s="123"/>
    </row>
    <row r="466" spans="3:9" x14ac:dyDescent="0.25">
      <c r="F466" s="79"/>
      <c r="I466" s="123"/>
    </row>
    <row r="467" spans="3:9" x14ac:dyDescent="0.25">
      <c r="C467" s="123"/>
      <c r="E467" s="123"/>
      <c r="F467" s="79"/>
      <c r="G467" s="123"/>
      <c r="H467" s="123"/>
      <c r="I467" s="123"/>
    </row>
    <row r="468" spans="3:9" x14ac:dyDescent="0.25">
      <c r="C468" s="123"/>
      <c r="E468" s="123"/>
      <c r="F468" s="79"/>
      <c r="G468" s="123"/>
      <c r="H468" s="123"/>
      <c r="I468" s="123"/>
    </row>
    <row r="469" spans="3:9" x14ac:dyDescent="0.25">
      <c r="C469" s="123"/>
      <c r="E469" s="123"/>
      <c r="F469" s="79"/>
      <c r="G469" s="123"/>
      <c r="H469" s="123"/>
      <c r="I469" s="123"/>
    </row>
    <row r="470" spans="3:9" x14ac:dyDescent="0.25">
      <c r="C470" s="123"/>
      <c r="E470" s="123"/>
      <c r="F470" s="79"/>
      <c r="G470" s="123"/>
      <c r="H470" s="123"/>
      <c r="I470" s="123"/>
    </row>
    <row r="471" spans="3:9" x14ac:dyDescent="0.25">
      <c r="C471" s="123"/>
      <c r="E471" s="123"/>
      <c r="F471" s="79"/>
      <c r="G471" s="123"/>
      <c r="H471" s="123"/>
      <c r="I471" s="123"/>
    </row>
    <row r="472" spans="3:9" x14ac:dyDescent="0.25">
      <c r="C472" s="123"/>
      <c r="E472" s="123"/>
      <c r="F472" s="79"/>
      <c r="G472" s="123"/>
      <c r="H472" s="123"/>
      <c r="I472" s="123"/>
    </row>
    <row r="473" spans="3:9" x14ac:dyDescent="0.25">
      <c r="C473" s="123"/>
      <c r="E473" s="123"/>
      <c r="F473" s="79"/>
      <c r="G473" s="123"/>
      <c r="H473" s="123"/>
      <c r="I473" s="123"/>
    </row>
    <row r="474" spans="3:9" x14ac:dyDescent="0.25">
      <c r="C474" s="123"/>
      <c r="E474" s="123"/>
      <c r="F474" s="79"/>
      <c r="G474" s="123"/>
      <c r="H474" s="123"/>
      <c r="I474" s="123"/>
    </row>
    <row r="475" spans="3:9" x14ac:dyDescent="0.25">
      <c r="C475" s="123"/>
      <c r="E475" s="123"/>
      <c r="F475" s="79"/>
      <c r="G475" s="123"/>
      <c r="H475" s="123"/>
      <c r="I475" s="123"/>
    </row>
    <row r="476" spans="3:9" x14ac:dyDescent="0.25">
      <c r="C476" s="123"/>
      <c r="E476" s="123"/>
      <c r="F476" s="79"/>
      <c r="G476" s="123"/>
      <c r="H476" s="123"/>
      <c r="I476" s="123"/>
    </row>
    <row r="477" spans="3:9" x14ac:dyDescent="0.25">
      <c r="C477" s="123"/>
      <c r="E477" s="123"/>
      <c r="F477" s="79"/>
      <c r="G477" s="123"/>
      <c r="H477" s="123"/>
      <c r="I477" s="123"/>
    </row>
    <row r="478" spans="3:9" x14ac:dyDescent="0.25">
      <c r="C478" s="123"/>
      <c r="E478" s="123"/>
      <c r="F478" s="79"/>
      <c r="G478" s="123"/>
      <c r="H478" s="123"/>
      <c r="I478" s="123"/>
    </row>
    <row r="479" spans="3:9" x14ac:dyDescent="0.25">
      <c r="C479" s="123"/>
      <c r="E479" s="123"/>
      <c r="F479" s="79"/>
      <c r="G479" s="123"/>
      <c r="H479" s="123"/>
      <c r="I479" s="123"/>
    </row>
    <row r="480" spans="3:9" x14ac:dyDescent="0.25">
      <c r="C480" s="123"/>
      <c r="E480" s="123"/>
      <c r="F480" s="79"/>
      <c r="G480" s="123"/>
      <c r="H480" s="123"/>
      <c r="I480" s="123"/>
    </row>
    <row r="481" spans="3:9" x14ac:dyDescent="0.25">
      <c r="C481" s="123"/>
      <c r="E481" s="123"/>
      <c r="F481" s="79"/>
      <c r="G481" s="123"/>
      <c r="H481" s="123"/>
      <c r="I481" s="123"/>
    </row>
    <row r="482" spans="3:9" x14ac:dyDescent="0.25">
      <c r="C482" s="123"/>
      <c r="E482" s="123"/>
      <c r="F482" s="79"/>
      <c r="G482" s="123"/>
      <c r="H482" s="123"/>
      <c r="I482" s="123"/>
    </row>
    <row r="483" spans="3:9" x14ac:dyDescent="0.25">
      <c r="C483" s="123"/>
      <c r="E483" s="123"/>
      <c r="F483" s="79"/>
      <c r="G483" s="123"/>
      <c r="H483" s="123"/>
      <c r="I483" s="123"/>
    </row>
    <row r="484" spans="3:9" x14ac:dyDescent="0.25">
      <c r="C484" s="123"/>
      <c r="E484" s="123"/>
      <c r="F484" s="79"/>
      <c r="G484" s="123"/>
      <c r="H484" s="123"/>
      <c r="I484" s="123"/>
    </row>
    <row r="485" spans="3:9" x14ac:dyDescent="0.25">
      <c r="C485" s="123"/>
      <c r="E485" s="123"/>
      <c r="F485" s="79"/>
      <c r="G485" s="123"/>
      <c r="H485" s="123"/>
      <c r="I485" s="123"/>
    </row>
    <row r="486" spans="3:9" x14ac:dyDescent="0.25">
      <c r="C486" s="123"/>
      <c r="E486" s="123"/>
      <c r="F486" s="79"/>
      <c r="G486" s="123"/>
      <c r="H486" s="123"/>
      <c r="I486" s="123"/>
    </row>
    <row r="487" spans="3:9" x14ac:dyDescent="0.25">
      <c r="C487" s="123"/>
      <c r="E487" s="123"/>
      <c r="F487" s="79"/>
      <c r="G487" s="123"/>
      <c r="H487" s="123"/>
      <c r="I487" s="123"/>
    </row>
    <row r="488" spans="3:9" x14ac:dyDescent="0.25">
      <c r="C488" s="123"/>
      <c r="E488" s="123"/>
      <c r="F488" s="79"/>
      <c r="G488" s="123"/>
      <c r="H488" s="123"/>
      <c r="I488" s="123"/>
    </row>
    <row r="489" spans="3:9" x14ac:dyDescent="0.25">
      <c r="C489" s="123"/>
      <c r="E489" s="123"/>
      <c r="F489" s="79"/>
      <c r="G489" s="123"/>
      <c r="H489" s="123"/>
      <c r="I489" s="123"/>
    </row>
    <row r="490" spans="3:9" x14ac:dyDescent="0.25">
      <c r="C490" s="123"/>
      <c r="E490" s="123"/>
      <c r="F490" s="79"/>
      <c r="G490" s="123"/>
      <c r="H490" s="123"/>
      <c r="I490" s="123"/>
    </row>
    <row r="491" spans="3:9" x14ac:dyDescent="0.25">
      <c r="C491" s="123"/>
      <c r="E491" s="123"/>
      <c r="F491" s="79"/>
      <c r="G491" s="123"/>
      <c r="H491" s="123"/>
      <c r="I491" s="123"/>
    </row>
    <row r="492" spans="3:9" x14ac:dyDescent="0.25">
      <c r="C492" s="123"/>
      <c r="E492" s="123"/>
      <c r="F492" s="79"/>
      <c r="G492" s="123"/>
      <c r="H492" s="123"/>
      <c r="I492" s="123"/>
    </row>
    <row r="493" spans="3:9" x14ac:dyDescent="0.25">
      <c r="C493" s="123"/>
      <c r="E493" s="123"/>
      <c r="F493" s="79"/>
      <c r="G493" s="123"/>
      <c r="H493" s="123"/>
      <c r="I493" s="123"/>
    </row>
    <row r="494" spans="3:9" x14ac:dyDescent="0.25">
      <c r="C494" s="123"/>
      <c r="E494" s="123"/>
      <c r="F494" s="79"/>
      <c r="G494" s="123"/>
      <c r="H494" s="123"/>
      <c r="I494" s="123"/>
    </row>
    <row r="495" spans="3:9" x14ac:dyDescent="0.25">
      <c r="C495" s="123"/>
      <c r="E495" s="123"/>
      <c r="F495" s="79"/>
      <c r="G495" s="123"/>
      <c r="H495" s="123"/>
      <c r="I495" s="123"/>
    </row>
    <row r="496" spans="3:9" x14ac:dyDescent="0.25">
      <c r="C496" s="123"/>
      <c r="E496" s="123"/>
      <c r="F496" s="79"/>
      <c r="G496" s="123"/>
      <c r="H496" s="123"/>
      <c r="I496" s="123"/>
    </row>
    <row r="497" spans="3:9" x14ac:dyDescent="0.25">
      <c r="C497" s="123"/>
      <c r="E497" s="123"/>
      <c r="F497" s="79"/>
      <c r="G497" s="123"/>
      <c r="H497" s="123"/>
      <c r="I497" s="123"/>
    </row>
    <row r="498" spans="3:9" x14ac:dyDescent="0.25">
      <c r="C498" s="123"/>
      <c r="E498" s="123"/>
      <c r="F498" s="79"/>
      <c r="G498" s="123"/>
      <c r="H498" s="123"/>
      <c r="I498" s="123"/>
    </row>
    <row r="499" spans="3:9" x14ac:dyDescent="0.25">
      <c r="C499" s="123"/>
      <c r="E499" s="123"/>
      <c r="F499" s="79"/>
      <c r="G499" s="123"/>
      <c r="H499" s="123"/>
      <c r="I499" s="123"/>
    </row>
    <row r="500" spans="3:9" x14ac:dyDescent="0.25">
      <c r="C500" s="123"/>
      <c r="E500" s="123"/>
      <c r="F500" s="79"/>
      <c r="G500" s="123"/>
      <c r="H500" s="123"/>
      <c r="I500" s="123"/>
    </row>
    <row r="501" spans="3:9" x14ac:dyDescent="0.25">
      <c r="C501" s="123"/>
      <c r="E501" s="123"/>
      <c r="F501" s="79"/>
      <c r="G501" s="123"/>
      <c r="H501" s="123"/>
      <c r="I501" s="123"/>
    </row>
    <row r="502" spans="3:9" x14ac:dyDescent="0.25">
      <c r="C502" s="123"/>
      <c r="E502" s="123"/>
      <c r="F502" s="79"/>
      <c r="G502" s="123"/>
      <c r="H502" s="123"/>
      <c r="I502" s="123"/>
    </row>
    <row r="503" spans="3:9" x14ac:dyDescent="0.25">
      <c r="C503" s="123"/>
      <c r="E503" s="123"/>
      <c r="F503" s="79"/>
      <c r="G503" s="123"/>
      <c r="H503" s="123"/>
      <c r="I503" s="123"/>
    </row>
    <row r="504" spans="3:9" x14ac:dyDescent="0.25">
      <c r="C504" s="123"/>
      <c r="E504" s="123"/>
      <c r="F504" s="79"/>
      <c r="G504" s="123"/>
      <c r="H504" s="123"/>
      <c r="I504" s="123"/>
    </row>
    <row r="505" spans="3:9" x14ac:dyDescent="0.25">
      <c r="C505" s="123"/>
      <c r="E505" s="123"/>
      <c r="F505" s="79"/>
      <c r="G505" s="123"/>
      <c r="H505" s="123"/>
      <c r="I505" s="123"/>
    </row>
    <row r="506" spans="3:9" x14ac:dyDescent="0.25">
      <c r="C506" s="123"/>
      <c r="E506" s="123"/>
      <c r="F506" s="79"/>
      <c r="G506" s="123"/>
      <c r="H506" s="123"/>
      <c r="I506" s="123"/>
    </row>
    <row r="507" spans="3:9" x14ac:dyDescent="0.25">
      <c r="C507" s="123"/>
      <c r="E507" s="123"/>
      <c r="F507" s="79"/>
      <c r="G507" s="123"/>
      <c r="H507" s="123"/>
      <c r="I507" s="123"/>
    </row>
    <row r="508" spans="3:9" x14ac:dyDescent="0.25">
      <c r="C508" s="123"/>
      <c r="E508" s="123"/>
      <c r="F508" s="79"/>
      <c r="G508" s="123"/>
      <c r="H508" s="123"/>
      <c r="I508" s="123"/>
    </row>
    <row r="509" spans="3:9" x14ac:dyDescent="0.25">
      <c r="C509" s="123"/>
      <c r="E509" s="123"/>
      <c r="F509" s="79"/>
      <c r="G509" s="123"/>
      <c r="H509" s="123"/>
      <c r="I509" s="123"/>
    </row>
    <row r="510" spans="3:9" x14ac:dyDescent="0.25">
      <c r="C510" s="123"/>
      <c r="E510" s="123"/>
      <c r="F510" s="79"/>
      <c r="G510" s="123"/>
      <c r="H510" s="123"/>
      <c r="I510" s="123"/>
    </row>
    <row r="511" spans="3:9" x14ac:dyDescent="0.25">
      <c r="C511" s="123"/>
      <c r="E511" s="123"/>
      <c r="F511" s="79"/>
      <c r="G511" s="123"/>
      <c r="H511" s="123"/>
      <c r="I511" s="123"/>
    </row>
    <row r="512" spans="3:9" x14ac:dyDescent="0.25">
      <c r="C512" s="123"/>
      <c r="E512" s="123"/>
      <c r="F512" s="79"/>
      <c r="G512" s="123"/>
      <c r="H512" s="123"/>
      <c r="I512" s="123"/>
    </row>
    <row r="513" spans="3:9" x14ac:dyDescent="0.25">
      <c r="C513" s="123"/>
      <c r="E513" s="123"/>
      <c r="F513" s="79"/>
      <c r="G513" s="123"/>
      <c r="H513" s="123"/>
      <c r="I513" s="123"/>
    </row>
    <row r="514" spans="3:9" x14ac:dyDescent="0.25">
      <c r="C514" s="123"/>
      <c r="E514" s="123"/>
      <c r="F514" s="79"/>
      <c r="G514" s="123"/>
      <c r="H514" s="123"/>
      <c r="I514" s="123"/>
    </row>
    <row r="515" spans="3:9" x14ac:dyDescent="0.25">
      <c r="C515" s="123"/>
      <c r="E515" s="123"/>
      <c r="F515" s="79"/>
      <c r="G515" s="123"/>
      <c r="H515" s="123"/>
      <c r="I515" s="123"/>
    </row>
    <row r="516" spans="3:9" x14ac:dyDescent="0.25">
      <c r="F516" s="79"/>
      <c r="I516" s="123"/>
    </row>
    <row r="517" spans="3:9" x14ac:dyDescent="0.25">
      <c r="F517" s="79"/>
      <c r="I517" s="123"/>
    </row>
    <row r="518" spans="3:9" x14ac:dyDescent="0.25">
      <c r="F518" s="79"/>
      <c r="I518" s="123"/>
    </row>
    <row r="519" spans="3:9" x14ac:dyDescent="0.25">
      <c r="F519" s="79"/>
      <c r="I519" s="123"/>
    </row>
    <row r="520" spans="3:9" x14ac:dyDescent="0.25">
      <c r="F520" s="79"/>
      <c r="I520" s="123"/>
    </row>
    <row r="521" spans="3:9" x14ac:dyDescent="0.25">
      <c r="F521" s="79"/>
      <c r="I521" s="123"/>
    </row>
    <row r="522" spans="3:9" x14ac:dyDescent="0.25">
      <c r="F522" s="79"/>
      <c r="I522" s="123"/>
    </row>
    <row r="523" spans="3:9" x14ac:dyDescent="0.25">
      <c r="F523" s="79"/>
      <c r="I523" s="123"/>
    </row>
    <row r="524" spans="3:9" x14ac:dyDescent="0.25">
      <c r="F524" s="79"/>
      <c r="I524" s="123"/>
    </row>
    <row r="525" spans="3:9" x14ac:dyDescent="0.25">
      <c r="F525" s="79"/>
      <c r="I525" s="123"/>
    </row>
    <row r="526" spans="3:9" x14ac:dyDescent="0.25">
      <c r="F526" s="79"/>
      <c r="I526" s="123"/>
    </row>
    <row r="527" spans="3:9" x14ac:dyDescent="0.25">
      <c r="F527" s="79"/>
      <c r="I527" s="123"/>
    </row>
    <row r="528" spans="3:9" x14ac:dyDescent="0.25">
      <c r="F528" s="79"/>
      <c r="I528" s="123"/>
    </row>
    <row r="529" spans="6:9" x14ac:dyDescent="0.25">
      <c r="F529" s="79"/>
      <c r="I529" s="123"/>
    </row>
    <row r="530" spans="6:9" x14ac:dyDescent="0.25">
      <c r="F530" s="79"/>
      <c r="I530" s="123"/>
    </row>
    <row r="531" spans="6:9" x14ac:dyDescent="0.25">
      <c r="F531" s="79"/>
      <c r="I531" s="123"/>
    </row>
    <row r="532" spans="6:9" x14ac:dyDescent="0.25">
      <c r="F532" s="79"/>
      <c r="I532" s="123"/>
    </row>
    <row r="533" spans="6:9" x14ac:dyDescent="0.25">
      <c r="F533" s="79"/>
      <c r="I533" s="123"/>
    </row>
    <row r="534" spans="6:9" x14ac:dyDescent="0.25">
      <c r="F534" s="79"/>
      <c r="I534" s="123"/>
    </row>
    <row r="535" spans="6:9" x14ac:dyDescent="0.25">
      <c r="F535" s="79"/>
      <c r="I535" s="123"/>
    </row>
    <row r="536" spans="6:9" x14ac:dyDescent="0.25">
      <c r="F536" s="79"/>
      <c r="I536" s="123"/>
    </row>
    <row r="537" spans="6:9" x14ac:dyDescent="0.25">
      <c r="F537" s="79"/>
      <c r="I537" s="123"/>
    </row>
    <row r="538" spans="6:9" x14ac:dyDescent="0.25">
      <c r="F538" s="79"/>
      <c r="I538" s="123"/>
    </row>
    <row r="539" spans="6:9" x14ac:dyDescent="0.25">
      <c r="F539" s="79"/>
      <c r="I539" s="123"/>
    </row>
    <row r="540" spans="6:9" x14ac:dyDescent="0.25">
      <c r="F540" s="79"/>
      <c r="I540" s="123"/>
    </row>
    <row r="541" spans="6:9" x14ac:dyDescent="0.25">
      <c r="F541" s="79"/>
      <c r="I541" s="123"/>
    </row>
    <row r="542" spans="6:9" x14ac:dyDescent="0.25">
      <c r="F542" s="79"/>
      <c r="I542" s="123"/>
    </row>
    <row r="543" spans="6:9" x14ac:dyDescent="0.25">
      <c r="F543" s="79"/>
      <c r="I543" s="123"/>
    </row>
    <row r="544" spans="6:9" x14ac:dyDescent="0.25">
      <c r="F544" s="79"/>
      <c r="I544" s="123"/>
    </row>
    <row r="545" spans="3:9" x14ac:dyDescent="0.25">
      <c r="F545" s="79"/>
      <c r="I545" s="123"/>
    </row>
    <row r="546" spans="3:9" x14ac:dyDescent="0.25">
      <c r="F546" s="79"/>
      <c r="I546" s="123"/>
    </row>
    <row r="547" spans="3:9" x14ac:dyDescent="0.25">
      <c r="F547" s="79"/>
      <c r="I547" s="123"/>
    </row>
    <row r="548" spans="3:9" x14ac:dyDescent="0.25">
      <c r="F548" s="79"/>
      <c r="I548" s="123"/>
    </row>
    <row r="549" spans="3:9" x14ac:dyDescent="0.25">
      <c r="F549" s="79"/>
      <c r="I549" s="123"/>
    </row>
    <row r="550" spans="3:9" x14ac:dyDescent="0.25">
      <c r="F550" s="79"/>
      <c r="I550" s="123"/>
    </row>
    <row r="551" spans="3:9" x14ac:dyDescent="0.25">
      <c r="F551" s="79"/>
      <c r="I551" s="123"/>
    </row>
    <row r="552" spans="3:9" x14ac:dyDescent="0.25">
      <c r="F552" s="79"/>
      <c r="I552" s="123"/>
    </row>
    <row r="553" spans="3:9" x14ac:dyDescent="0.25">
      <c r="F553" s="79"/>
      <c r="I553" s="123"/>
    </row>
    <row r="554" spans="3:9" x14ac:dyDescent="0.25">
      <c r="F554" s="79"/>
      <c r="I554" s="123"/>
    </row>
    <row r="555" spans="3:9" x14ac:dyDescent="0.25">
      <c r="F555" s="79"/>
      <c r="I555" s="123"/>
    </row>
    <row r="556" spans="3:9" x14ac:dyDescent="0.25">
      <c r="F556" s="79"/>
      <c r="I556" s="123"/>
    </row>
    <row r="557" spans="3:9" x14ac:dyDescent="0.25">
      <c r="F557" s="79"/>
      <c r="I557" s="123"/>
    </row>
    <row r="558" spans="3:9" x14ac:dyDescent="0.25">
      <c r="C558" s="123"/>
      <c r="E558" s="123"/>
      <c r="F558" s="79"/>
      <c r="G558" s="123"/>
      <c r="H558" s="123"/>
      <c r="I558" s="123"/>
    </row>
    <row r="559" spans="3:9" x14ac:dyDescent="0.25">
      <c r="C559" s="123"/>
      <c r="E559" s="123"/>
      <c r="F559" s="79"/>
      <c r="G559" s="123"/>
      <c r="H559" s="123"/>
      <c r="I559" s="123"/>
    </row>
    <row r="560" spans="3:9" x14ac:dyDescent="0.25">
      <c r="C560" s="123"/>
      <c r="E560" s="123"/>
      <c r="F560" s="79"/>
      <c r="G560" s="123"/>
      <c r="H560" s="123"/>
      <c r="I560" s="123"/>
    </row>
    <row r="561" spans="3:9" x14ac:dyDescent="0.25">
      <c r="C561" s="123"/>
      <c r="E561" s="123"/>
      <c r="F561" s="79"/>
      <c r="G561" s="123"/>
      <c r="H561" s="123"/>
      <c r="I561" s="123"/>
    </row>
    <row r="562" spans="3:9" x14ac:dyDescent="0.25">
      <c r="C562" s="123"/>
      <c r="E562" s="123"/>
      <c r="F562" s="79"/>
      <c r="G562" s="123"/>
      <c r="H562" s="123"/>
      <c r="I562" s="123"/>
    </row>
    <row r="563" spans="3:9" x14ac:dyDescent="0.25">
      <c r="C563" s="123"/>
      <c r="E563" s="123"/>
      <c r="F563" s="79"/>
      <c r="G563" s="123"/>
      <c r="H563" s="123"/>
      <c r="I563" s="123"/>
    </row>
    <row r="564" spans="3:9" x14ac:dyDescent="0.25">
      <c r="C564" s="123"/>
      <c r="E564" s="123"/>
      <c r="F564" s="79"/>
      <c r="G564" s="123"/>
      <c r="H564" s="123"/>
      <c r="I564" s="123"/>
    </row>
    <row r="565" spans="3:9" x14ac:dyDescent="0.25">
      <c r="C565" s="123"/>
      <c r="E565" s="123"/>
      <c r="F565" s="79"/>
      <c r="G565" s="123"/>
      <c r="H565" s="123"/>
      <c r="I565" s="123"/>
    </row>
    <row r="566" spans="3:9" x14ac:dyDescent="0.25">
      <c r="C566" s="123"/>
      <c r="E566" s="123"/>
      <c r="F566" s="79"/>
      <c r="G566" s="123"/>
      <c r="H566" s="123"/>
      <c r="I566" s="123"/>
    </row>
    <row r="567" spans="3:9" x14ac:dyDescent="0.25">
      <c r="C567" s="123"/>
      <c r="E567" s="123"/>
      <c r="F567" s="79"/>
      <c r="G567" s="123"/>
      <c r="H567" s="123"/>
      <c r="I567" s="123"/>
    </row>
    <row r="568" spans="3:9" x14ac:dyDescent="0.25">
      <c r="C568" s="123"/>
      <c r="E568" s="123"/>
      <c r="F568" s="79"/>
      <c r="G568" s="123"/>
      <c r="H568" s="123"/>
      <c r="I568" s="123"/>
    </row>
    <row r="569" spans="3:9" x14ac:dyDescent="0.25">
      <c r="C569" s="123"/>
      <c r="E569" s="123"/>
      <c r="F569" s="79"/>
      <c r="G569" s="123"/>
      <c r="H569" s="123"/>
      <c r="I569" s="123"/>
    </row>
    <row r="570" spans="3:9" x14ac:dyDescent="0.25">
      <c r="C570" s="123"/>
      <c r="E570" s="123"/>
      <c r="F570" s="79"/>
      <c r="G570" s="123"/>
      <c r="H570" s="123"/>
      <c r="I570" s="123"/>
    </row>
    <row r="571" spans="3:9" x14ac:dyDescent="0.25">
      <c r="C571" s="123"/>
      <c r="E571" s="123"/>
      <c r="F571" s="79"/>
      <c r="G571" s="123"/>
      <c r="H571" s="123"/>
      <c r="I571" s="123"/>
    </row>
    <row r="572" spans="3:9" x14ac:dyDescent="0.25">
      <c r="C572" s="123"/>
      <c r="E572" s="123"/>
      <c r="F572" s="79"/>
      <c r="G572" s="123"/>
      <c r="H572" s="123"/>
      <c r="I572" s="123"/>
    </row>
    <row r="573" spans="3:9" x14ac:dyDescent="0.25">
      <c r="C573" s="123"/>
      <c r="E573" s="123"/>
      <c r="F573" s="79"/>
      <c r="G573" s="123"/>
      <c r="H573" s="123"/>
      <c r="I573" s="123"/>
    </row>
    <row r="574" spans="3:9" x14ac:dyDescent="0.25">
      <c r="C574" s="123"/>
      <c r="D574" s="62"/>
      <c r="E574" s="123"/>
      <c r="F574" s="79"/>
      <c r="G574" s="123"/>
      <c r="H574" s="123"/>
      <c r="I574" s="123"/>
    </row>
    <row r="575" spans="3:9" x14ac:dyDescent="0.25">
      <c r="C575" s="123"/>
      <c r="E575" s="123"/>
      <c r="F575" s="79"/>
      <c r="G575" s="123"/>
      <c r="H575" s="123"/>
      <c r="I575" s="123"/>
    </row>
    <row r="576" spans="3:9" x14ac:dyDescent="0.25">
      <c r="C576" s="123"/>
      <c r="D576" s="62"/>
      <c r="E576" s="123"/>
      <c r="F576" s="79"/>
      <c r="G576" s="123"/>
      <c r="H576" s="123"/>
      <c r="I576" s="123"/>
    </row>
    <row r="577" spans="3:9" x14ac:dyDescent="0.25">
      <c r="C577" s="123"/>
      <c r="D577" s="62"/>
      <c r="E577" s="123"/>
      <c r="F577" s="79"/>
      <c r="G577" s="123"/>
      <c r="H577" s="123"/>
      <c r="I577" s="123"/>
    </row>
    <row r="578" spans="3:9" x14ac:dyDescent="0.25">
      <c r="C578" s="123"/>
      <c r="E578" s="123"/>
      <c r="F578" s="79"/>
      <c r="G578" s="123"/>
      <c r="H578" s="123"/>
      <c r="I578" s="123"/>
    </row>
    <row r="579" spans="3:9" x14ac:dyDescent="0.25">
      <c r="C579" s="123"/>
      <c r="D579" s="62"/>
      <c r="E579" s="123"/>
      <c r="F579" s="79"/>
      <c r="G579" s="123"/>
      <c r="H579" s="123"/>
      <c r="I579" s="123"/>
    </row>
    <row r="580" spans="3:9" x14ac:dyDescent="0.25">
      <c r="C580" s="123"/>
      <c r="D580" s="62"/>
      <c r="E580" s="123"/>
      <c r="F580" s="79"/>
      <c r="G580" s="123"/>
      <c r="H580" s="123"/>
      <c r="I580" s="123"/>
    </row>
    <row r="581" spans="3:9" x14ac:dyDescent="0.25">
      <c r="C581" s="123"/>
      <c r="D581" s="62"/>
      <c r="E581" s="123"/>
      <c r="F581" s="79"/>
      <c r="G581" s="123"/>
      <c r="H581" s="123"/>
      <c r="I581" s="123"/>
    </row>
    <row r="582" spans="3:9" x14ac:dyDescent="0.25">
      <c r="C582" s="123"/>
      <c r="E582" s="123"/>
      <c r="F582" s="79"/>
      <c r="G582" s="123"/>
      <c r="H582" s="123"/>
      <c r="I582" s="123"/>
    </row>
    <row r="583" spans="3:9" x14ac:dyDescent="0.25">
      <c r="C583" s="123"/>
      <c r="D583" s="62"/>
      <c r="E583" s="123"/>
      <c r="F583" s="79"/>
      <c r="G583" s="123"/>
      <c r="H583" s="123"/>
      <c r="I583" s="123"/>
    </row>
    <row r="584" spans="3:9" x14ac:dyDescent="0.25">
      <c r="C584" s="123"/>
      <c r="D584" s="62"/>
      <c r="E584" s="123"/>
      <c r="F584" s="79"/>
      <c r="G584" s="123"/>
      <c r="H584" s="123"/>
      <c r="I584" s="123"/>
    </row>
    <row r="585" spans="3:9" x14ac:dyDescent="0.25">
      <c r="C585" s="123"/>
      <c r="D585" s="62"/>
      <c r="E585" s="123"/>
      <c r="F585" s="79"/>
      <c r="G585" s="123"/>
      <c r="H585" s="123"/>
      <c r="I585" s="123"/>
    </row>
    <row r="586" spans="3:9" x14ac:dyDescent="0.25">
      <c r="C586" s="123"/>
      <c r="D586" s="62"/>
      <c r="E586" s="123"/>
      <c r="F586" s="79"/>
      <c r="G586" s="123"/>
      <c r="H586" s="123"/>
      <c r="I586" s="123"/>
    </row>
    <row r="587" spans="3:9" x14ac:dyDescent="0.25">
      <c r="C587" s="123"/>
      <c r="E587" s="123"/>
      <c r="F587" s="79"/>
      <c r="G587" s="123"/>
      <c r="H587" s="123"/>
      <c r="I587" s="123"/>
    </row>
    <row r="588" spans="3:9" x14ac:dyDescent="0.25">
      <c r="C588" s="123"/>
      <c r="E588" s="123"/>
      <c r="F588" s="79"/>
      <c r="G588" s="123"/>
      <c r="H588" s="123"/>
      <c r="I588" s="123"/>
    </row>
    <row r="589" spans="3:9" x14ac:dyDescent="0.25">
      <c r="C589" s="123"/>
      <c r="E589" s="123"/>
      <c r="F589" s="79"/>
      <c r="G589" s="123"/>
      <c r="H589" s="123"/>
      <c r="I589" s="123"/>
    </row>
    <row r="590" spans="3:9" x14ac:dyDescent="0.25">
      <c r="C590" s="123"/>
      <c r="E590" s="123"/>
      <c r="F590" s="79"/>
      <c r="G590" s="123"/>
      <c r="H590" s="123"/>
      <c r="I590" s="123"/>
    </row>
    <row r="591" spans="3:9" x14ac:dyDescent="0.25">
      <c r="C591" s="123"/>
      <c r="E591" s="123"/>
      <c r="F591" s="79"/>
      <c r="G591" s="123"/>
      <c r="H591" s="123"/>
      <c r="I591" s="123"/>
    </row>
    <row r="592" spans="3:9" x14ac:dyDescent="0.25">
      <c r="C592" s="123"/>
      <c r="E592" s="123"/>
      <c r="F592" s="79"/>
      <c r="G592" s="123"/>
      <c r="H592" s="123"/>
      <c r="I592" s="123"/>
    </row>
    <row r="593" spans="3:9" x14ac:dyDescent="0.25">
      <c r="C593" s="123"/>
      <c r="E593" s="123"/>
      <c r="F593" s="79"/>
      <c r="G593" s="123"/>
      <c r="H593" s="123"/>
      <c r="I593" s="123"/>
    </row>
    <row r="594" spans="3:9" x14ac:dyDescent="0.25">
      <c r="C594" s="123"/>
      <c r="E594" s="123"/>
      <c r="F594" s="79"/>
      <c r="G594" s="123"/>
      <c r="H594" s="123"/>
      <c r="I594" s="123"/>
    </row>
    <row r="595" spans="3:9" x14ac:dyDescent="0.25">
      <c r="C595" s="123"/>
      <c r="E595" s="123"/>
      <c r="F595" s="79"/>
      <c r="G595" s="123"/>
      <c r="H595" s="123"/>
      <c r="I595" s="123"/>
    </row>
    <row r="596" spans="3:9" x14ac:dyDescent="0.25">
      <c r="C596" s="123"/>
      <c r="E596" s="123"/>
      <c r="F596" s="79"/>
      <c r="G596" s="123"/>
      <c r="H596" s="123"/>
      <c r="I596" s="123"/>
    </row>
    <row r="597" spans="3:9" x14ac:dyDescent="0.25">
      <c r="C597" s="123"/>
      <c r="E597" s="123"/>
      <c r="F597" s="79"/>
      <c r="G597" s="123"/>
      <c r="H597" s="123"/>
      <c r="I597" s="123"/>
    </row>
    <row r="598" spans="3:9" x14ac:dyDescent="0.25">
      <c r="C598" s="123"/>
      <c r="E598" s="123"/>
      <c r="F598" s="79"/>
      <c r="G598" s="123"/>
      <c r="H598" s="123"/>
      <c r="I598" s="123"/>
    </row>
    <row r="599" spans="3:9" x14ac:dyDescent="0.25">
      <c r="C599" s="123"/>
      <c r="E599" s="123"/>
      <c r="F599" s="79"/>
      <c r="G599" s="123"/>
      <c r="H599" s="123"/>
      <c r="I599" s="123"/>
    </row>
    <row r="600" spans="3:9" x14ac:dyDescent="0.25">
      <c r="C600" s="123"/>
      <c r="E600" s="123"/>
      <c r="F600" s="79"/>
      <c r="G600" s="123"/>
      <c r="H600" s="123"/>
      <c r="I600" s="123"/>
    </row>
    <row r="601" spans="3:9" x14ac:dyDescent="0.25">
      <c r="C601" s="123"/>
      <c r="E601" s="123"/>
      <c r="F601" s="79"/>
      <c r="G601" s="123"/>
      <c r="H601" s="123"/>
      <c r="I601" s="123"/>
    </row>
    <row r="602" spans="3:9" x14ac:dyDescent="0.25">
      <c r="C602" s="123"/>
      <c r="E602" s="123"/>
      <c r="F602" s="79"/>
      <c r="G602" s="123"/>
      <c r="H602" s="123"/>
      <c r="I602" s="123"/>
    </row>
    <row r="603" spans="3:9" x14ac:dyDescent="0.25">
      <c r="C603" s="123"/>
      <c r="E603" s="123"/>
      <c r="F603" s="79"/>
      <c r="G603" s="123"/>
      <c r="H603" s="123"/>
      <c r="I603" s="123"/>
    </row>
    <row r="604" spans="3:9" x14ac:dyDescent="0.25">
      <c r="C604" s="123"/>
      <c r="E604" s="123"/>
      <c r="F604" s="79"/>
      <c r="G604" s="123"/>
      <c r="H604" s="123"/>
      <c r="I604" s="123"/>
    </row>
    <row r="605" spans="3:9" x14ac:dyDescent="0.25">
      <c r="C605" s="123"/>
      <c r="E605" s="123"/>
      <c r="F605" s="79"/>
      <c r="G605" s="123"/>
      <c r="H605" s="123"/>
      <c r="I605" s="123"/>
    </row>
    <row r="606" spans="3:9" x14ac:dyDescent="0.25">
      <c r="C606" s="123"/>
      <c r="E606" s="123"/>
      <c r="F606" s="79"/>
      <c r="G606" s="123"/>
      <c r="H606" s="123"/>
      <c r="I606" s="123"/>
    </row>
    <row r="607" spans="3:9" x14ac:dyDescent="0.25">
      <c r="C607" s="123"/>
      <c r="E607" s="123"/>
      <c r="F607" s="79"/>
      <c r="G607" s="123"/>
      <c r="H607" s="123"/>
      <c r="I607" s="123"/>
    </row>
    <row r="608" spans="3:9" x14ac:dyDescent="0.25">
      <c r="C608" s="123"/>
      <c r="E608" s="123"/>
      <c r="F608" s="79"/>
      <c r="G608" s="123"/>
      <c r="H608" s="123"/>
      <c r="I608" s="123"/>
    </row>
    <row r="609" spans="3:9" x14ac:dyDescent="0.25">
      <c r="C609" s="123"/>
      <c r="E609" s="123"/>
      <c r="F609" s="79"/>
      <c r="G609" s="123"/>
      <c r="H609" s="123"/>
      <c r="I609" s="123"/>
    </row>
    <row r="610" spans="3:9" x14ac:dyDescent="0.25">
      <c r="C610" s="123"/>
      <c r="E610" s="123"/>
      <c r="F610" s="79"/>
      <c r="G610" s="123"/>
      <c r="H610" s="123"/>
      <c r="I610" s="123"/>
    </row>
    <row r="611" spans="3:9" x14ac:dyDescent="0.25">
      <c r="C611" s="123"/>
      <c r="E611" s="123"/>
      <c r="F611" s="79"/>
      <c r="G611" s="123"/>
      <c r="H611" s="123"/>
      <c r="I611" s="123"/>
    </row>
    <row r="612" spans="3:9" x14ac:dyDescent="0.25">
      <c r="C612" s="123"/>
      <c r="E612" s="123"/>
      <c r="F612" s="79"/>
      <c r="G612" s="123"/>
      <c r="H612" s="123"/>
      <c r="I612" s="123"/>
    </row>
    <row r="613" spans="3:9" x14ac:dyDescent="0.25">
      <c r="C613" s="123"/>
      <c r="E613" s="123"/>
      <c r="F613" s="79"/>
      <c r="G613" s="123"/>
      <c r="H613" s="123"/>
      <c r="I613" s="123"/>
    </row>
    <row r="614" spans="3:9" x14ac:dyDescent="0.25">
      <c r="C614" s="123"/>
      <c r="E614" s="123"/>
      <c r="F614" s="79"/>
      <c r="G614" s="123"/>
      <c r="H614" s="123"/>
      <c r="I614" s="123"/>
    </row>
    <row r="615" spans="3:9" x14ac:dyDescent="0.25">
      <c r="C615" s="123"/>
      <c r="E615" s="123"/>
      <c r="F615" s="79"/>
      <c r="G615" s="123"/>
      <c r="H615" s="123"/>
      <c r="I615" s="123"/>
    </row>
    <row r="616" spans="3:9" x14ac:dyDescent="0.25">
      <c r="C616" s="123"/>
      <c r="E616" s="123"/>
      <c r="F616" s="79"/>
      <c r="G616" s="123"/>
      <c r="H616" s="123"/>
      <c r="I616" s="123"/>
    </row>
    <row r="617" spans="3:9" x14ac:dyDescent="0.25">
      <c r="C617" s="123"/>
      <c r="E617" s="123"/>
      <c r="F617" s="79"/>
      <c r="G617" s="123"/>
      <c r="H617" s="123"/>
      <c r="I617" s="123"/>
    </row>
    <row r="618" spans="3:9" x14ac:dyDescent="0.25">
      <c r="C618" s="123"/>
      <c r="E618" s="123"/>
      <c r="F618" s="79"/>
      <c r="G618" s="123"/>
      <c r="H618" s="123"/>
      <c r="I618" s="123"/>
    </row>
    <row r="619" spans="3:9" x14ac:dyDescent="0.25">
      <c r="C619" s="123"/>
      <c r="E619" s="123"/>
      <c r="F619" s="79"/>
      <c r="G619" s="123"/>
      <c r="H619" s="123"/>
      <c r="I619" s="123"/>
    </row>
    <row r="620" spans="3:9" x14ac:dyDescent="0.25">
      <c r="C620" s="123"/>
      <c r="E620" s="123"/>
      <c r="F620" s="79"/>
      <c r="G620" s="123"/>
      <c r="H620" s="123"/>
      <c r="I620" s="123"/>
    </row>
    <row r="621" spans="3:9" x14ac:dyDescent="0.25">
      <c r="C621" s="123"/>
      <c r="E621" s="123"/>
      <c r="F621" s="79"/>
      <c r="G621" s="123"/>
      <c r="H621" s="123"/>
      <c r="I621" s="123"/>
    </row>
    <row r="622" spans="3:9" x14ac:dyDescent="0.25">
      <c r="C622" s="123"/>
      <c r="E622" s="123"/>
      <c r="F622" s="79"/>
      <c r="G622" s="123"/>
      <c r="H622" s="123"/>
      <c r="I622" s="123"/>
    </row>
    <row r="623" spans="3:9" x14ac:dyDescent="0.25">
      <c r="C623" s="123"/>
      <c r="E623" s="123"/>
      <c r="F623" s="79"/>
      <c r="G623" s="123"/>
      <c r="H623" s="123"/>
      <c r="I623" s="123"/>
    </row>
    <row r="624" spans="3:9" x14ac:dyDescent="0.25">
      <c r="C624" s="123"/>
      <c r="E624" s="123"/>
      <c r="F624" s="79"/>
      <c r="G624" s="123"/>
      <c r="H624" s="123"/>
      <c r="I624" s="123"/>
    </row>
    <row r="625" spans="1:9" x14ac:dyDescent="0.25">
      <c r="C625" s="123"/>
      <c r="E625" s="123"/>
      <c r="F625" s="79"/>
      <c r="G625" s="123"/>
      <c r="H625" s="123"/>
      <c r="I625" s="123"/>
    </row>
    <row r="626" spans="1:9" x14ac:dyDescent="0.25">
      <c r="C626" s="123"/>
      <c r="E626" s="123"/>
      <c r="F626" s="79"/>
      <c r="G626" s="123"/>
      <c r="H626" s="123"/>
      <c r="I626" s="123"/>
    </row>
    <row r="627" spans="1:9" x14ac:dyDescent="0.25">
      <c r="C627" s="123"/>
      <c r="E627" s="123"/>
      <c r="F627" s="79"/>
      <c r="G627" s="123"/>
      <c r="H627" s="123"/>
      <c r="I627" s="123"/>
    </row>
    <row r="628" spans="1:9" s="32" customFormat="1" x14ac:dyDescent="0.25">
      <c r="A628" s="59"/>
      <c r="B628" s="59"/>
      <c r="C628" s="123"/>
      <c r="D628" s="60"/>
      <c r="E628" s="123"/>
      <c r="F628" s="79"/>
      <c r="G628" s="123"/>
      <c r="H628" s="123"/>
      <c r="I628" s="123"/>
    </row>
    <row r="629" spans="1:9" x14ac:dyDescent="0.25">
      <c r="C629" s="123"/>
      <c r="E629" s="123"/>
      <c r="F629" s="79"/>
      <c r="G629" s="123"/>
      <c r="H629" s="123"/>
      <c r="I629" s="123"/>
    </row>
    <row r="630" spans="1:9" x14ac:dyDescent="0.25">
      <c r="C630" s="123"/>
      <c r="E630" s="123"/>
      <c r="F630" s="79"/>
      <c r="G630" s="123"/>
      <c r="H630" s="123"/>
      <c r="I630" s="123"/>
    </row>
    <row r="631" spans="1:9" x14ac:dyDescent="0.25">
      <c r="C631" s="123"/>
      <c r="E631" s="123"/>
      <c r="F631" s="79"/>
      <c r="G631" s="123"/>
      <c r="H631" s="123"/>
      <c r="I631" s="123"/>
    </row>
    <row r="632" spans="1:9" x14ac:dyDescent="0.25">
      <c r="C632" s="123"/>
      <c r="E632" s="123"/>
      <c r="F632" s="79"/>
      <c r="G632" s="123"/>
      <c r="H632" s="123"/>
      <c r="I632" s="123"/>
    </row>
    <row r="633" spans="1:9" x14ac:dyDescent="0.25">
      <c r="C633" s="123"/>
      <c r="E633" s="123"/>
      <c r="F633" s="79"/>
      <c r="G633" s="123"/>
      <c r="H633" s="123"/>
      <c r="I633" s="123"/>
    </row>
    <row r="634" spans="1:9" x14ac:dyDescent="0.25">
      <c r="C634" s="123"/>
      <c r="E634" s="123"/>
      <c r="F634" s="79"/>
      <c r="G634" s="123"/>
      <c r="H634" s="123"/>
      <c r="I634" s="123"/>
    </row>
    <row r="635" spans="1:9" x14ac:dyDescent="0.25">
      <c r="C635" s="123"/>
      <c r="E635" s="123"/>
      <c r="F635" s="79"/>
      <c r="G635" s="123"/>
      <c r="H635" s="123"/>
      <c r="I635" s="123"/>
    </row>
    <row r="636" spans="1:9" x14ac:dyDescent="0.25">
      <c r="C636" s="123"/>
      <c r="E636" s="123"/>
      <c r="F636" s="79"/>
      <c r="G636" s="123"/>
      <c r="H636" s="123"/>
      <c r="I636" s="123"/>
    </row>
    <row r="637" spans="1:9" x14ac:dyDescent="0.25">
      <c r="C637" s="123"/>
      <c r="E637" s="123"/>
      <c r="F637" s="79"/>
      <c r="G637" s="123"/>
      <c r="H637" s="123"/>
      <c r="I637" s="123"/>
    </row>
    <row r="638" spans="1:9" x14ac:dyDescent="0.25">
      <c r="C638" s="123"/>
      <c r="E638" s="123"/>
      <c r="F638" s="79"/>
      <c r="G638" s="123"/>
      <c r="H638" s="123"/>
      <c r="I638" s="123"/>
    </row>
    <row r="639" spans="1:9" x14ac:dyDescent="0.25">
      <c r="C639" s="123"/>
      <c r="E639" s="123"/>
      <c r="F639" s="79"/>
      <c r="G639" s="123"/>
      <c r="H639" s="123"/>
      <c r="I639" s="123"/>
    </row>
    <row r="640" spans="1:9" x14ac:dyDescent="0.25">
      <c r="C640" s="123"/>
      <c r="E640" s="123"/>
      <c r="F640" s="79"/>
      <c r="G640" s="123"/>
      <c r="H640" s="123"/>
      <c r="I640" s="123"/>
    </row>
    <row r="641" spans="3:9" x14ac:dyDescent="0.25">
      <c r="C641" s="123"/>
      <c r="E641" s="123"/>
      <c r="F641" s="79"/>
      <c r="G641" s="123"/>
      <c r="H641" s="123"/>
      <c r="I641" s="123"/>
    </row>
    <row r="642" spans="3:9" x14ac:dyDescent="0.25">
      <c r="C642" s="123"/>
      <c r="E642" s="123"/>
      <c r="F642" s="79"/>
      <c r="G642" s="123"/>
      <c r="H642" s="123"/>
      <c r="I642" s="123"/>
    </row>
    <row r="643" spans="3:9" x14ac:dyDescent="0.25">
      <c r="C643" s="123"/>
      <c r="E643" s="123"/>
      <c r="F643" s="79"/>
      <c r="G643" s="123"/>
      <c r="H643" s="123"/>
      <c r="I643" s="123"/>
    </row>
    <row r="644" spans="3:9" x14ac:dyDescent="0.25">
      <c r="C644" s="123"/>
      <c r="E644" s="123"/>
      <c r="F644" s="79"/>
      <c r="G644" s="123"/>
      <c r="H644" s="123"/>
      <c r="I644" s="123"/>
    </row>
    <row r="645" spans="3:9" x14ac:dyDescent="0.25">
      <c r="C645" s="123"/>
      <c r="E645" s="123"/>
      <c r="F645" s="79"/>
      <c r="G645" s="123"/>
      <c r="H645" s="123"/>
      <c r="I645" s="123"/>
    </row>
    <row r="646" spans="3:9" x14ac:dyDescent="0.25">
      <c r="C646" s="123"/>
      <c r="E646" s="123"/>
      <c r="F646" s="79"/>
      <c r="G646" s="123"/>
      <c r="H646" s="123"/>
      <c r="I646" s="123"/>
    </row>
    <row r="647" spans="3:9" x14ac:dyDescent="0.25">
      <c r="C647" s="123"/>
      <c r="E647" s="123"/>
      <c r="F647" s="79"/>
      <c r="G647" s="123"/>
      <c r="H647" s="123"/>
      <c r="I647" s="123"/>
    </row>
    <row r="648" spans="3:9" x14ac:dyDescent="0.25">
      <c r="C648" s="123"/>
      <c r="E648" s="123"/>
      <c r="F648" s="79"/>
      <c r="G648" s="123"/>
      <c r="H648" s="123"/>
      <c r="I648" s="123"/>
    </row>
    <row r="649" spans="3:9" x14ac:dyDescent="0.25">
      <c r="C649" s="123"/>
      <c r="E649" s="123"/>
      <c r="F649" s="79"/>
      <c r="G649" s="123"/>
      <c r="H649" s="123"/>
      <c r="I649" s="123"/>
    </row>
    <row r="650" spans="3:9" x14ac:dyDescent="0.25">
      <c r="C650" s="123"/>
      <c r="E650" s="123"/>
      <c r="F650" s="79"/>
      <c r="G650" s="123"/>
      <c r="H650" s="123"/>
      <c r="I650" s="123"/>
    </row>
    <row r="651" spans="3:9" x14ac:dyDescent="0.25">
      <c r="C651" s="123"/>
      <c r="E651" s="123"/>
      <c r="F651" s="79"/>
      <c r="G651" s="123"/>
      <c r="H651" s="123"/>
      <c r="I651" s="123"/>
    </row>
    <row r="652" spans="3:9" x14ac:dyDescent="0.25">
      <c r="C652" s="123"/>
      <c r="E652" s="123"/>
      <c r="F652" s="79"/>
      <c r="G652" s="123"/>
      <c r="H652" s="123"/>
      <c r="I652" s="123"/>
    </row>
    <row r="653" spans="3:9" x14ac:dyDescent="0.25">
      <c r="C653" s="123"/>
      <c r="E653" s="123"/>
      <c r="F653" s="79"/>
      <c r="G653" s="123"/>
      <c r="H653" s="123"/>
      <c r="I653" s="123"/>
    </row>
    <row r="654" spans="3:9" x14ac:dyDescent="0.25">
      <c r="C654" s="123"/>
      <c r="D654" s="62"/>
      <c r="E654" s="123"/>
      <c r="F654" s="79"/>
      <c r="G654" s="123"/>
      <c r="H654" s="123"/>
      <c r="I654" s="123"/>
    </row>
    <row r="655" spans="3:9" x14ac:dyDescent="0.25">
      <c r="C655" s="123"/>
      <c r="E655" s="123"/>
      <c r="F655" s="79"/>
      <c r="G655" s="123"/>
      <c r="H655" s="123"/>
      <c r="I655" s="123"/>
    </row>
    <row r="656" spans="3:9" x14ac:dyDescent="0.25">
      <c r="C656" s="123"/>
      <c r="E656" s="123"/>
      <c r="F656" s="79"/>
      <c r="G656" s="123"/>
      <c r="H656" s="123"/>
      <c r="I656" s="123"/>
    </row>
    <row r="657" spans="3:9" x14ac:dyDescent="0.25">
      <c r="C657" s="123"/>
      <c r="E657" s="123"/>
      <c r="F657" s="79"/>
      <c r="G657" s="123"/>
      <c r="H657" s="123"/>
      <c r="I657" s="123"/>
    </row>
    <row r="658" spans="3:9" x14ac:dyDescent="0.25">
      <c r="C658" s="123"/>
      <c r="E658" s="123"/>
      <c r="F658" s="79"/>
      <c r="G658" s="123"/>
      <c r="H658" s="123"/>
      <c r="I658" s="123"/>
    </row>
    <row r="659" spans="3:9" x14ac:dyDescent="0.25">
      <c r="C659" s="123"/>
      <c r="E659" s="123"/>
      <c r="F659" s="79"/>
      <c r="G659" s="123"/>
      <c r="H659" s="123"/>
      <c r="I659" s="123"/>
    </row>
    <row r="660" spans="3:9" x14ac:dyDescent="0.25">
      <c r="C660" s="123"/>
      <c r="E660" s="123"/>
      <c r="F660" s="79"/>
      <c r="G660" s="123"/>
      <c r="H660" s="123"/>
      <c r="I660" s="123"/>
    </row>
    <row r="661" spans="3:9" x14ac:dyDescent="0.25">
      <c r="C661" s="123"/>
      <c r="E661" s="123"/>
      <c r="F661" s="79"/>
      <c r="G661" s="123"/>
      <c r="H661" s="123"/>
      <c r="I661" s="123"/>
    </row>
    <row r="662" spans="3:9" x14ac:dyDescent="0.25">
      <c r="C662" s="123"/>
      <c r="E662" s="123"/>
      <c r="F662" s="79"/>
      <c r="G662" s="123"/>
      <c r="H662" s="123"/>
      <c r="I662" s="123"/>
    </row>
    <row r="663" spans="3:9" x14ac:dyDescent="0.25">
      <c r="C663" s="123"/>
      <c r="E663" s="123"/>
      <c r="F663" s="79"/>
      <c r="G663" s="123"/>
      <c r="H663" s="123"/>
      <c r="I663" s="123"/>
    </row>
    <row r="664" spans="3:9" x14ac:dyDescent="0.25">
      <c r="C664" s="123"/>
      <c r="E664" s="123"/>
      <c r="F664" s="79"/>
      <c r="G664" s="123"/>
      <c r="H664" s="123"/>
      <c r="I664" s="123"/>
    </row>
    <row r="665" spans="3:9" x14ac:dyDescent="0.25">
      <c r="C665" s="123"/>
      <c r="E665" s="123"/>
      <c r="F665" s="79"/>
      <c r="G665" s="123"/>
      <c r="H665" s="123"/>
      <c r="I665" s="123"/>
    </row>
    <row r="666" spans="3:9" x14ac:dyDescent="0.25">
      <c r="C666" s="123"/>
      <c r="E666" s="123"/>
      <c r="F666" s="79"/>
      <c r="G666" s="123"/>
      <c r="H666" s="123"/>
      <c r="I666" s="123"/>
    </row>
    <row r="667" spans="3:9" x14ac:dyDescent="0.25">
      <c r="C667" s="123"/>
      <c r="E667" s="123"/>
      <c r="F667" s="79"/>
      <c r="G667" s="123"/>
      <c r="H667" s="123"/>
      <c r="I667" s="123"/>
    </row>
    <row r="668" spans="3:9" x14ac:dyDescent="0.25">
      <c r="C668" s="123"/>
      <c r="E668" s="123"/>
      <c r="F668" s="79"/>
      <c r="G668" s="123"/>
      <c r="H668" s="123"/>
      <c r="I668" s="123"/>
    </row>
    <row r="669" spans="3:9" x14ac:dyDescent="0.25">
      <c r="C669" s="123"/>
      <c r="E669" s="123"/>
      <c r="F669" s="79"/>
      <c r="G669" s="123"/>
      <c r="H669" s="123"/>
      <c r="I669" s="123"/>
    </row>
    <row r="670" spans="3:9" x14ac:dyDescent="0.25">
      <c r="C670" s="123"/>
      <c r="E670" s="123"/>
      <c r="F670" s="79"/>
      <c r="G670" s="123"/>
      <c r="H670" s="123"/>
      <c r="I670" s="123"/>
    </row>
    <row r="671" spans="3:9" x14ac:dyDescent="0.25">
      <c r="C671" s="123"/>
      <c r="E671" s="123"/>
      <c r="F671" s="79"/>
      <c r="G671" s="123"/>
      <c r="H671" s="123"/>
      <c r="I671" s="123"/>
    </row>
    <row r="672" spans="3:9" x14ac:dyDescent="0.25">
      <c r="C672" s="123"/>
      <c r="E672" s="123"/>
      <c r="F672" s="79"/>
      <c r="G672" s="123"/>
      <c r="H672" s="123"/>
      <c r="I672" s="123"/>
    </row>
    <row r="673" spans="1:9" x14ac:dyDescent="0.25">
      <c r="C673" s="123"/>
      <c r="E673" s="123"/>
      <c r="F673" s="79"/>
      <c r="G673" s="123"/>
      <c r="H673" s="123"/>
      <c r="I673" s="123"/>
    </row>
    <row r="674" spans="1:9" x14ac:dyDescent="0.25">
      <c r="C674" s="123"/>
      <c r="E674" s="123"/>
      <c r="F674" s="79"/>
      <c r="G674" s="123"/>
      <c r="H674" s="123"/>
      <c r="I674" s="123"/>
    </row>
    <row r="675" spans="1:9" x14ac:dyDescent="0.25">
      <c r="C675" s="123"/>
      <c r="E675" s="123"/>
      <c r="F675" s="79"/>
      <c r="G675" s="123"/>
      <c r="H675" s="123"/>
      <c r="I675" s="123"/>
    </row>
    <row r="676" spans="1:9" x14ac:dyDescent="0.25">
      <c r="C676" s="123"/>
      <c r="E676" s="123"/>
      <c r="F676" s="79"/>
      <c r="G676" s="123"/>
      <c r="H676" s="123"/>
      <c r="I676" s="123"/>
    </row>
    <row r="677" spans="1:9" s="34" customFormat="1" x14ac:dyDescent="0.25">
      <c r="A677" s="59"/>
      <c r="B677" s="59"/>
      <c r="C677" s="123"/>
      <c r="D677" s="60"/>
      <c r="E677" s="123"/>
      <c r="F677" s="79"/>
      <c r="G677" s="123"/>
      <c r="H677" s="123"/>
      <c r="I677" s="123"/>
    </row>
    <row r="678" spans="1:9" x14ac:dyDescent="0.25">
      <c r="C678" s="123"/>
      <c r="E678" s="123"/>
      <c r="F678" s="79"/>
      <c r="G678" s="123"/>
      <c r="H678" s="123"/>
      <c r="I678" s="123"/>
    </row>
    <row r="679" spans="1:9" x14ac:dyDescent="0.25">
      <c r="C679" s="123"/>
      <c r="E679" s="123"/>
      <c r="F679" s="79"/>
      <c r="G679" s="123"/>
      <c r="H679" s="123"/>
      <c r="I679" s="123"/>
    </row>
    <row r="680" spans="1:9" x14ac:dyDescent="0.25">
      <c r="C680" s="123"/>
      <c r="E680" s="123"/>
      <c r="F680" s="79"/>
      <c r="G680" s="123"/>
      <c r="H680" s="123"/>
      <c r="I680" s="123"/>
    </row>
    <row r="681" spans="1:9" x14ac:dyDescent="0.25">
      <c r="C681" s="123"/>
      <c r="E681" s="123"/>
      <c r="F681" s="79"/>
      <c r="G681" s="123"/>
      <c r="H681" s="123"/>
      <c r="I681" s="123"/>
    </row>
    <row r="682" spans="1:9" x14ac:dyDescent="0.25">
      <c r="C682" s="123"/>
      <c r="E682" s="123"/>
      <c r="F682" s="79"/>
      <c r="G682" s="123"/>
      <c r="H682" s="123"/>
      <c r="I682" s="123"/>
    </row>
    <row r="683" spans="1:9" x14ac:dyDescent="0.25">
      <c r="C683" s="123"/>
      <c r="E683" s="123"/>
      <c r="F683" s="79"/>
      <c r="G683" s="123"/>
      <c r="H683" s="123"/>
      <c r="I683" s="123"/>
    </row>
    <row r="684" spans="1:9" x14ac:dyDescent="0.25">
      <c r="C684" s="123"/>
      <c r="E684" s="123"/>
      <c r="F684" s="79"/>
      <c r="G684" s="123"/>
      <c r="H684" s="123"/>
      <c r="I684" s="123"/>
    </row>
    <row r="685" spans="1:9" x14ac:dyDescent="0.25">
      <c r="C685" s="123"/>
      <c r="E685" s="123"/>
      <c r="F685" s="79"/>
      <c r="G685" s="123"/>
      <c r="H685" s="123"/>
      <c r="I685" s="123"/>
    </row>
    <row r="686" spans="1:9" x14ac:dyDescent="0.25">
      <c r="C686" s="123"/>
      <c r="E686" s="123"/>
      <c r="F686" s="79"/>
      <c r="G686" s="123"/>
      <c r="H686" s="123"/>
      <c r="I686" s="123"/>
    </row>
    <row r="687" spans="1:9" x14ac:dyDescent="0.25">
      <c r="C687" s="123"/>
      <c r="E687" s="123"/>
      <c r="F687" s="79"/>
      <c r="G687" s="123"/>
      <c r="H687" s="123"/>
      <c r="I687" s="123"/>
    </row>
    <row r="688" spans="1:9" x14ac:dyDescent="0.25">
      <c r="C688" s="123"/>
      <c r="E688" s="123"/>
      <c r="F688" s="79"/>
      <c r="G688" s="123"/>
      <c r="H688" s="123"/>
      <c r="I688" s="123"/>
    </row>
    <row r="689" spans="3:9" x14ac:dyDescent="0.25">
      <c r="C689" s="123"/>
      <c r="E689" s="123"/>
      <c r="F689" s="79"/>
      <c r="G689" s="123"/>
      <c r="H689" s="123"/>
      <c r="I689" s="123"/>
    </row>
    <row r="690" spans="3:9" x14ac:dyDescent="0.25">
      <c r="C690" s="123"/>
      <c r="E690" s="123"/>
      <c r="F690" s="79"/>
      <c r="G690" s="123"/>
      <c r="H690" s="123"/>
      <c r="I690" s="123"/>
    </row>
    <row r="691" spans="3:9" x14ac:dyDescent="0.25">
      <c r="C691" s="123"/>
      <c r="E691" s="123"/>
      <c r="F691" s="79"/>
      <c r="G691" s="123"/>
      <c r="H691" s="123"/>
      <c r="I691" s="123"/>
    </row>
    <row r="692" spans="3:9" x14ac:dyDescent="0.25">
      <c r="C692" s="123"/>
      <c r="E692" s="123"/>
      <c r="F692" s="79"/>
      <c r="G692" s="123"/>
      <c r="H692" s="123"/>
      <c r="I692" s="123"/>
    </row>
    <row r="693" spans="3:9" x14ac:dyDescent="0.25">
      <c r="C693" s="123"/>
      <c r="E693" s="123"/>
      <c r="F693" s="79"/>
      <c r="G693" s="123"/>
      <c r="H693" s="123"/>
      <c r="I693" s="123"/>
    </row>
    <row r="694" spans="3:9" x14ac:dyDescent="0.25">
      <c r="C694" s="123"/>
      <c r="E694" s="123"/>
      <c r="F694" s="79"/>
      <c r="G694" s="123"/>
      <c r="H694" s="123"/>
      <c r="I694" s="123"/>
    </row>
    <row r="695" spans="3:9" x14ac:dyDescent="0.25">
      <c r="C695" s="123"/>
      <c r="E695" s="123"/>
      <c r="F695" s="79"/>
      <c r="G695" s="123"/>
      <c r="H695" s="123"/>
      <c r="I695" s="123"/>
    </row>
    <row r="696" spans="3:9" x14ac:dyDescent="0.25">
      <c r="C696" s="123"/>
      <c r="E696" s="123"/>
      <c r="F696" s="79"/>
      <c r="G696" s="123"/>
      <c r="H696" s="123"/>
      <c r="I696" s="123"/>
    </row>
    <row r="697" spans="3:9" x14ac:dyDescent="0.25">
      <c r="C697" s="123"/>
      <c r="E697" s="123"/>
      <c r="F697" s="79"/>
      <c r="G697" s="123"/>
      <c r="H697" s="123"/>
      <c r="I697" s="123"/>
    </row>
    <row r="698" spans="3:9" x14ac:dyDescent="0.25">
      <c r="C698" s="123"/>
      <c r="E698" s="123"/>
      <c r="F698" s="79"/>
      <c r="G698" s="123"/>
      <c r="H698" s="123"/>
      <c r="I698" s="123"/>
    </row>
    <row r="699" spans="3:9" x14ac:dyDescent="0.25">
      <c r="C699" s="123"/>
      <c r="E699" s="123"/>
      <c r="F699" s="79"/>
      <c r="G699" s="123"/>
      <c r="H699" s="123"/>
      <c r="I699" s="123"/>
    </row>
    <row r="700" spans="3:9" x14ac:dyDescent="0.25">
      <c r="C700" s="123"/>
      <c r="E700" s="123"/>
      <c r="F700" s="79"/>
      <c r="G700" s="123"/>
      <c r="H700" s="123"/>
      <c r="I700" s="123"/>
    </row>
    <row r="701" spans="3:9" x14ac:dyDescent="0.25">
      <c r="C701" s="123"/>
      <c r="E701" s="123"/>
      <c r="F701" s="79"/>
      <c r="G701" s="123"/>
      <c r="H701" s="123"/>
      <c r="I701" s="123"/>
    </row>
    <row r="702" spans="3:9" x14ac:dyDescent="0.25">
      <c r="C702" s="123"/>
      <c r="E702" s="123"/>
      <c r="F702" s="79"/>
      <c r="G702" s="123"/>
      <c r="H702" s="123"/>
      <c r="I702" s="123"/>
    </row>
    <row r="703" spans="3:9" x14ac:dyDescent="0.25">
      <c r="C703" s="123"/>
      <c r="E703" s="123"/>
      <c r="F703" s="79"/>
      <c r="G703" s="123"/>
      <c r="H703" s="123"/>
      <c r="I703" s="123"/>
    </row>
    <row r="704" spans="3:9" x14ac:dyDescent="0.25">
      <c r="C704" s="123"/>
      <c r="E704" s="123"/>
      <c r="F704" s="79"/>
      <c r="G704" s="123"/>
      <c r="H704" s="123"/>
      <c r="I704" s="123"/>
    </row>
    <row r="705" spans="3:9" x14ac:dyDescent="0.25">
      <c r="C705" s="123"/>
      <c r="E705" s="123"/>
      <c r="F705" s="79"/>
      <c r="G705" s="123"/>
      <c r="H705" s="123"/>
      <c r="I705" s="123"/>
    </row>
    <row r="706" spans="3:9" x14ac:dyDescent="0.25">
      <c r="C706" s="123"/>
      <c r="E706" s="123"/>
      <c r="F706" s="79"/>
      <c r="G706" s="123"/>
      <c r="H706" s="123"/>
      <c r="I706" s="123"/>
    </row>
    <row r="707" spans="3:9" x14ac:dyDescent="0.25">
      <c r="C707" s="123"/>
      <c r="E707" s="123"/>
      <c r="F707" s="79"/>
      <c r="G707" s="123"/>
      <c r="H707" s="123"/>
      <c r="I707" s="123"/>
    </row>
    <row r="708" spans="3:9" x14ac:dyDescent="0.25">
      <c r="C708" s="123"/>
      <c r="E708" s="123"/>
      <c r="F708" s="79"/>
      <c r="G708" s="123"/>
      <c r="H708" s="123"/>
      <c r="I708" s="123"/>
    </row>
    <row r="709" spans="3:9" x14ac:dyDescent="0.25">
      <c r="C709" s="123"/>
      <c r="E709" s="123"/>
      <c r="F709" s="79"/>
      <c r="G709" s="123"/>
      <c r="H709" s="123"/>
      <c r="I709" s="123"/>
    </row>
    <row r="710" spans="3:9" x14ac:dyDescent="0.25">
      <c r="C710" s="123"/>
      <c r="E710" s="123"/>
      <c r="F710" s="79"/>
      <c r="G710" s="123"/>
      <c r="H710" s="123"/>
      <c r="I710" s="123"/>
    </row>
    <row r="711" spans="3:9" x14ac:dyDescent="0.25">
      <c r="C711" s="123"/>
      <c r="E711" s="123"/>
      <c r="F711" s="79"/>
      <c r="G711" s="123"/>
      <c r="H711" s="123"/>
      <c r="I711" s="123"/>
    </row>
    <row r="712" spans="3:9" x14ac:dyDescent="0.25">
      <c r="C712" s="123"/>
      <c r="E712" s="123"/>
      <c r="F712" s="79"/>
      <c r="G712" s="123"/>
      <c r="H712" s="123"/>
      <c r="I712" s="123"/>
    </row>
    <row r="713" spans="3:9" x14ac:dyDescent="0.25">
      <c r="C713" s="123"/>
      <c r="E713" s="123"/>
      <c r="F713" s="79"/>
      <c r="G713" s="123"/>
      <c r="H713" s="123"/>
      <c r="I713" s="123"/>
    </row>
    <row r="714" spans="3:9" x14ac:dyDescent="0.25">
      <c r="C714" s="123"/>
      <c r="E714" s="123"/>
      <c r="F714" s="79"/>
      <c r="G714" s="123"/>
      <c r="H714" s="123"/>
      <c r="I714" s="123"/>
    </row>
    <row r="715" spans="3:9" x14ac:dyDescent="0.25">
      <c r="C715" s="123"/>
      <c r="E715" s="123"/>
      <c r="F715" s="79"/>
      <c r="G715" s="123"/>
      <c r="H715" s="123"/>
      <c r="I715" s="123"/>
    </row>
    <row r="716" spans="3:9" x14ac:dyDescent="0.25">
      <c r="F716" s="79"/>
      <c r="I716" s="123"/>
    </row>
    <row r="717" spans="3:9" x14ac:dyDescent="0.25">
      <c r="F717" s="79"/>
      <c r="I717" s="123"/>
    </row>
    <row r="718" spans="3:9" x14ac:dyDescent="0.25">
      <c r="F718" s="79"/>
      <c r="I718" s="123"/>
    </row>
    <row r="719" spans="3:9" x14ac:dyDescent="0.25">
      <c r="F719" s="79"/>
      <c r="I719" s="123"/>
    </row>
    <row r="720" spans="3:9" x14ac:dyDescent="0.25">
      <c r="F720" s="79"/>
      <c r="I720" s="123"/>
    </row>
    <row r="721" spans="1:9" x14ac:dyDescent="0.25">
      <c r="F721" s="79"/>
      <c r="I721" s="123"/>
    </row>
    <row r="722" spans="1:9" x14ac:dyDescent="0.25">
      <c r="F722" s="79"/>
      <c r="I722" s="123"/>
    </row>
    <row r="723" spans="1:9" s="33" customFormat="1" x14ac:dyDescent="0.25">
      <c r="A723" s="59"/>
      <c r="B723" s="59"/>
      <c r="C723" s="125"/>
      <c r="D723" s="128"/>
      <c r="E723" s="125"/>
      <c r="F723" s="79"/>
      <c r="G723" s="123"/>
      <c r="H723" s="123"/>
      <c r="I723" s="123"/>
    </row>
    <row r="724" spans="1:9" x14ac:dyDescent="0.25">
      <c r="F724" s="79"/>
      <c r="I724" s="123"/>
    </row>
    <row r="725" spans="1:9" x14ac:dyDescent="0.25">
      <c r="C725" s="123"/>
      <c r="E725" s="123"/>
      <c r="F725" s="79"/>
      <c r="G725" s="123"/>
      <c r="H725" s="123"/>
      <c r="I725" s="123"/>
    </row>
    <row r="726" spans="1:9" x14ac:dyDescent="0.25">
      <c r="C726" s="123"/>
      <c r="E726" s="123"/>
      <c r="F726" s="79"/>
      <c r="G726" s="123"/>
      <c r="H726" s="123"/>
      <c r="I726" s="123"/>
    </row>
    <row r="727" spans="1:9" x14ac:dyDescent="0.25">
      <c r="C727" s="123"/>
      <c r="E727" s="123"/>
      <c r="F727" s="79"/>
      <c r="G727" s="123"/>
      <c r="H727" s="123"/>
      <c r="I727" s="123"/>
    </row>
    <row r="728" spans="1:9" x14ac:dyDescent="0.25">
      <c r="C728" s="123"/>
      <c r="E728" s="123"/>
      <c r="F728" s="79"/>
      <c r="G728" s="123"/>
      <c r="H728" s="123"/>
      <c r="I728" s="123"/>
    </row>
    <row r="729" spans="1:9" x14ac:dyDescent="0.25">
      <c r="C729" s="123"/>
      <c r="E729" s="123"/>
      <c r="F729" s="79"/>
      <c r="G729" s="123"/>
      <c r="H729" s="123"/>
      <c r="I729" s="123"/>
    </row>
    <row r="730" spans="1:9" x14ac:dyDescent="0.25">
      <c r="C730" s="123"/>
      <c r="E730" s="123"/>
      <c r="F730" s="79"/>
      <c r="G730" s="123"/>
      <c r="H730" s="123"/>
      <c r="I730" s="123"/>
    </row>
    <row r="731" spans="1:9" x14ac:dyDescent="0.25">
      <c r="F731" s="79"/>
      <c r="I731" s="123"/>
    </row>
    <row r="732" spans="1:9" x14ac:dyDescent="0.25">
      <c r="F732" s="79"/>
      <c r="I732" s="123"/>
    </row>
    <row r="733" spans="1:9" x14ac:dyDescent="0.25">
      <c r="F733" s="79"/>
      <c r="I733" s="123"/>
    </row>
    <row r="734" spans="1:9" x14ac:dyDescent="0.25">
      <c r="F734" s="79"/>
      <c r="I734" s="123"/>
    </row>
    <row r="735" spans="1:9" x14ac:dyDescent="0.25">
      <c r="F735" s="79"/>
      <c r="I735" s="123"/>
    </row>
    <row r="736" spans="1:9" x14ac:dyDescent="0.25">
      <c r="F736" s="79"/>
      <c r="I736" s="123"/>
    </row>
    <row r="737" spans="6:9" x14ac:dyDescent="0.25">
      <c r="F737" s="79"/>
      <c r="I737" s="123"/>
    </row>
    <row r="738" spans="6:9" x14ac:dyDescent="0.25">
      <c r="F738" s="79"/>
      <c r="I738" s="123"/>
    </row>
    <row r="739" spans="6:9" x14ac:dyDescent="0.25">
      <c r="F739" s="79"/>
      <c r="I739" s="123"/>
    </row>
    <row r="740" spans="6:9" x14ac:dyDescent="0.25">
      <c r="F740" s="79"/>
      <c r="I740" s="123"/>
    </row>
    <row r="741" spans="6:9" x14ac:dyDescent="0.25">
      <c r="F741" s="79"/>
      <c r="I741" s="123"/>
    </row>
    <row r="742" spans="6:9" x14ac:dyDescent="0.25">
      <c r="F742" s="79"/>
      <c r="I742" s="123"/>
    </row>
    <row r="743" spans="6:9" x14ac:dyDescent="0.25">
      <c r="F743" s="79"/>
      <c r="I743" s="123"/>
    </row>
    <row r="744" spans="6:9" x14ac:dyDescent="0.25">
      <c r="F744" s="79"/>
      <c r="I744" s="123"/>
    </row>
    <row r="745" spans="6:9" x14ac:dyDescent="0.25">
      <c r="F745" s="79"/>
      <c r="I745" s="123"/>
    </row>
    <row r="746" spans="6:9" x14ac:dyDescent="0.25">
      <c r="F746" s="79"/>
      <c r="I746" s="123"/>
    </row>
    <row r="747" spans="6:9" x14ac:dyDescent="0.25">
      <c r="F747" s="79"/>
      <c r="I747" s="123"/>
    </row>
    <row r="748" spans="6:9" x14ac:dyDescent="0.25">
      <c r="F748" s="79"/>
      <c r="I748" s="123"/>
    </row>
    <row r="749" spans="6:9" x14ac:dyDescent="0.25">
      <c r="F749" s="79"/>
      <c r="I749" s="123"/>
    </row>
    <row r="750" spans="6:9" x14ac:dyDescent="0.25">
      <c r="F750" s="79"/>
      <c r="I750" s="123"/>
    </row>
    <row r="751" spans="6:9" x14ac:dyDescent="0.25">
      <c r="F751" s="79"/>
      <c r="I751" s="123"/>
    </row>
    <row r="752" spans="6:9" x14ac:dyDescent="0.25">
      <c r="F752" s="79"/>
      <c r="I752" s="123"/>
    </row>
    <row r="753" spans="3:9" x14ac:dyDescent="0.25">
      <c r="F753" s="79"/>
      <c r="I753" s="123"/>
    </row>
    <row r="754" spans="3:9" x14ac:dyDescent="0.25">
      <c r="F754" s="79"/>
      <c r="I754" s="123"/>
    </row>
    <row r="755" spans="3:9" x14ac:dyDescent="0.25">
      <c r="F755" s="79"/>
      <c r="I755" s="123"/>
    </row>
    <row r="756" spans="3:9" x14ac:dyDescent="0.25">
      <c r="F756" s="79"/>
      <c r="I756" s="123"/>
    </row>
    <row r="757" spans="3:9" x14ac:dyDescent="0.25">
      <c r="F757" s="79"/>
      <c r="I757" s="123"/>
    </row>
    <row r="758" spans="3:9" x14ac:dyDescent="0.25">
      <c r="F758" s="79"/>
      <c r="I758" s="123"/>
    </row>
    <row r="759" spans="3:9" x14ac:dyDescent="0.25">
      <c r="F759" s="79"/>
      <c r="I759" s="123"/>
    </row>
    <row r="760" spans="3:9" x14ac:dyDescent="0.25">
      <c r="F760" s="79"/>
      <c r="I760" s="123"/>
    </row>
    <row r="761" spans="3:9" x14ac:dyDescent="0.25">
      <c r="F761" s="79"/>
      <c r="I761" s="123"/>
    </row>
    <row r="762" spans="3:9" x14ac:dyDescent="0.25">
      <c r="F762" s="79"/>
      <c r="I762" s="123"/>
    </row>
    <row r="763" spans="3:9" x14ac:dyDescent="0.25">
      <c r="F763" s="79"/>
      <c r="I763" s="123"/>
    </row>
    <row r="764" spans="3:9" x14ac:dyDescent="0.25">
      <c r="F764" s="79"/>
      <c r="I764" s="123"/>
    </row>
    <row r="765" spans="3:9" x14ac:dyDescent="0.25">
      <c r="F765" s="79"/>
      <c r="I765" s="123"/>
    </row>
    <row r="766" spans="3:9" x14ac:dyDescent="0.25">
      <c r="F766" s="79"/>
      <c r="I766" s="123"/>
    </row>
    <row r="767" spans="3:9" x14ac:dyDescent="0.25">
      <c r="C767" s="66"/>
      <c r="D767" s="67"/>
      <c r="E767" s="68"/>
      <c r="F767" s="84"/>
      <c r="G767" s="68"/>
      <c r="H767" s="68"/>
      <c r="I767" s="123"/>
    </row>
    <row r="768" spans="3:9" x14ac:dyDescent="0.25">
      <c r="D768" s="62"/>
      <c r="F768" s="79"/>
      <c r="I768" s="123"/>
    </row>
    <row r="769" spans="6:9" x14ac:dyDescent="0.25">
      <c r="F769" s="79"/>
      <c r="I769" s="123"/>
    </row>
    <row r="770" spans="6:9" x14ac:dyDescent="0.25">
      <c r="F770" s="79"/>
      <c r="I770" s="123"/>
    </row>
    <row r="771" spans="6:9" x14ac:dyDescent="0.25">
      <c r="F771" s="79"/>
      <c r="I771" s="123"/>
    </row>
    <row r="772" spans="6:9" x14ac:dyDescent="0.25">
      <c r="F772" s="79"/>
      <c r="I772" s="123"/>
    </row>
    <row r="773" spans="6:9" x14ac:dyDescent="0.25">
      <c r="F773" s="79"/>
      <c r="I773" s="123"/>
    </row>
    <row r="774" spans="6:9" x14ac:dyDescent="0.25">
      <c r="F774" s="79"/>
      <c r="I774" s="123"/>
    </row>
    <row r="775" spans="6:9" x14ac:dyDescent="0.25">
      <c r="F775" s="79"/>
      <c r="I775" s="123"/>
    </row>
    <row r="776" spans="6:9" x14ac:dyDescent="0.25">
      <c r="F776" s="79"/>
      <c r="I776" s="123"/>
    </row>
    <row r="777" spans="6:9" x14ac:dyDescent="0.25">
      <c r="F777" s="79"/>
      <c r="I777" s="123"/>
    </row>
    <row r="778" spans="6:9" x14ac:dyDescent="0.25">
      <c r="F778" s="79"/>
      <c r="I778" s="123"/>
    </row>
    <row r="779" spans="6:9" x14ac:dyDescent="0.25">
      <c r="F779" s="79"/>
      <c r="I779" s="123"/>
    </row>
    <row r="780" spans="6:9" x14ac:dyDescent="0.25">
      <c r="F780" s="79"/>
      <c r="I780" s="123"/>
    </row>
    <row r="781" spans="6:9" x14ac:dyDescent="0.25">
      <c r="F781" s="79"/>
      <c r="I781" s="123"/>
    </row>
    <row r="782" spans="6:9" x14ac:dyDescent="0.25">
      <c r="F782" s="79"/>
      <c r="I782" s="123"/>
    </row>
    <row r="783" spans="6:9" x14ac:dyDescent="0.25">
      <c r="F783" s="79"/>
      <c r="I783" s="123"/>
    </row>
    <row r="784" spans="6:9" x14ac:dyDescent="0.25">
      <c r="F784" s="79"/>
      <c r="I784" s="123"/>
    </row>
    <row r="785" spans="4:9" x14ac:dyDescent="0.25">
      <c r="F785" s="79"/>
      <c r="I785" s="123"/>
    </row>
    <row r="786" spans="4:9" x14ac:dyDescent="0.25">
      <c r="F786" s="79"/>
      <c r="I786" s="123"/>
    </row>
    <row r="787" spans="4:9" x14ac:dyDescent="0.25">
      <c r="D787" s="62"/>
      <c r="F787" s="79"/>
      <c r="I787" s="123"/>
    </row>
    <row r="788" spans="4:9" x14ac:dyDescent="0.25">
      <c r="D788" s="62"/>
      <c r="F788" s="79"/>
      <c r="I788" s="123"/>
    </row>
    <row r="789" spans="4:9" x14ac:dyDescent="0.25">
      <c r="D789" s="62"/>
      <c r="F789" s="79"/>
      <c r="I789" s="123"/>
    </row>
    <row r="790" spans="4:9" x14ac:dyDescent="0.25">
      <c r="F790" s="79"/>
      <c r="I790" s="123"/>
    </row>
    <row r="791" spans="4:9" x14ac:dyDescent="0.25">
      <c r="F791" s="79"/>
      <c r="I791" s="123"/>
    </row>
    <row r="792" spans="4:9" x14ac:dyDescent="0.25">
      <c r="F792" s="79"/>
      <c r="I792" s="123"/>
    </row>
    <row r="793" spans="4:9" x14ac:dyDescent="0.25">
      <c r="F793" s="79"/>
      <c r="I793" s="123"/>
    </row>
    <row r="794" spans="4:9" x14ac:dyDescent="0.25">
      <c r="F794" s="79"/>
      <c r="I794" s="123"/>
    </row>
    <row r="795" spans="4:9" x14ac:dyDescent="0.25">
      <c r="F795" s="79"/>
      <c r="I795" s="123"/>
    </row>
    <row r="796" spans="4:9" x14ac:dyDescent="0.25">
      <c r="F796" s="79"/>
      <c r="I796" s="123"/>
    </row>
    <row r="797" spans="4:9" x14ac:dyDescent="0.25">
      <c r="F797" s="79"/>
      <c r="I797" s="123"/>
    </row>
    <row r="798" spans="4:9" x14ac:dyDescent="0.25">
      <c r="F798" s="79"/>
      <c r="I798" s="123"/>
    </row>
    <row r="799" spans="4:9" x14ac:dyDescent="0.25">
      <c r="F799" s="79"/>
      <c r="I799" s="123"/>
    </row>
    <row r="800" spans="4:9" x14ac:dyDescent="0.25">
      <c r="F800" s="79"/>
      <c r="I800" s="123"/>
    </row>
    <row r="801" spans="3:9" x14ac:dyDescent="0.25">
      <c r="F801" s="79"/>
      <c r="I801" s="123"/>
    </row>
    <row r="802" spans="3:9" x14ac:dyDescent="0.25">
      <c r="F802" s="79"/>
      <c r="I802" s="123"/>
    </row>
    <row r="803" spans="3:9" x14ac:dyDescent="0.25">
      <c r="F803" s="79"/>
      <c r="I803" s="123"/>
    </row>
    <row r="804" spans="3:9" x14ac:dyDescent="0.25">
      <c r="F804" s="79"/>
      <c r="I804" s="123"/>
    </row>
    <row r="805" spans="3:9" x14ac:dyDescent="0.25">
      <c r="F805" s="79"/>
      <c r="I805" s="123"/>
    </row>
    <row r="806" spans="3:9" x14ac:dyDescent="0.25">
      <c r="F806" s="79"/>
      <c r="I806" s="123"/>
    </row>
    <row r="807" spans="3:9" x14ac:dyDescent="0.25">
      <c r="F807" s="79"/>
      <c r="I807" s="123"/>
    </row>
    <row r="808" spans="3:9" x14ac:dyDescent="0.25">
      <c r="F808" s="79"/>
      <c r="I808" s="123"/>
    </row>
    <row r="809" spans="3:9" x14ac:dyDescent="0.25">
      <c r="F809" s="79"/>
      <c r="I809" s="123"/>
    </row>
    <row r="810" spans="3:9" x14ac:dyDescent="0.25">
      <c r="C810" s="123"/>
      <c r="E810" s="123"/>
      <c r="F810" s="79"/>
      <c r="G810" s="123"/>
      <c r="H810" s="123"/>
      <c r="I810" s="123"/>
    </row>
    <row r="811" spans="3:9" x14ac:dyDescent="0.25">
      <c r="F811" s="79"/>
      <c r="I811" s="123"/>
    </row>
    <row r="812" spans="3:9" x14ac:dyDescent="0.25">
      <c r="F812" s="79"/>
      <c r="I812" s="123"/>
    </row>
    <row r="813" spans="3:9" x14ac:dyDescent="0.25">
      <c r="F813" s="79"/>
      <c r="I813" s="123"/>
    </row>
    <row r="814" spans="3:9" x14ac:dyDescent="0.25">
      <c r="F814" s="79"/>
      <c r="I814" s="123"/>
    </row>
    <row r="815" spans="3:9" x14ac:dyDescent="0.25">
      <c r="F815" s="79"/>
      <c r="I815" s="123"/>
    </row>
    <row r="816" spans="3:9" x14ac:dyDescent="0.25">
      <c r="C816" s="52"/>
      <c r="D816" s="50"/>
      <c r="E816" s="51"/>
      <c r="F816" s="81"/>
      <c r="G816" s="51"/>
      <c r="H816" s="51"/>
      <c r="I816" s="123"/>
    </row>
    <row r="817" spans="3:9" x14ac:dyDescent="0.25">
      <c r="D817" s="62"/>
      <c r="F817" s="79"/>
      <c r="I817" s="123"/>
    </row>
    <row r="818" spans="3:9" x14ac:dyDescent="0.25">
      <c r="F818" s="79"/>
      <c r="I818" s="123"/>
    </row>
    <row r="819" spans="3:9" x14ac:dyDescent="0.25">
      <c r="F819" s="79"/>
      <c r="I819" s="123"/>
    </row>
    <row r="820" spans="3:9" x14ac:dyDescent="0.25">
      <c r="C820" s="123"/>
      <c r="E820" s="123"/>
      <c r="F820" s="79"/>
      <c r="G820" s="123"/>
      <c r="H820" s="123"/>
      <c r="I820" s="123"/>
    </row>
    <row r="821" spans="3:9" x14ac:dyDescent="0.25">
      <c r="F821" s="79"/>
      <c r="I821" s="123"/>
    </row>
    <row r="822" spans="3:9" x14ac:dyDescent="0.25">
      <c r="F822" s="79"/>
      <c r="I822" s="123"/>
    </row>
    <row r="823" spans="3:9" x14ac:dyDescent="0.25">
      <c r="F823" s="79"/>
      <c r="I823" s="123"/>
    </row>
    <row r="824" spans="3:9" x14ac:dyDescent="0.25">
      <c r="F824" s="79"/>
      <c r="I824" s="123"/>
    </row>
    <row r="825" spans="3:9" x14ac:dyDescent="0.25">
      <c r="F825" s="79"/>
      <c r="I825" s="123"/>
    </row>
    <row r="826" spans="3:9" x14ac:dyDescent="0.25">
      <c r="C826" s="123"/>
      <c r="E826" s="123"/>
      <c r="F826" s="79"/>
      <c r="G826" s="123"/>
      <c r="H826" s="123"/>
      <c r="I826" s="123"/>
    </row>
    <row r="827" spans="3:9" x14ac:dyDescent="0.25">
      <c r="F827" s="79"/>
      <c r="I827" s="123"/>
    </row>
    <row r="828" spans="3:9" x14ac:dyDescent="0.25">
      <c r="F828" s="79"/>
      <c r="I828" s="123"/>
    </row>
    <row r="829" spans="3:9" x14ac:dyDescent="0.25">
      <c r="F829" s="79"/>
      <c r="I829" s="123"/>
    </row>
    <row r="830" spans="3:9" x14ac:dyDescent="0.25">
      <c r="F830" s="79"/>
      <c r="I830" s="123"/>
    </row>
    <row r="831" spans="3:9" x14ac:dyDescent="0.25">
      <c r="F831" s="79"/>
      <c r="I831" s="123"/>
    </row>
    <row r="832" spans="3:9" x14ac:dyDescent="0.25">
      <c r="F832" s="79"/>
      <c r="I832" s="123"/>
    </row>
    <row r="833" spans="6:9" x14ac:dyDescent="0.25">
      <c r="F833" s="79"/>
      <c r="I833" s="123"/>
    </row>
    <row r="834" spans="6:9" x14ac:dyDescent="0.25">
      <c r="F834" s="79"/>
      <c r="I834" s="123"/>
    </row>
    <row r="835" spans="6:9" x14ac:dyDescent="0.25">
      <c r="F835" s="79"/>
      <c r="I835" s="123"/>
    </row>
    <row r="836" spans="6:9" x14ac:dyDescent="0.25">
      <c r="F836" s="79"/>
      <c r="I836" s="123"/>
    </row>
    <row r="837" spans="6:9" x14ac:dyDescent="0.25">
      <c r="F837" s="79"/>
      <c r="I837" s="123"/>
    </row>
    <row r="838" spans="6:9" x14ac:dyDescent="0.25">
      <c r="F838" s="79"/>
      <c r="I838" s="123"/>
    </row>
    <row r="839" spans="6:9" x14ac:dyDescent="0.25">
      <c r="F839" s="79"/>
      <c r="I839" s="123"/>
    </row>
    <row r="840" spans="6:9" x14ac:dyDescent="0.25">
      <c r="F840" s="79"/>
      <c r="I840" s="123"/>
    </row>
    <row r="841" spans="6:9" x14ac:dyDescent="0.25">
      <c r="F841" s="79"/>
      <c r="I841" s="123"/>
    </row>
    <row r="842" spans="6:9" x14ac:dyDescent="0.25">
      <c r="F842" s="79"/>
      <c r="I842" s="123"/>
    </row>
    <row r="843" spans="6:9" x14ac:dyDescent="0.25">
      <c r="F843" s="79"/>
      <c r="I843" s="123"/>
    </row>
    <row r="844" spans="6:9" x14ac:dyDescent="0.25">
      <c r="F844" s="79"/>
      <c r="I844" s="123"/>
    </row>
    <row r="845" spans="6:9" x14ac:dyDescent="0.25">
      <c r="F845" s="79"/>
      <c r="I845" s="123"/>
    </row>
    <row r="846" spans="6:9" x14ac:dyDescent="0.25">
      <c r="F846" s="79"/>
      <c r="I846" s="123"/>
    </row>
    <row r="847" spans="6:9" x14ac:dyDescent="0.25">
      <c r="F847" s="79"/>
      <c r="I847" s="123"/>
    </row>
    <row r="848" spans="6:9" x14ac:dyDescent="0.25">
      <c r="F848" s="79"/>
      <c r="I848" s="123"/>
    </row>
    <row r="849" spans="3:9" x14ac:dyDescent="0.25">
      <c r="F849" s="79"/>
      <c r="I849" s="123"/>
    </row>
    <row r="850" spans="3:9" x14ac:dyDescent="0.25">
      <c r="F850" s="79"/>
      <c r="I850" s="123"/>
    </row>
    <row r="851" spans="3:9" x14ac:dyDescent="0.25">
      <c r="F851" s="79"/>
      <c r="I851" s="123"/>
    </row>
    <row r="852" spans="3:9" x14ac:dyDescent="0.25">
      <c r="F852" s="79"/>
      <c r="I852" s="123"/>
    </row>
    <row r="853" spans="3:9" x14ac:dyDescent="0.25">
      <c r="F853" s="79"/>
      <c r="I853" s="123"/>
    </row>
    <row r="854" spans="3:9" x14ac:dyDescent="0.25">
      <c r="F854" s="79"/>
      <c r="I854" s="123"/>
    </row>
    <row r="855" spans="3:9" x14ac:dyDescent="0.25">
      <c r="F855" s="79"/>
      <c r="I855" s="123"/>
    </row>
    <row r="856" spans="3:9" x14ac:dyDescent="0.25">
      <c r="F856" s="79"/>
      <c r="I856" s="123"/>
    </row>
    <row r="857" spans="3:9" x14ac:dyDescent="0.25">
      <c r="F857" s="79"/>
      <c r="I857" s="123"/>
    </row>
    <row r="858" spans="3:9" x14ac:dyDescent="0.25">
      <c r="F858" s="79"/>
      <c r="I858" s="123"/>
    </row>
    <row r="859" spans="3:9" x14ac:dyDescent="0.25">
      <c r="F859" s="79"/>
      <c r="I859" s="123"/>
    </row>
    <row r="860" spans="3:9" x14ac:dyDescent="0.25">
      <c r="F860" s="79"/>
      <c r="I860" s="123"/>
    </row>
    <row r="861" spans="3:9" x14ac:dyDescent="0.25">
      <c r="F861" s="79"/>
      <c r="I861" s="123"/>
    </row>
    <row r="862" spans="3:9" x14ac:dyDescent="0.25">
      <c r="C862" s="126"/>
      <c r="D862" s="127"/>
      <c r="E862" s="58"/>
      <c r="F862" s="85"/>
      <c r="G862" s="58"/>
      <c r="H862" s="78"/>
      <c r="I862" s="123"/>
    </row>
    <row r="863" spans="3:9" x14ac:dyDescent="0.25">
      <c r="D863" s="62"/>
      <c r="F863" s="79"/>
      <c r="I863" s="123"/>
    </row>
    <row r="864" spans="3:9" x14ac:dyDescent="0.25">
      <c r="F864" s="79"/>
      <c r="I864" s="123"/>
    </row>
    <row r="865" spans="6:9" x14ac:dyDescent="0.25">
      <c r="F865" s="79"/>
      <c r="I865" s="123"/>
    </row>
    <row r="866" spans="6:9" x14ac:dyDescent="0.25">
      <c r="F866" s="79"/>
      <c r="I866" s="123"/>
    </row>
    <row r="867" spans="6:9" x14ac:dyDescent="0.25">
      <c r="F867" s="79"/>
      <c r="I867" s="123"/>
    </row>
    <row r="868" spans="6:9" x14ac:dyDescent="0.25">
      <c r="F868" s="79"/>
      <c r="I868" s="123"/>
    </row>
    <row r="869" spans="6:9" x14ac:dyDescent="0.25">
      <c r="F869" s="79"/>
      <c r="I869" s="123"/>
    </row>
    <row r="870" spans="6:9" x14ac:dyDescent="0.25">
      <c r="F870" s="79"/>
      <c r="I870" s="123"/>
    </row>
    <row r="871" spans="6:9" x14ac:dyDescent="0.25">
      <c r="F871" s="79"/>
      <c r="I871" s="123"/>
    </row>
    <row r="872" spans="6:9" x14ac:dyDescent="0.25">
      <c r="F872" s="79"/>
      <c r="I872" s="123"/>
    </row>
    <row r="873" spans="6:9" x14ac:dyDescent="0.25">
      <c r="F873" s="79"/>
      <c r="I873" s="123"/>
    </row>
    <row r="874" spans="6:9" x14ac:dyDescent="0.25">
      <c r="F874" s="79"/>
      <c r="I874" s="123"/>
    </row>
    <row r="875" spans="6:9" x14ac:dyDescent="0.25">
      <c r="F875" s="79"/>
      <c r="I875" s="123"/>
    </row>
    <row r="876" spans="6:9" x14ac:dyDescent="0.25">
      <c r="F876" s="79"/>
      <c r="I876" s="123"/>
    </row>
    <row r="877" spans="6:9" x14ac:dyDescent="0.25">
      <c r="F877" s="79"/>
      <c r="I877" s="123"/>
    </row>
    <row r="878" spans="6:9" x14ac:dyDescent="0.25">
      <c r="F878" s="79"/>
      <c r="I878" s="123"/>
    </row>
    <row r="879" spans="6:9" x14ac:dyDescent="0.25">
      <c r="F879" s="79"/>
      <c r="I879" s="123"/>
    </row>
    <row r="880" spans="6:9" x14ac:dyDescent="0.25">
      <c r="F880" s="79"/>
      <c r="I880" s="123"/>
    </row>
    <row r="881" spans="6:9" x14ac:dyDescent="0.25">
      <c r="F881" s="79"/>
      <c r="I881" s="123"/>
    </row>
    <row r="882" spans="6:9" x14ac:dyDescent="0.25">
      <c r="F882" s="79"/>
      <c r="I882" s="123"/>
    </row>
    <row r="883" spans="6:9" x14ac:dyDescent="0.25">
      <c r="F883" s="79"/>
      <c r="I883" s="123"/>
    </row>
    <row r="884" spans="6:9" x14ac:dyDescent="0.25">
      <c r="F884" s="79"/>
      <c r="I884" s="123"/>
    </row>
    <row r="885" spans="6:9" x14ac:dyDescent="0.25">
      <c r="F885" s="79"/>
      <c r="I885" s="123"/>
    </row>
    <row r="886" spans="6:9" x14ac:dyDescent="0.25">
      <c r="F886" s="79"/>
      <c r="I886" s="123"/>
    </row>
    <row r="887" spans="6:9" x14ac:dyDescent="0.25">
      <c r="F887" s="79"/>
      <c r="I887" s="123"/>
    </row>
    <row r="888" spans="6:9" x14ac:dyDescent="0.25">
      <c r="F888" s="79"/>
      <c r="I888" s="123"/>
    </row>
    <row r="889" spans="6:9" x14ac:dyDescent="0.25">
      <c r="F889" s="79"/>
      <c r="I889" s="123"/>
    </row>
    <row r="890" spans="6:9" x14ac:dyDescent="0.25">
      <c r="F890" s="79"/>
      <c r="I890" s="123"/>
    </row>
    <row r="891" spans="6:9" x14ac:dyDescent="0.25">
      <c r="F891" s="79"/>
      <c r="I891" s="123"/>
    </row>
    <row r="892" spans="6:9" x14ac:dyDescent="0.25">
      <c r="F892" s="79"/>
      <c r="I892" s="123"/>
    </row>
    <row r="893" spans="6:9" x14ac:dyDescent="0.25">
      <c r="F893" s="79"/>
      <c r="I893" s="123"/>
    </row>
    <row r="894" spans="6:9" x14ac:dyDescent="0.25">
      <c r="F894" s="79"/>
      <c r="I894" s="123"/>
    </row>
    <row r="895" spans="6:9" x14ac:dyDescent="0.25">
      <c r="F895" s="79"/>
      <c r="I895" s="123"/>
    </row>
    <row r="896" spans="6:9" x14ac:dyDescent="0.25">
      <c r="F896" s="79"/>
      <c r="I896" s="123"/>
    </row>
    <row r="897" spans="3:9" x14ac:dyDescent="0.25">
      <c r="F897" s="79"/>
      <c r="I897" s="123"/>
    </row>
    <row r="898" spans="3:9" x14ac:dyDescent="0.25">
      <c r="C898" s="123"/>
      <c r="E898" s="123"/>
      <c r="F898" s="79"/>
      <c r="G898" s="123"/>
      <c r="H898" s="123"/>
      <c r="I898" s="123"/>
    </row>
    <row r="899" spans="3:9" x14ac:dyDescent="0.25">
      <c r="F899" s="79"/>
      <c r="I899" s="123"/>
    </row>
    <row r="900" spans="3:9" x14ac:dyDescent="0.25">
      <c r="C900" s="123"/>
      <c r="E900" s="123"/>
      <c r="F900" s="79"/>
      <c r="G900" s="123"/>
      <c r="H900" s="123"/>
      <c r="I900" s="123"/>
    </row>
    <row r="901" spans="3:9" x14ac:dyDescent="0.25">
      <c r="F901" s="79"/>
      <c r="I901" s="123"/>
    </row>
    <row r="902" spans="3:9" x14ac:dyDescent="0.25">
      <c r="F902" s="79"/>
      <c r="I902" s="123"/>
    </row>
    <row r="903" spans="3:9" x14ac:dyDescent="0.25">
      <c r="F903" s="79"/>
      <c r="I903" s="123"/>
    </row>
    <row r="904" spans="3:9" x14ac:dyDescent="0.25">
      <c r="F904" s="79"/>
      <c r="I904" s="123"/>
    </row>
    <row r="905" spans="3:9" x14ac:dyDescent="0.25">
      <c r="F905" s="79"/>
      <c r="I905" s="123"/>
    </row>
    <row r="906" spans="3:9" x14ac:dyDescent="0.25">
      <c r="F906" s="79"/>
      <c r="I906" s="123"/>
    </row>
    <row r="907" spans="3:9" x14ac:dyDescent="0.25">
      <c r="F907" s="79"/>
      <c r="I907" s="123"/>
    </row>
    <row r="908" spans="3:9" x14ac:dyDescent="0.25">
      <c r="F908" s="79"/>
      <c r="I908" s="123"/>
    </row>
    <row r="909" spans="3:9" x14ac:dyDescent="0.25">
      <c r="F909" s="79"/>
      <c r="I909" s="123"/>
    </row>
    <row r="910" spans="3:9" x14ac:dyDescent="0.25">
      <c r="F910" s="79"/>
      <c r="I910" s="123"/>
    </row>
    <row r="911" spans="3:9" x14ac:dyDescent="0.25">
      <c r="F911" s="79"/>
      <c r="I911" s="123"/>
    </row>
    <row r="912" spans="3:9" x14ac:dyDescent="0.25">
      <c r="F912" s="79"/>
      <c r="I912" s="123"/>
    </row>
    <row r="913" spans="3:9" x14ac:dyDescent="0.25">
      <c r="F913" s="79"/>
      <c r="I913" s="123"/>
    </row>
    <row r="914" spans="3:9" x14ac:dyDescent="0.25">
      <c r="C914" s="123"/>
      <c r="E914" s="123"/>
      <c r="F914" s="79"/>
      <c r="G914" s="123"/>
      <c r="H914" s="123"/>
      <c r="I914" s="123"/>
    </row>
    <row r="915" spans="3:9" x14ac:dyDescent="0.25">
      <c r="C915" s="123"/>
      <c r="E915" s="123"/>
      <c r="F915" s="79"/>
      <c r="G915" s="123"/>
      <c r="H915" s="123"/>
      <c r="I915" s="123"/>
    </row>
    <row r="916" spans="3:9" x14ac:dyDescent="0.25">
      <c r="C916" s="123"/>
      <c r="E916" s="123"/>
      <c r="F916" s="79"/>
      <c r="G916" s="123"/>
      <c r="H916" s="123"/>
      <c r="I916" s="123"/>
    </row>
    <row r="917" spans="3:9" x14ac:dyDescent="0.25">
      <c r="C917" s="123"/>
      <c r="E917" s="123"/>
      <c r="F917" s="79"/>
      <c r="G917" s="123"/>
      <c r="H917" s="123"/>
      <c r="I917" s="123"/>
    </row>
    <row r="918" spans="3:9" x14ac:dyDescent="0.25">
      <c r="C918" s="123"/>
      <c r="E918" s="123"/>
      <c r="F918" s="79"/>
      <c r="G918" s="123"/>
      <c r="H918" s="123"/>
      <c r="I918" s="123"/>
    </row>
    <row r="919" spans="3:9" x14ac:dyDescent="0.25">
      <c r="C919" s="123"/>
      <c r="E919" s="123"/>
      <c r="F919" s="79"/>
      <c r="G919" s="123"/>
      <c r="H919" s="123"/>
      <c r="I919" s="123"/>
    </row>
    <row r="920" spans="3:9" x14ac:dyDescent="0.25">
      <c r="C920" s="123"/>
      <c r="E920" s="123"/>
      <c r="F920" s="79"/>
      <c r="G920" s="123"/>
      <c r="H920" s="123"/>
      <c r="I920" s="123"/>
    </row>
    <row r="921" spans="3:9" x14ac:dyDescent="0.25">
      <c r="C921" s="123"/>
      <c r="E921" s="123"/>
      <c r="F921" s="79"/>
      <c r="G921" s="123"/>
      <c r="H921" s="123"/>
      <c r="I921" s="123"/>
    </row>
    <row r="922" spans="3:9" x14ac:dyDescent="0.25">
      <c r="C922" s="123"/>
      <c r="E922" s="123"/>
      <c r="F922" s="79"/>
      <c r="G922" s="123"/>
      <c r="H922" s="123"/>
      <c r="I922" s="123"/>
    </row>
    <row r="923" spans="3:9" x14ac:dyDescent="0.25">
      <c r="C923" s="123"/>
      <c r="E923" s="123"/>
      <c r="F923" s="79"/>
      <c r="G923" s="123"/>
      <c r="H923" s="123"/>
      <c r="I923" s="123"/>
    </row>
    <row r="924" spans="3:9" x14ac:dyDescent="0.25">
      <c r="C924" s="123"/>
      <c r="E924" s="123"/>
      <c r="F924" s="79"/>
      <c r="G924" s="123"/>
      <c r="H924" s="123"/>
      <c r="I924" s="123"/>
    </row>
    <row r="925" spans="3:9" x14ac:dyDescent="0.25">
      <c r="C925" s="123"/>
      <c r="E925" s="123"/>
      <c r="F925" s="79"/>
      <c r="G925" s="123"/>
      <c r="H925" s="123"/>
      <c r="I925" s="123"/>
    </row>
    <row r="926" spans="3:9" x14ac:dyDescent="0.25">
      <c r="C926" s="123"/>
      <c r="E926" s="123"/>
      <c r="F926" s="79"/>
      <c r="G926" s="123"/>
      <c r="H926" s="123"/>
      <c r="I926" s="123"/>
    </row>
    <row r="927" spans="3:9" x14ac:dyDescent="0.25">
      <c r="C927" s="123"/>
      <c r="E927" s="123"/>
      <c r="F927" s="79"/>
      <c r="G927" s="123"/>
      <c r="H927" s="123"/>
      <c r="I927" s="123"/>
    </row>
    <row r="928" spans="3:9" x14ac:dyDescent="0.25">
      <c r="C928" s="123"/>
      <c r="E928" s="123"/>
      <c r="F928" s="79"/>
      <c r="G928" s="123"/>
      <c r="H928" s="123"/>
      <c r="I928" s="123"/>
    </row>
    <row r="929" spans="3:9" x14ac:dyDescent="0.25">
      <c r="C929" s="123"/>
      <c r="E929" s="123"/>
      <c r="F929" s="79"/>
      <c r="G929" s="123"/>
      <c r="H929" s="123"/>
      <c r="I929" s="123"/>
    </row>
    <row r="930" spans="3:9" x14ac:dyDescent="0.25">
      <c r="C930" s="123"/>
      <c r="E930" s="123"/>
      <c r="F930" s="79"/>
      <c r="G930" s="123"/>
      <c r="H930" s="123"/>
      <c r="I930" s="123"/>
    </row>
    <row r="931" spans="3:9" x14ac:dyDescent="0.25">
      <c r="C931" s="123"/>
      <c r="E931" s="123"/>
      <c r="F931" s="79"/>
      <c r="G931" s="123"/>
      <c r="H931" s="123"/>
      <c r="I931" s="123"/>
    </row>
    <row r="932" spans="3:9" x14ac:dyDescent="0.25">
      <c r="C932" s="123"/>
      <c r="E932" s="123"/>
      <c r="F932" s="79"/>
      <c r="G932" s="123"/>
      <c r="H932" s="123"/>
      <c r="I932" s="123"/>
    </row>
    <row r="933" spans="3:9" x14ac:dyDescent="0.25">
      <c r="C933" s="123"/>
      <c r="E933" s="123"/>
      <c r="F933" s="79"/>
      <c r="G933" s="123"/>
      <c r="H933" s="123"/>
      <c r="I933" s="123"/>
    </row>
    <row r="934" spans="3:9" x14ac:dyDescent="0.25">
      <c r="C934" s="123"/>
      <c r="E934" s="123"/>
      <c r="F934" s="79"/>
      <c r="G934" s="123"/>
      <c r="H934" s="123"/>
      <c r="I934" s="123"/>
    </row>
    <row r="935" spans="3:9" x14ac:dyDescent="0.25">
      <c r="C935" s="123"/>
      <c r="E935" s="123"/>
      <c r="F935" s="79"/>
      <c r="G935" s="123"/>
      <c r="H935" s="123"/>
      <c r="I935" s="123"/>
    </row>
    <row r="936" spans="3:9" x14ac:dyDescent="0.25">
      <c r="C936" s="123"/>
      <c r="E936" s="123"/>
      <c r="F936" s="79"/>
      <c r="G936" s="123"/>
      <c r="H936" s="123"/>
      <c r="I936" s="123"/>
    </row>
    <row r="937" spans="3:9" x14ac:dyDescent="0.25">
      <c r="C937" s="123"/>
      <c r="E937" s="123"/>
      <c r="F937" s="79"/>
      <c r="G937" s="123"/>
      <c r="H937" s="123"/>
      <c r="I937" s="123"/>
    </row>
    <row r="938" spans="3:9" x14ac:dyDescent="0.25">
      <c r="C938" s="123"/>
      <c r="E938" s="123"/>
      <c r="F938" s="79"/>
      <c r="G938" s="123"/>
      <c r="H938" s="123"/>
      <c r="I938" s="123"/>
    </row>
    <row r="939" spans="3:9" x14ac:dyDescent="0.25">
      <c r="C939" s="123"/>
      <c r="E939" s="123"/>
      <c r="F939" s="79"/>
      <c r="G939" s="123"/>
      <c r="H939" s="123"/>
      <c r="I939" s="123"/>
    </row>
    <row r="940" spans="3:9" x14ac:dyDescent="0.25">
      <c r="C940" s="123"/>
      <c r="E940" s="123"/>
      <c r="F940" s="79"/>
      <c r="G940" s="123"/>
      <c r="H940" s="123"/>
      <c r="I940" s="123"/>
    </row>
    <row r="941" spans="3:9" x14ac:dyDescent="0.25">
      <c r="C941" s="123"/>
      <c r="E941" s="123"/>
      <c r="F941" s="79"/>
      <c r="G941" s="123"/>
      <c r="H941" s="123"/>
      <c r="I941" s="123"/>
    </row>
    <row r="942" spans="3:9" x14ac:dyDescent="0.25">
      <c r="C942" s="123"/>
      <c r="E942" s="123"/>
      <c r="F942" s="79"/>
      <c r="G942" s="123"/>
      <c r="H942" s="123"/>
      <c r="I942" s="123"/>
    </row>
    <row r="943" spans="3:9" x14ac:dyDescent="0.25">
      <c r="C943" s="123"/>
      <c r="E943" s="123"/>
      <c r="F943" s="79"/>
      <c r="G943" s="123"/>
      <c r="H943" s="123"/>
      <c r="I943" s="123"/>
    </row>
    <row r="944" spans="3:9" x14ac:dyDescent="0.25">
      <c r="C944" s="123"/>
      <c r="E944" s="123"/>
      <c r="F944" s="79"/>
      <c r="G944" s="123"/>
      <c r="H944" s="123"/>
      <c r="I944" s="123"/>
    </row>
    <row r="945" spans="3:9" x14ac:dyDescent="0.25">
      <c r="C945" s="123"/>
      <c r="E945" s="123"/>
      <c r="F945" s="79"/>
      <c r="G945" s="123"/>
      <c r="H945" s="123"/>
      <c r="I945" s="123"/>
    </row>
    <row r="946" spans="3:9" x14ac:dyDescent="0.25">
      <c r="C946" s="123"/>
      <c r="E946" s="123"/>
      <c r="F946" s="79"/>
      <c r="G946" s="123"/>
      <c r="H946" s="123"/>
      <c r="I946" s="123"/>
    </row>
    <row r="947" spans="3:9" x14ac:dyDescent="0.25">
      <c r="C947" s="123"/>
      <c r="E947" s="123"/>
      <c r="F947" s="79"/>
      <c r="G947" s="123"/>
      <c r="H947" s="123"/>
      <c r="I947" s="123"/>
    </row>
    <row r="948" spans="3:9" x14ac:dyDescent="0.25">
      <c r="C948" s="123"/>
      <c r="E948" s="123"/>
      <c r="F948" s="79"/>
      <c r="G948" s="123"/>
      <c r="H948" s="123"/>
      <c r="I948" s="123"/>
    </row>
    <row r="949" spans="3:9" x14ac:dyDescent="0.25">
      <c r="C949" s="123"/>
      <c r="E949" s="123"/>
      <c r="F949" s="79"/>
      <c r="G949" s="123"/>
      <c r="H949" s="123"/>
      <c r="I949" s="123"/>
    </row>
    <row r="950" spans="3:9" x14ac:dyDescent="0.25">
      <c r="C950" s="123"/>
      <c r="E950" s="123"/>
      <c r="F950" s="79"/>
      <c r="G950" s="123"/>
      <c r="H950" s="123"/>
      <c r="I950" s="123"/>
    </row>
    <row r="951" spans="3:9" x14ac:dyDescent="0.25">
      <c r="C951" s="123"/>
      <c r="E951" s="123"/>
      <c r="F951" s="79"/>
      <c r="G951" s="123"/>
      <c r="H951" s="123"/>
      <c r="I951" s="123"/>
    </row>
    <row r="952" spans="3:9" x14ac:dyDescent="0.25">
      <c r="C952" s="123"/>
      <c r="E952" s="123"/>
      <c r="F952" s="79"/>
      <c r="G952" s="123"/>
      <c r="H952" s="123"/>
      <c r="I952" s="123"/>
    </row>
    <row r="953" spans="3:9" x14ac:dyDescent="0.25">
      <c r="C953" s="123"/>
      <c r="E953" s="123"/>
      <c r="F953" s="79"/>
      <c r="G953" s="123"/>
      <c r="H953" s="123"/>
      <c r="I953" s="123"/>
    </row>
    <row r="954" spans="3:9" x14ac:dyDescent="0.25">
      <c r="C954" s="123"/>
      <c r="E954" s="123"/>
      <c r="F954" s="79"/>
      <c r="G954" s="123"/>
      <c r="H954" s="123"/>
      <c r="I954" s="123"/>
    </row>
    <row r="955" spans="3:9" x14ac:dyDescent="0.25">
      <c r="C955" s="123"/>
      <c r="D955" s="62"/>
      <c r="E955" s="123"/>
      <c r="F955" s="79"/>
      <c r="G955" s="123"/>
      <c r="H955" s="123"/>
      <c r="I955" s="123"/>
    </row>
    <row r="956" spans="3:9" x14ac:dyDescent="0.25">
      <c r="C956" s="123"/>
      <c r="E956" s="123"/>
      <c r="F956" s="79"/>
      <c r="G956" s="123"/>
      <c r="H956" s="123"/>
      <c r="I956" s="123"/>
    </row>
    <row r="957" spans="3:9" x14ac:dyDescent="0.25">
      <c r="C957" s="123"/>
      <c r="E957" s="123"/>
      <c r="F957" s="79"/>
      <c r="G957" s="123"/>
      <c r="H957" s="123"/>
      <c r="I957" s="123"/>
    </row>
    <row r="958" spans="3:9" x14ac:dyDescent="0.25">
      <c r="C958" s="123"/>
      <c r="E958" s="123"/>
      <c r="F958" s="79"/>
      <c r="G958" s="123"/>
      <c r="H958" s="123"/>
      <c r="I958" s="123"/>
    </row>
    <row r="959" spans="3:9" x14ac:dyDescent="0.25">
      <c r="C959" s="123"/>
      <c r="E959" s="123"/>
      <c r="F959" s="79"/>
      <c r="G959" s="123"/>
      <c r="H959" s="123"/>
      <c r="I959" s="123"/>
    </row>
    <row r="960" spans="3:9" x14ac:dyDescent="0.25">
      <c r="C960" s="123"/>
      <c r="E960" s="123"/>
      <c r="F960" s="79"/>
      <c r="G960" s="123"/>
      <c r="H960" s="123"/>
      <c r="I960" s="123"/>
    </row>
    <row r="961" spans="3:9" x14ac:dyDescent="0.25">
      <c r="C961" s="123"/>
      <c r="E961" s="123"/>
      <c r="F961" s="79"/>
      <c r="G961" s="123"/>
      <c r="H961" s="123"/>
      <c r="I961" s="123"/>
    </row>
    <row r="962" spans="3:9" x14ac:dyDescent="0.25">
      <c r="C962" s="123"/>
      <c r="E962" s="123"/>
      <c r="F962" s="79"/>
      <c r="G962" s="123"/>
      <c r="H962" s="123"/>
      <c r="I962" s="123"/>
    </row>
    <row r="963" spans="3:9" x14ac:dyDescent="0.25">
      <c r="C963" s="123"/>
      <c r="E963" s="123"/>
      <c r="F963" s="79"/>
      <c r="G963" s="123"/>
      <c r="H963" s="123"/>
      <c r="I963" s="123"/>
    </row>
    <row r="964" spans="3:9" x14ac:dyDescent="0.25">
      <c r="C964" s="123"/>
      <c r="E964" s="123"/>
      <c r="F964" s="79"/>
      <c r="G964" s="123"/>
      <c r="H964" s="123"/>
      <c r="I964" s="123"/>
    </row>
    <row r="965" spans="3:9" x14ac:dyDescent="0.25">
      <c r="C965" s="123"/>
      <c r="E965" s="123"/>
      <c r="F965" s="79"/>
      <c r="G965" s="123"/>
      <c r="H965" s="123"/>
      <c r="I965" s="123"/>
    </row>
    <row r="966" spans="3:9" x14ac:dyDescent="0.25">
      <c r="C966" s="123"/>
      <c r="E966" s="123"/>
      <c r="F966" s="79"/>
      <c r="G966" s="123"/>
      <c r="H966" s="123"/>
      <c r="I966" s="123"/>
    </row>
    <row r="967" spans="3:9" x14ac:dyDescent="0.25">
      <c r="C967" s="123"/>
      <c r="E967" s="123"/>
      <c r="F967" s="79"/>
      <c r="G967" s="123"/>
      <c r="H967" s="123"/>
      <c r="I967" s="123"/>
    </row>
    <row r="968" spans="3:9" x14ac:dyDescent="0.25">
      <c r="C968" s="123"/>
      <c r="E968" s="123"/>
      <c r="F968" s="79"/>
      <c r="G968" s="123"/>
      <c r="H968" s="123"/>
      <c r="I968" s="123"/>
    </row>
    <row r="969" spans="3:9" x14ac:dyDescent="0.25">
      <c r="C969" s="123"/>
      <c r="E969" s="123"/>
      <c r="F969" s="79"/>
      <c r="G969" s="123"/>
      <c r="H969" s="123"/>
      <c r="I969" s="123"/>
    </row>
    <row r="970" spans="3:9" x14ac:dyDescent="0.25">
      <c r="C970" s="123"/>
      <c r="E970" s="123"/>
      <c r="F970" s="79"/>
      <c r="G970" s="123"/>
      <c r="H970" s="123"/>
      <c r="I970" s="123"/>
    </row>
    <row r="971" spans="3:9" x14ac:dyDescent="0.25">
      <c r="C971" s="123"/>
      <c r="E971" s="123"/>
      <c r="F971" s="79"/>
      <c r="G971" s="123"/>
      <c r="H971" s="123"/>
      <c r="I971" s="123"/>
    </row>
    <row r="972" spans="3:9" x14ac:dyDescent="0.25">
      <c r="C972" s="123"/>
      <c r="E972" s="123"/>
      <c r="F972" s="79"/>
      <c r="G972" s="123"/>
      <c r="H972" s="123"/>
      <c r="I972" s="123"/>
    </row>
    <row r="973" spans="3:9" x14ac:dyDescent="0.25">
      <c r="C973" s="123"/>
      <c r="E973" s="123"/>
      <c r="F973" s="79"/>
      <c r="G973" s="123"/>
      <c r="H973" s="123"/>
      <c r="I973" s="123"/>
    </row>
    <row r="974" spans="3:9" x14ac:dyDescent="0.25">
      <c r="C974" s="123"/>
      <c r="E974" s="123"/>
      <c r="F974" s="79"/>
      <c r="G974" s="123"/>
      <c r="H974" s="123"/>
      <c r="I974" s="123"/>
    </row>
    <row r="975" spans="3:9" x14ac:dyDescent="0.25">
      <c r="C975" s="123"/>
      <c r="E975" s="123"/>
      <c r="F975" s="79"/>
      <c r="G975" s="123"/>
      <c r="H975" s="123"/>
      <c r="I975" s="123"/>
    </row>
    <row r="976" spans="3:9" x14ac:dyDescent="0.25">
      <c r="C976" s="123"/>
      <c r="E976" s="123"/>
      <c r="F976" s="79"/>
      <c r="G976" s="123"/>
      <c r="H976" s="123"/>
      <c r="I976" s="123"/>
    </row>
    <row r="977" spans="3:9" x14ac:dyDescent="0.25">
      <c r="C977" s="123"/>
      <c r="E977" s="123"/>
      <c r="F977" s="79"/>
      <c r="G977" s="123"/>
      <c r="H977" s="123"/>
      <c r="I977" s="123"/>
    </row>
    <row r="978" spans="3:9" x14ac:dyDescent="0.25">
      <c r="C978" s="123"/>
      <c r="E978" s="123"/>
      <c r="F978" s="79"/>
      <c r="G978" s="123"/>
      <c r="H978" s="123"/>
      <c r="I978" s="123"/>
    </row>
    <row r="979" spans="3:9" x14ac:dyDescent="0.25">
      <c r="C979" s="123"/>
      <c r="E979" s="123"/>
      <c r="F979" s="79"/>
      <c r="G979" s="123"/>
      <c r="H979" s="123"/>
      <c r="I979" s="123"/>
    </row>
    <row r="980" spans="3:9" x14ac:dyDescent="0.25">
      <c r="C980" s="123"/>
      <c r="E980" s="123"/>
      <c r="F980" s="79"/>
      <c r="G980" s="123"/>
      <c r="H980" s="123"/>
      <c r="I980" s="123"/>
    </row>
    <row r="981" spans="3:9" x14ac:dyDescent="0.25">
      <c r="C981" s="123"/>
      <c r="E981" s="123"/>
      <c r="F981" s="79"/>
      <c r="G981" s="123"/>
      <c r="H981" s="123"/>
      <c r="I981" s="123"/>
    </row>
    <row r="982" spans="3:9" x14ac:dyDescent="0.25">
      <c r="C982" s="123"/>
      <c r="E982" s="123"/>
      <c r="F982" s="79"/>
      <c r="G982" s="123"/>
      <c r="H982" s="123"/>
      <c r="I982" s="123"/>
    </row>
    <row r="983" spans="3:9" x14ac:dyDescent="0.25">
      <c r="C983" s="123"/>
      <c r="E983" s="123"/>
      <c r="F983" s="79"/>
      <c r="G983" s="123"/>
      <c r="H983" s="123"/>
      <c r="I983" s="123"/>
    </row>
    <row r="984" spans="3:9" x14ac:dyDescent="0.25">
      <c r="C984" s="123"/>
      <c r="E984" s="123"/>
      <c r="F984" s="79"/>
      <c r="G984" s="123"/>
      <c r="H984" s="123"/>
      <c r="I984" s="123"/>
    </row>
    <row r="985" spans="3:9" x14ac:dyDescent="0.25">
      <c r="C985" s="123"/>
      <c r="E985" s="123"/>
      <c r="F985" s="79"/>
      <c r="G985" s="123"/>
      <c r="H985" s="123"/>
      <c r="I985" s="123"/>
    </row>
    <row r="986" spans="3:9" x14ac:dyDescent="0.25">
      <c r="C986" s="123"/>
      <c r="E986" s="123"/>
      <c r="F986" s="79"/>
      <c r="G986" s="123"/>
      <c r="H986" s="123"/>
      <c r="I986" s="123"/>
    </row>
    <row r="987" spans="3:9" x14ac:dyDescent="0.25">
      <c r="C987" s="123"/>
      <c r="E987" s="123"/>
      <c r="F987" s="79"/>
      <c r="G987" s="123"/>
      <c r="H987" s="123"/>
      <c r="I987" s="123"/>
    </row>
    <row r="988" spans="3:9" x14ac:dyDescent="0.25">
      <c r="C988" s="123"/>
      <c r="E988" s="123"/>
      <c r="F988" s="79"/>
      <c r="G988" s="123"/>
      <c r="H988" s="123"/>
      <c r="I988" s="123"/>
    </row>
    <row r="989" spans="3:9" x14ac:dyDescent="0.25">
      <c r="C989" s="123"/>
      <c r="E989" s="123"/>
      <c r="F989" s="79"/>
      <c r="G989" s="123"/>
      <c r="H989" s="123"/>
      <c r="I989" s="123"/>
    </row>
    <row r="990" spans="3:9" x14ac:dyDescent="0.25">
      <c r="C990" s="123"/>
      <c r="E990" s="123"/>
      <c r="F990" s="79"/>
      <c r="G990" s="123"/>
      <c r="H990" s="123"/>
      <c r="I990" s="123"/>
    </row>
    <row r="991" spans="3:9" x14ac:dyDescent="0.25">
      <c r="C991" s="123"/>
      <c r="E991" s="123"/>
      <c r="F991" s="79"/>
      <c r="G991" s="123"/>
      <c r="H991" s="123"/>
      <c r="I991" s="123"/>
    </row>
    <row r="992" spans="3:9" x14ac:dyDescent="0.25">
      <c r="C992" s="123"/>
      <c r="E992" s="123"/>
      <c r="F992" s="79"/>
      <c r="G992" s="123"/>
      <c r="H992" s="123"/>
      <c r="I992" s="123"/>
    </row>
    <row r="993" spans="3:9" x14ac:dyDescent="0.25">
      <c r="C993" s="123"/>
      <c r="E993" s="123"/>
      <c r="F993" s="79"/>
      <c r="G993" s="123"/>
      <c r="H993" s="123"/>
      <c r="I993" s="123"/>
    </row>
    <row r="994" spans="3:9" x14ac:dyDescent="0.25">
      <c r="C994" s="123"/>
      <c r="E994" s="123"/>
      <c r="F994" s="79"/>
      <c r="G994" s="123"/>
      <c r="H994" s="123"/>
      <c r="I994" s="123"/>
    </row>
    <row r="995" spans="3:9" x14ac:dyDescent="0.25">
      <c r="C995" s="123"/>
      <c r="E995" s="123"/>
      <c r="F995" s="79"/>
      <c r="G995" s="123"/>
      <c r="H995" s="123"/>
      <c r="I995" s="123"/>
    </row>
    <row r="996" spans="3:9" x14ac:dyDescent="0.25">
      <c r="C996" s="123"/>
      <c r="E996" s="123"/>
      <c r="F996" s="79"/>
      <c r="G996" s="123"/>
      <c r="H996" s="123"/>
      <c r="I996" s="123"/>
    </row>
    <row r="997" spans="3:9" x14ac:dyDescent="0.25">
      <c r="C997" s="123"/>
      <c r="E997" s="123"/>
      <c r="F997" s="79"/>
      <c r="G997" s="123"/>
      <c r="H997" s="123"/>
      <c r="I997" s="123"/>
    </row>
    <row r="998" spans="3:9" x14ac:dyDescent="0.25">
      <c r="C998" s="123"/>
      <c r="E998" s="123"/>
      <c r="F998" s="79"/>
      <c r="G998" s="123"/>
      <c r="H998" s="123"/>
      <c r="I998" s="123"/>
    </row>
    <row r="999" spans="3:9" x14ac:dyDescent="0.25">
      <c r="C999" s="123"/>
      <c r="E999" s="123"/>
      <c r="F999" s="79"/>
      <c r="G999" s="123"/>
      <c r="H999" s="123"/>
      <c r="I999" s="123"/>
    </row>
    <row r="1000" spans="3:9" x14ac:dyDescent="0.25">
      <c r="C1000" s="123"/>
      <c r="E1000" s="123"/>
      <c r="F1000" s="79"/>
      <c r="G1000" s="123"/>
      <c r="H1000" s="123"/>
      <c r="I1000" s="123"/>
    </row>
    <row r="1001" spans="3:9" x14ac:dyDescent="0.25">
      <c r="C1001" s="123"/>
      <c r="E1001" s="123"/>
      <c r="F1001" s="79"/>
      <c r="G1001" s="123"/>
      <c r="H1001" s="123"/>
      <c r="I1001" s="123"/>
    </row>
    <row r="1002" spans="3:9" x14ac:dyDescent="0.25">
      <c r="C1002" s="123"/>
      <c r="E1002" s="123"/>
      <c r="F1002" s="79"/>
      <c r="G1002" s="123"/>
      <c r="H1002" s="123"/>
      <c r="I1002" s="123"/>
    </row>
    <row r="1003" spans="3:9" x14ac:dyDescent="0.25">
      <c r="C1003" s="123"/>
      <c r="E1003" s="123"/>
      <c r="F1003" s="79"/>
      <c r="G1003" s="123"/>
      <c r="H1003" s="123"/>
      <c r="I1003" s="123"/>
    </row>
    <row r="1004" spans="3:9" x14ac:dyDescent="0.25">
      <c r="C1004" s="123"/>
      <c r="E1004" s="123"/>
      <c r="F1004" s="79"/>
      <c r="G1004" s="123"/>
      <c r="H1004" s="123"/>
      <c r="I1004" s="123"/>
    </row>
    <row r="1005" spans="3:9" x14ac:dyDescent="0.25">
      <c r="C1005" s="123"/>
      <c r="E1005" s="123"/>
      <c r="F1005" s="79"/>
      <c r="G1005" s="123"/>
      <c r="H1005" s="123"/>
      <c r="I1005" s="123"/>
    </row>
    <row r="1006" spans="3:9" x14ac:dyDescent="0.25">
      <c r="C1006" s="123"/>
      <c r="E1006" s="123"/>
      <c r="F1006" s="79"/>
      <c r="G1006" s="123"/>
      <c r="H1006" s="123"/>
      <c r="I1006" s="123"/>
    </row>
    <row r="1007" spans="3:9" x14ac:dyDescent="0.25">
      <c r="C1007" s="123"/>
      <c r="E1007" s="123"/>
      <c r="F1007" s="79"/>
      <c r="G1007" s="123"/>
      <c r="H1007" s="123"/>
      <c r="I1007" s="123"/>
    </row>
    <row r="1008" spans="3:9" x14ac:dyDescent="0.25">
      <c r="C1008" s="123"/>
      <c r="E1008" s="123"/>
      <c r="F1008" s="79"/>
      <c r="G1008" s="123"/>
      <c r="H1008" s="123"/>
      <c r="I1008" s="123"/>
    </row>
    <row r="1009" spans="3:9" x14ac:dyDescent="0.25">
      <c r="C1009" s="123"/>
      <c r="E1009" s="123"/>
      <c r="F1009" s="79"/>
      <c r="G1009" s="123"/>
      <c r="H1009" s="123"/>
      <c r="I1009" s="123"/>
    </row>
    <row r="1010" spans="3:9" x14ac:dyDescent="0.25">
      <c r="C1010" s="123"/>
      <c r="E1010" s="123"/>
      <c r="F1010" s="79"/>
      <c r="G1010" s="123"/>
      <c r="H1010" s="123"/>
      <c r="I1010" s="123"/>
    </row>
    <row r="1011" spans="3:9" x14ac:dyDescent="0.25">
      <c r="C1011" s="123"/>
      <c r="E1011" s="123"/>
      <c r="F1011" s="79"/>
      <c r="G1011" s="123"/>
      <c r="H1011" s="123"/>
      <c r="I1011" s="123"/>
    </row>
    <row r="1012" spans="3:9" x14ac:dyDescent="0.25">
      <c r="C1012" s="123"/>
      <c r="E1012" s="123"/>
      <c r="F1012" s="79"/>
      <c r="G1012" s="123"/>
      <c r="H1012" s="123"/>
      <c r="I1012" s="123"/>
    </row>
    <row r="1013" spans="3:9" x14ac:dyDescent="0.25">
      <c r="C1013" s="123"/>
      <c r="E1013" s="123"/>
      <c r="F1013" s="79"/>
      <c r="G1013" s="123"/>
      <c r="H1013" s="123"/>
      <c r="I1013" s="123"/>
    </row>
    <row r="1014" spans="3:9" x14ac:dyDescent="0.25">
      <c r="C1014" s="123"/>
      <c r="E1014" s="123"/>
      <c r="F1014" s="79"/>
      <c r="G1014" s="123"/>
      <c r="H1014" s="123"/>
      <c r="I1014" s="123"/>
    </row>
    <row r="1015" spans="3:9" x14ac:dyDescent="0.25">
      <c r="C1015" s="123"/>
      <c r="E1015" s="123"/>
      <c r="F1015" s="79"/>
      <c r="G1015" s="123"/>
      <c r="H1015" s="123"/>
      <c r="I1015" s="123"/>
    </row>
    <row r="1016" spans="3:9" x14ac:dyDescent="0.25">
      <c r="C1016" s="123"/>
      <c r="E1016" s="123"/>
      <c r="F1016" s="79"/>
      <c r="G1016" s="123"/>
      <c r="H1016" s="123"/>
      <c r="I1016" s="123"/>
    </row>
    <row r="1017" spans="3:9" x14ac:dyDescent="0.25">
      <c r="C1017" s="123"/>
      <c r="E1017" s="123"/>
      <c r="F1017" s="79"/>
      <c r="G1017" s="123"/>
      <c r="H1017" s="123"/>
      <c r="I1017" s="123"/>
    </row>
    <row r="1018" spans="3:9" x14ac:dyDescent="0.25">
      <c r="C1018" s="123"/>
      <c r="E1018" s="123"/>
      <c r="F1018" s="79"/>
      <c r="G1018" s="123"/>
      <c r="H1018" s="123"/>
      <c r="I1018" s="123"/>
    </row>
    <row r="1019" spans="3:9" x14ac:dyDescent="0.25">
      <c r="C1019" s="123"/>
      <c r="E1019" s="123"/>
      <c r="F1019" s="79"/>
      <c r="G1019" s="123"/>
      <c r="H1019" s="123"/>
      <c r="I1019" s="123"/>
    </row>
    <row r="1020" spans="3:9" x14ac:dyDescent="0.25">
      <c r="C1020" s="123"/>
      <c r="E1020" s="123"/>
      <c r="F1020" s="79"/>
      <c r="G1020" s="123"/>
      <c r="H1020" s="123"/>
      <c r="I1020" s="123"/>
    </row>
    <row r="1021" spans="3:9" x14ac:dyDescent="0.25">
      <c r="C1021" s="123"/>
      <c r="E1021" s="123"/>
      <c r="F1021" s="79"/>
      <c r="G1021" s="123"/>
      <c r="H1021" s="123"/>
      <c r="I1021" s="123"/>
    </row>
    <row r="1022" spans="3:9" x14ac:dyDescent="0.25">
      <c r="C1022" s="123"/>
      <c r="E1022" s="123"/>
      <c r="F1022" s="79"/>
      <c r="G1022" s="123"/>
      <c r="H1022" s="123"/>
      <c r="I1022" s="123"/>
    </row>
    <row r="1023" spans="3:9" x14ac:dyDescent="0.25">
      <c r="C1023" s="123"/>
      <c r="E1023" s="123"/>
      <c r="F1023" s="79"/>
      <c r="G1023" s="123"/>
      <c r="H1023" s="123"/>
      <c r="I1023" s="123"/>
    </row>
    <row r="1024" spans="3:9" x14ac:dyDescent="0.25">
      <c r="C1024" s="123"/>
      <c r="E1024" s="123"/>
      <c r="F1024" s="79"/>
      <c r="G1024" s="123"/>
      <c r="H1024" s="123"/>
      <c r="I1024" s="123"/>
    </row>
    <row r="1025" spans="3:9" x14ac:dyDescent="0.25">
      <c r="C1025" s="123"/>
      <c r="E1025" s="123"/>
      <c r="F1025" s="79"/>
      <c r="G1025" s="123"/>
      <c r="H1025" s="123"/>
      <c r="I1025" s="123"/>
    </row>
    <row r="1026" spans="3:9" x14ac:dyDescent="0.25">
      <c r="C1026" s="123"/>
      <c r="E1026" s="123"/>
      <c r="F1026" s="79"/>
      <c r="G1026" s="123"/>
      <c r="H1026" s="123"/>
      <c r="I1026" s="123"/>
    </row>
    <row r="1027" spans="3:9" x14ac:dyDescent="0.25">
      <c r="C1027" s="123"/>
      <c r="E1027" s="123"/>
      <c r="F1027" s="79"/>
      <c r="G1027" s="123"/>
      <c r="H1027" s="123"/>
      <c r="I1027" s="123"/>
    </row>
    <row r="1028" spans="3:9" x14ac:dyDescent="0.25">
      <c r="C1028" s="123"/>
      <c r="E1028" s="123"/>
      <c r="F1028" s="79"/>
      <c r="G1028" s="123"/>
      <c r="H1028" s="123"/>
      <c r="I1028" s="123"/>
    </row>
    <row r="1029" spans="3:9" x14ac:dyDescent="0.25">
      <c r="C1029" s="123"/>
      <c r="E1029" s="123"/>
      <c r="F1029" s="79"/>
      <c r="G1029" s="123"/>
      <c r="H1029" s="123"/>
      <c r="I1029" s="123"/>
    </row>
    <row r="1030" spans="3:9" x14ac:dyDescent="0.25">
      <c r="C1030" s="123"/>
      <c r="E1030" s="123"/>
      <c r="F1030" s="79"/>
      <c r="G1030" s="123"/>
      <c r="H1030" s="123"/>
      <c r="I1030" s="123"/>
    </row>
    <row r="1031" spans="3:9" x14ac:dyDescent="0.25">
      <c r="C1031" s="123"/>
      <c r="E1031" s="123"/>
      <c r="F1031" s="79"/>
      <c r="G1031" s="123"/>
      <c r="H1031" s="123"/>
      <c r="I1031" s="123"/>
    </row>
    <row r="1032" spans="3:9" x14ac:dyDescent="0.25">
      <c r="C1032" s="123"/>
      <c r="E1032" s="123"/>
      <c r="F1032" s="79"/>
      <c r="G1032" s="123"/>
      <c r="H1032" s="123"/>
      <c r="I1032" s="123"/>
    </row>
    <row r="1033" spans="3:9" x14ac:dyDescent="0.25">
      <c r="C1033" s="123"/>
      <c r="E1033" s="123"/>
      <c r="F1033" s="79"/>
      <c r="G1033" s="123"/>
      <c r="H1033" s="123"/>
      <c r="I1033" s="123"/>
    </row>
    <row r="1034" spans="3:9" x14ac:dyDescent="0.25">
      <c r="C1034" s="123"/>
      <c r="E1034" s="123"/>
      <c r="F1034" s="79"/>
      <c r="G1034" s="123"/>
      <c r="H1034" s="123"/>
      <c r="I1034" s="123"/>
    </row>
    <row r="1035" spans="3:9" x14ac:dyDescent="0.25">
      <c r="C1035" s="123"/>
      <c r="E1035" s="123"/>
      <c r="F1035" s="79"/>
      <c r="G1035" s="123"/>
      <c r="H1035" s="123"/>
      <c r="I1035" s="123"/>
    </row>
    <row r="1036" spans="3:9" x14ac:dyDescent="0.25">
      <c r="C1036" s="123"/>
      <c r="E1036" s="123"/>
      <c r="F1036" s="79"/>
      <c r="G1036" s="123"/>
      <c r="H1036" s="123"/>
      <c r="I1036" s="123"/>
    </row>
    <row r="1037" spans="3:9" x14ac:dyDescent="0.25">
      <c r="C1037" s="123"/>
      <c r="E1037" s="123"/>
      <c r="F1037" s="79"/>
      <c r="G1037" s="123"/>
      <c r="H1037" s="123"/>
      <c r="I1037" s="123"/>
    </row>
    <row r="1038" spans="3:9" x14ac:dyDescent="0.25">
      <c r="C1038" s="123"/>
      <c r="E1038" s="123"/>
      <c r="F1038" s="79"/>
      <c r="G1038" s="123"/>
      <c r="H1038" s="123"/>
      <c r="I1038" s="123"/>
    </row>
    <row r="1039" spans="3:9" x14ac:dyDescent="0.25">
      <c r="C1039" s="123"/>
      <c r="E1039" s="123"/>
      <c r="F1039" s="79"/>
      <c r="G1039" s="123"/>
      <c r="H1039" s="123"/>
      <c r="I1039" s="123"/>
    </row>
    <row r="1040" spans="3:9" x14ac:dyDescent="0.25">
      <c r="C1040" s="123"/>
      <c r="E1040" s="123"/>
      <c r="F1040" s="79"/>
      <c r="G1040" s="123"/>
      <c r="H1040" s="123"/>
      <c r="I1040" s="123"/>
    </row>
    <row r="1041" spans="3:9" x14ac:dyDescent="0.25">
      <c r="C1041" s="123"/>
      <c r="E1041" s="123"/>
      <c r="F1041" s="79"/>
      <c r="G1041" s="123"/>
      <c r="H1041" s="123"/>
      <c r="I1041" s="123"/>
    </row>
    <row r="1042" spans="3:9" x14ac:dyDescent="0.25">
      <c r="C1042" s="123"/>
      <c r="E1042" s="123"/>
      <c r="F1042" s="79"/>
      <c r="G1042" s="123"/>
      <c r="H1042" s="123"/>
      <c r="I1042" s="123"/>
    </row>
    <row r="1043" spans="3:9" x14ac:dyDescent="0.25">
      <c r="C1043" s="123"/>
      <c r="E1043" s="123"/>
      <c r="F1043" s="79"/>
      <c r="G1043" s="123"/>
      <c r="H1043" s="123"/>
      <c r="I1043" s="123"/>
    </row>
    <row r="1044" spans="3:9" x14ac:dyDescent="0.25">
      <c r="C1044" s="123"/>
      <c r="E1044" s="123"/>
      <c r="F1044" s="79"/>
      <c r="G1044" s="123"/>
      <c r="H1044" s="123"/>
      <c r="I1044" s="123"/>
    </row>
    <row r="1045" spans="3:9" x14ac:dyDescent="0.25">
      <c r="C1045" s="123"/>
      <c r="E1045" s="123"/>
      <c r="F1045" s="79"/>
      <c r="G1045" s="123"/>
      <c r="H1045" s="123"/>
      <c r="I1045" s="123"/>
    </row>
    <row r="1046" spans="3:9" x14ac:dyDescent="0.25">
      <c r="C1046" s="123"/>
      <c r="E1046" s="123"/>
      <c r="F1046" s="79"/>
      <c r="G1046" s="123"/>
      <c r="H1046" s="123"/>
      <c r="I1046" s="123"/>
    </row>
    <row r="1047" spans="3:9" x14ac:dyDescent="0.25">
      <c r="C1047" s="123"/>
      <c r="E1047" s="123"/>
      <c r="F1047" s="79"/>
      <c r="G1047" s="123"/>
      <c r="H1047" s="123"/>
      <c r="I1047" s="123"/>
    </row>
    <row r="1048" spans="3:9" x14ac:dyDescent="0.25">
      <c r="C1048" s="123"/>
      <c r="E1048" s="123"/>
      <c r="F1048" s="79"/>
      <c r="G1048" s="123"/>
      <c r="H1048" s="123"/>
      <c r="I1048" s="123"/>
    </row>
    <row r="1049" spans="3:9" x14ac:dyDescent="0.25">
      <c r="C1049" s="123"/>
      <c r="E1049" s="123"/>
      <c r="F1049" s="79"/>
      <c r="G1049" s="123"/>
      <c r="H1049" s="123"/>
      <c r="I1049" s="123"/>
    </row>
    <row r="1050" spans="3:9" x14ac:dyDescent="0.25">
      <c r="C1050" s="123"/>
      <c r="E1050" s="123"/>
      <c r="F1050" s="79"/>
      <c r="G1050" s="123"/>
      <c r="H1050" s="123"/>
      <c r="I1050" s="123"/>
    </row>
    <row r="1051" spans="3:9" x14ac:dyDescent="0.25">
      <c r="C1051" s="123"/>
      <c r="E1051" s="123"/>
      <c r="F1051" s="79"/>
      <c r="G1051" s="123"/>
      <c r="H1051" s="123"/>
      <c r="I1051" s="123"/>
    </row>
    <row r="1052" spans="3:9" x14ac:dyDescent="0.25">
      <c r="C1052" s="123"/>
      <c r="E1052" s="123"/>
      <c r="F1052" s="79"/>
      <c r="G1052" s="123"/>
      <c r="H1052" s="123"/>
      <c r="I1052" s="123"/>
    </row>
    <row r="1053" spans="3:9" x14ac:dyDescent="0.25">
      <c r="C1053" s="123"/>
      <c r="E1053" s="123"/>
      <c r="F1053" s="79"/>
      <c r="G1053" s="123"/>
      <c r="H1053" s="123"/>
      <c r="I1053" s="123"/>
    </row>
    <row r="1054" spans="3:9" x14ac:dyDescent="0.25">
      <c r="C1054" s="123"/>
      <c r="E1054" s="123"/>
      <c r="F1054" s="79"/>
      <c r="G1054" s="123"/>
      <c r="H1054" s="123"/>
      <c r="I1054" s="123"/>
    </row>
    <row r="1055" spans="3:9" x14ac:dyDescent="0.25">
      <c r="C1055" s="123"/>
      <c r="E1055" s="123"/>
      <c r="F1055" s="79"/>
      <c r="G1055" s="123"/>
      <c r="H1055" s="123"/>
      <c r="I1055" s="123"/>
    </row>
    <row r="1056" spans="3:9" x14ac:dyDescent="0.25">
      <c r="C1056" s="123"/>
      <c r="E1056" s="123"/>
      <c r="F1056" s="79"/>
      <c r="G1056" s="123"/>
      <c r="H1056" s="123"/>
      <c r="I1056" s="123"/>
    </row>
    <row r="1057" spans="3:9" x14ac:dyDescent="0.25">
      <c r="C1057" s="123"/>
      <c r="E1057" s="123"/>
      <c r="F1057" s="79"/>
      <c r="G1057" s="123"/>
      <c r="H1057" s="123"/>
      <c r="I1057" s="123"/>
    </row>
    <row r="1058" spans="3:9" x14ac:dyDescent="0.25">
      <c r="C1058" s="123"/>
      <c r="E1058" s="123"/>
      <c r="F1058" s="79"/>
      <c r="G1058" s="123"/>
      <c r="H1058" s="123"/>
      <c r="I1058" s="123"/>
    </row>
    <row r="1059" spans="3:9" x14ac:dyDescent="0.25">
      <c r="C1059" s="123"/>
      <c r="E1059" s="123"/>
      <c r="F1059" s="79"/>
      <c r="G1059" s="123"/>
      <c r="H1059" s="123"/>
      <c r="I1059" s="123"/>
    </row>
    <row r="1060" spans="3:9" x14ac:dyDescent="0.25">
      <c r="C1060" s="123"/>
      <c r="E1060" s="123"/>
      <c r="F1060" s="79"/>
      <c r="G1060" s="123"/>
      <c r="H1060" s="123"/>
      <c r="I1060" s="123"/>
    </row>
    <row r="1061" spans="3:9" x14ac:dyDescent="0.25">
      <c r="C1061" s="123"/>
      <c r="E1061" s="123"/>
      <c r="F1061" s="79"/>
      <c r="G1061" s="123"/>
      <c r="H1061" s="123"/>
      <c r="I1061" s="123"/>
    </row>
    <row r="1062" spans="3:9" x14ac:dyDescent="0.25">
      <c r="C1062" s="123"/>
      <c r="E1062" s="123"/>
      <c r="F1062" s="79"/>
      <c r="G1062" s="123"/>
      <c r="H1062" s="123"/>
      <c r="I1062" s="123"/>
    </row>
    <row r="1063" spans="3:9" x14ac:dyDescent="0.25">
      <c r="C1063" s="123"/>
      <c r="E1063" s="123"/>
      <c r="F1063" s="79"/>
      <c r="G1063" s="123"/>
      <c r="H1063" s="123"/>
      <c r="I1063" s="123"/>
    </row>
    <row r="1064" spans="3:9" x14ac:dyDescent="0.25">
      <c r="C1064" s="123"/>
      <c r="E1064" s="123"/>
      <c r="F1064" s="79"/>
      <c r="G1064" s="123"/>
      <c r="H1064" s="123"/>
      <c r="I1064" s="123"/>
    </row>
    <row r="1065" spans="3:9" x14ac:dyDescent="0.25">
      <c r="C1065" s="123"/>
      <c r="E1065" s="123"/>
      <c r="F1065" s="79"/>
      <c r="G1065" s="123"/>
      <c r="H1065" s="123"/>
      <c r="I1065" s="123"/>
    </row>
    <row r="1066" spans="3:9" x14ac:dyDescent="0.25">
      <c r="C1066" s="123"/>
      <c r="E1066" s="123"/>
      <c r="F1066" s="79"/>
      <c r="G1066" s="123"/>
      <c r="H1066" s="123"/>
      <c r="I1066" s="123"/>
    </row>
    <row r="1067" spans="3:9" x14ac:dyDescent="0.25">
      <c r="C1067" s="123"/>
      <c r="E1067" s="123"/>
      <c r="F1067" s="79"/>
      <c r="G1067" s="123"/>
      <c r="H1067" s="123"/>
      <c r="I1067" s="123"/>
    </row>
    <row r="1068" spans="3:9" x14ac:dyDescent="0.25">
      <c r="C1068" s="123"/>
      <c r="E1068" s="123"/>
      <c r="F1068" s="79"/>
      <c r="G1068" s="123"/>
      <c r="H1068" s="123"/>
      <c r="I1068" s="123"/>
    </row>
    <row r="1069" spans="3:9" x14ac:dyDescent="0.25">
      <c r="C1069" s="123"/>
      <c r="E1069" s="123"/>
      <c r="F1069" s="79"/>
      <c r="G1069" s="123"/>
      <c r="H1069" s="123"/>
      <c r="I1069" s="123"/>
    </row>
    <row r="1070" spans="3:9" x14ac:dyDescent="0.25">
      <c r="C1070" s="123"/>
      <c r="E1070" s="123"/>
      <c r="F1070" s="79"/>
      <c r="G1070" s="123"/>
      <c r="H1070" s="123"/>
      <c r="I1070" s="123"/>
    </row>
    <row r="1071" spans="3:9" x14ac:dyDescent="0.25">
      <c r="C1071" s="123"/>
      <c r="E1071" s="123"/>
      <c r="F1071" s="79"/>
      <c r="G1071" s="123"/>
      <c r="H1071" s="123"/>
      <c r="I1071" s="123"/>
    </row>
    <row r="1072" spans="3:9" x14ac:dyDescent="0.25">
      <c r="C1072" s="123"/>
      <c r="E1072" s="123"/>
      <c r="F1072" s="79"/>
      <c r="G1072" s="123"/>
      <c r="H1072" s="123"/>
      <c r="I1072" s="123"/>
    </row>
    <row r="1073" spans="3:9" x14ac:dyDescent="0.25">
      <c r="C1073" s="123"/>
      <c r="E1073" s="123"/>
      <c r="F1073" s="79"/>
      <c r="G1073" s="123"/>
      <c r="H1073" s="123"/>
      <c r="I1073" s="123"/>
    </row>
    <row r="1074" spans="3:9" x14ac:dyDescent="0.25">
      <c r="C1074" s="123"/>
      <c r="E1074" s="123"/>
      <c r="F1074" s="79"/>
      <c r="G1074" s="123"/>
      <c r="H1074" s="123"/>
      <c r="I1074" s="123"/>
    </row>
    <row r="1075" spans="3:9" x14ac:dyDescent="0.25">
      <c r="C1075" s="123"/>
      <c r="E1075" s="123"/>
      <c r="F1075" s="79"/>
      <c r="G1075" s="123"/>
      <c r="H1075" s="123"/>
      <c r="I1075" s="123"/>
    </row>
    <row r="1076" spans="3:9" x14ac:dyDescent="0.25">
      <c r="C1076" s="123"/>
      <c r="E1076" s="123"/>
      <c r="F1076" s="79"/>
      <c r="G1076" s="123"/>
      <c r="H1076" s="123"/>
      <c r="I1076" s="123"/>
    </row>
    <row r="1077" spans="3:9" x14ac:dyDescent="0.25">
      <c r="C1077" s="123"/>
      <c r="E1077" s="123"/>
      <c r="F1077" s="79"/>
      <c r="G1077" s="123"/>
      <c r="H1077" s="123"/>
      <c r="I1077" s="123"/>
    </row>
    <row r="1078" spans="3:9" x14ac:dyDescent="0.25">
      <c r="C1078" s="123"/>
      <c r="E1078" s="123"/>
      <c r="F1078" s="79"/>
      <c r="G1078" s="123"/>
      <c r="H1078" s="123"/>
      <c r="I1078" s="123"/>
    </row>
    <row r="1079" spans="3:9" x14ac:dyDescent="0.25">
      <c r="C1079" s="123"/>
      <c r="E1079" s="123"/>
      <c r="F1079" s="79"/>
      <c r="G1079" s="123"/>
      <c r="H1079" s="123"/>
      <c r="I1079" s="123"/>
    </row>
    <row r="1080" spans="3:9" x14ac:dyDescent="0.25">
      <c r="C1080" s="123"/>
      <c r="E1080" s="123"/>
      <c r="F1080" s="79"/>
      <c r="G1080" s="123"/>
      <c r="H1080" s="123"/>
      <c r="I1080" s="123"/>
    </row>
    <row r="1081" spans="3:9" x14ac:dyDescent="0.25">
      <c r="C1081" s="123"/>
      <c r="E1081" s="123"/>
      <c r="F1081" s="79"/>
      <c r="G1081" s="123"/>
      <c r="H1081" s="123"/>
      <c r="I1081" s="123"/>
    </row>
    <row r="1082" spans="3:9" x14ac:dyDescent="0.25">
      <c r="C1082" s="123"/>
      <c r="E1082" s="123"/>
      <c r="F1082" s="79"/>
      <c r="G1082" s="123"/>
      <c r="H1082" s="123"/>
      <c r="I1082" s="123"/>
    </row>
    <row r="1083" spans="3:9" x14ac:dyDescent="0.25">
      <c r="C1083" s="123"/>
      <c r="E1083" s="123"/>
      <c r="F1083" s="79"/>
      <c r="G1083" s="123"/>
      <c r="H1083" s="123"/>
      <c r="I1083" s="123"/>
    </row>
    <row r="1084" spans="3:9" x14ac:dyDescent="0.25">
      <c r="C1084" s="123"/>
      <c r="E1084" s="123"/>
      <c r="F1084" s="79"/>
      <c r="G1084" s="123"/>
      <c r="H1084" s="123"/>
      <c r="I1084" s="123"/>
    </row>
    <row r="1085" spans="3:9" x14ac:dyDescent="0.25">
      <c r="C1085" s="123"/>
      <c r="E1085" s="123"/>
      <c r="F1085" s="79"/>
      <c r="G1085" s="123"/>
      <c r="H1085" s="123"/>
      <c r="I1085" s="123"/>
    </row>
    <row r="1086" spans="3:9" x14ac:dyDescent="0.25">
      <c r="C1086" s="123"/>
      <c r="E1086" s="123"/>
      <c r="F1086" s="79"/>
      <c r="G1086" s="123"/>
      <c r="H1086" s="123"/>
      <c r="I1086" s="123"/>
    </row>
    <row r="1087" spans="3:9" x14ac:dyDescent="0.25">
      <c r="C1087" s="123"/>
      <c r="E1087" s="123"/>
      <c r="F1087" s="79"/>
      <c r="G1087" s="123"/>
      <c r="H1087" s="123"/>
      <c r="I1087" s="123"/>
    </row>
    <row r="1088" spans="3:9" x14ac:dyDescent="0.25">
      <c r="C1088" s="123"/>
      <c r="E1088" s="123"/>
      <c r="F1088" s="79"/>
      <c r="G1088" s="123"/>
      <c r="H1088" s="123"/>
      <c r="I1088" s="123"/>
    </row>
    <row r="1089" spans="3:9" x14ac:dyDescent="0.25">
      <c r="C1089" s="123"/>
      <c r="E1089" s="123"/>
      <c r="F1089" s="79"/>
      <c r="G1089" s="123"/>
      <c r="H1089" s="123"/>
      <c r="I1089" s="123"/>
    </row>
    <row r="1090" spans="3:9" x14ac:dyDescent="0.25">
      <c r="C1090" s="123"/>
      <c r="E1090" s="123"/>
      <c r="F1090" s="79"/>
      <c r="G1090" s="123"/>
      <c r="H1090" s="123"/>
      <c r="I1090" s="123"/>
    </row>
    <row r="1091" spans="3:9" x14ac:dyDescent="0.25">
      <c r="C1091" s="123"/>
      <c r="E1091" s="123"/>
      <c r="F1091" s="79"/>
      <c r="G1091" s="123"/>
      <c r="H1091" s="123"/>
      <c r="I1091" s="123"/>
    </row>
    <row r="1092" spans="3:9" x14ac:dyDescent="0.25">
      <c r="C1092" s="123"/>
      <c r="E1092" s="123"/>
      <c r="F1092" s="79"/>
      <c r="G1092" s="123"/>
      <c r="H1092" s="123"/>
      <c r="I1092" s="123"/>
    </row>
    <row r="1093" spans="3:9" x14ac:dyDescent="0.25">
      <c r="C1093" s="123"/>
      <c r="E1093" s="123"/>
      <c r="F1093" s="79"/>
      <c r="G1093" s="123"/>
      <c r="H1093" s="123"/>
      <c r="I1093" s="123"/>
    </row>
    <row r="1094" spans="3:9" x14ac:dyDescent="0.25">
      <c r="C1094" s="123"/>
      <c r="E1094" s="123"/>
      <c r="F1094" s="79"/>
      <c r="G1094" s="123"/>
      <c r="H1094" s="123"/>
      <c r="I1094" s="123"/>
    </row>
    <row r="1095" spans="3:9" x14ac:dyDescent="0.25">
      <c r="C1095" s="123"/>
      <c r="E1095" s="123"/>
      <c r="F1095" s="79"/>
      <c r="G1095" s="123"/>
      <c r="H1095" s="123"/>
      <c r="I1095" s="123"/>
    </row>
    <row r="1096" spans="3:9" x14ac:dyDescent="0.25">
      <c r="C1096" s="123"/>
      <c r="E1096" s="123"/>
      <c r="F1096" s="79"/>
      <c r="G1096" s="123"/>
      <c r="H1096" s="123"/>
      <c r="I1096" s="123"/>
    </row>
    <row r="1097" spans="3:9" x14ac:dyDescent="0.25">
      <c r="C1097" s="123"/>
      <c r="E1097" s="123"/>
      <c r="F1097" s="79"/>
      <c r="G1097" s="123"/>
      <c r="H1097" s="123"/>
      <c r="I1097" s="123"/>
    </row>
    <row r="1098" spans="3:9" x14ac:dyDescent="0.25">
      <c r="F1098" s="79"/>
      <c r="I1098" s="123"/>
    </row>
    <row r="1099" spans="3:9" x14ac:dyDescent="0.25">
      <c r="F1099" s="79"/>
      <c r="I1099" s="123"/>
    </row>
    <row r="1100" spans="3:9" x14ac:dyDescent="0.25">
      <c r="F1100" s="79"/>
      <c r="I1100" s="123"/>
    </row>
    <row r="1101" spans="3:9" x14ac:dyDescent="0.25">
      <c r="F1101" s="79"/>
      <c r="I1101" s="123"/>
    </row>
    <row r="1102" spans="3:9" x14ac:dyDescent="0.25">
      <c r="F1102" s="79"/>
      <c r="I1102" s="123"/>
    </row>
    <row r="1103" spans="3:9" x14ac:dyDescent="0.25">
      <c r="F1103" s="79"/>
      <c r="I1103" s="123"/>
    </row>
    <row r="1104" spans="3:9" x14ac:dyDescent="0.25">
      <c r="F1104" s="79"/>
      <c r="I1104" s="123"/>
    </row>
    <row r="1105" spans="6:9" x14ac:dyDescent="0.25">
      <c r="F1105" s="79"/>
      <c r="I1105" s="123"/>
    </row>
    <row r="1106" spans="6:9" x14ac:dyDescent="0.25">
      <c r="F1106" s="79"/>
      <c r="I1106" s="123"/>
    </row>
    <row r="1107" spans="6:9" x14ac:dyDescent="0.25">
      <c r="F1107" s="79"/>
      <c r="I1107" s="123"/>
    </row>
    <row r="1108" spans="6:9" x14ac:dyDescent="0.25">
      <c r="F1108" s="79"/>
      <c r="I1108" s="123"/>
    </row>
    <row r="1109" spans="6:9" x14ac:dyDescent="0.25">
      <c r="F1109" s="79"/>
      <c r="I1109" s="123"/>
    </row>
    <row r="1110" spans="6:9" x14ac:dyDescent="0.25">
      <c r="F1110" s="79"/>
      <c r="I1110" s="123"/>
    </row>
    <row r="1111" spans="6:9" x14ac:dyDescent="0.25">
      <c r="F1111" s="79"/>
      <c r="I1111" s="123"/>
    </row>
    <row r="1112" spans="6:9" x14ac:dyDescent="0.25">
      <c r="F1112" s="79"/>
      <c r="I1112" s="123"/>
    </row>
    <row r="1113" spans="6:9" x14ac:dyDescent="0.25">
      <c r="F1113" s="79"/>
      <c r="I1113" s="123"/>
    </row>
    <row r="1114" spans="6:9" x14ac:dyDescent="0.25">
      <c r="F1114" s="79"/>
      <c r="I1114" s="123"/>
    </row>
    <row r="1115" spans="6:9" x14ac:dyDescent="0.25">
      <c r="F1115" s="79"/>
      <c r="I1115" s="123"/>
    </row>
    <row r="1116" spans="6:9" x14ac:dyDescent="0.25">
      <c r="F1116" s="79"/>
      <c r="I1116" s="123"/>
    </row>
    <row r="1117" spans="6:9" x14ac:dyDescent="0.25">
      <c r="F1117" s="79"/>
      <c r="I1117" s="123"/>
    </row>
    <row r="1118" spans="6:9" x14ac:dyDescent="0.25">
      <c r="F1118" s="79"/>
      <c r="I1118" s="123"/>
    </row>
    <row r="1119" spans="6:9" x14ac:dyDescent="0.25">
      <c r="F1119" s="79"/>
      <c r="I1119" s="123"/>
    </row>
    <row r="1120" spans="6:9" x14ac:dyDescent="0.25">
      <c r="F1120" s="79"/>
      <c r="I1120" s="123"/>
    </row>
    <row r="1121" spans="6:9" x14ac:dyDescent="0.25">
      <c r="F1121" s="79"/>
      <c r="I1121" s="123"/>
    </row>
    <row r="1122" spans="6:9" x14ac:dyDescent="0.25">
      <c r="F1122" s="79"/>
      <c r="I1122" s="123"/>
    </row>
    <row r="1123" spans="6:9" x14ac:dyDescent="0.25">
      <c r="F1123" s="79"/>
      <c r="I1123" s="123"/>
    </row>
    <row r="1124" spans="6:9" x14ac:dyDescent="0.25">
      <c r="F1124" s="79"/>
      <c r="I1124" s="123"/>
    </row>
    <row r="1125" spans="6:9" x14ac:dyDescent="0.25">
      <c r="F1125" s="79"/>
      <c r="I1125" s="123"/>
    </row>
    <row r="1126" spans="6:9" x14ac:dyDescent="0.25">
      <c r="F1126" s="79"/>
      <c r="I1126" s="123"/>
    </row>
    <row r="1127" spans="6:9" x14ac:dyDescent="0.25">
      <c r="F1127" s="79"/>
      <c r="I1127" s="123"/>
    </row>
    <row r="1128" spans="6:9" x14ac:dyDescent="0.25">
      <c r="F1128" s="79"/>
      <c r="I1128" s="123"/>
    </row>
    <row r="1129" spans="6:9" x14ac:dyDescent="0.25">
      <c r="F1129" s="79"/>
      <c r="I1129" s="123"/>
    </row>
    <row r="1130" spans="6:9" x14ac:dyDescent="0.25">
      <c r="F1130" s="79"/>
      <c r="I1130" s="123"/>
    </row>
    <row r="1131" spans="6:9" x14ac:dyDescent="0.25">
      <c r="F1131" s="79"/>
      <c r="I1131" s="123"/>
    </row>
    <row r="1132" spans="6:9" x14ac:dyDescent="0.25">
      <c r="F1132" s="79"/>
      <c r="I1132" s="123"/>
    </row>
    <row r="1133" spans="6:9" x14ac:dyDescent="0.25">
      <c r="F1133" s="79"/>
      <c r="I1133" s="123"/>
    </row>
    <row r="1134" spans="6:9" x14ac:dyDescent="0.25">
      <c r="F1134" s="79"/>
      <c r="I1134" s="123"/>
    </row>
    <row r="1135" spans="6:9" x14ac:dyDescent="0.25">
      <c r="F1135" s="79"/>
      <c r="I1135" s="123"/>
    </row>
    <row r="1136" spans="6:9" x14ac:dyDescent="0.25">
      <c r="F1136" s="79"/>
      <c r="I1136" s="123"/>
    </row>
    <row r="1137" spans="6:9" x14ac:dyDescent="0.25">
      <c r="F1137" s="79"/>
      <c r="I1137" s="123"/>
    </row>
    <row r="1138" spans="6:9" x14ac:dyDescent="0.25">
      <c r="F1138" s="79"/>
      <c r="I1138" s="123"/>
    </row>
    <row r="1139" spans="6:9" x14ac:dyDescent="0.25">
      <c r="F1139" s="79"/>
      <c r="I1139" s="123"/>
    </row>
    <row r="1140" spans="6:9" x14ac:dyDescent="0.25">
      <c r="F1140" s="79"/>
      <c r="I1140" s="123"/>
    </row>
    <row r="1141" spans="6:9" x14ac:dyDescent="0.25">
      <c r="F1141" s="79"/>
      <c r="I1141" s="123"/>
    </row>
    <row r="1142" spans="6:9" x14ac:dyDescent="0.25">
      <c r="F1142" s="79"/>
      <c r="I1142" s="123"/>
    </row>
    <row r="1143" spans="6:9" x14ac:dyDescent="0.25">
      <c r="F1143" s="79"/>
      <c r="I1143" s="123"/>
    </row>
    <row r="1144" spans="6:9" x14ac:dyDescent="0.25">
      <c r="F1144" s="79"/>
      <c r="I1144" s="123"/>
    </row>
    <row r="1145" spans="6:9" x14ac:dyDescent="0.25">
      <c r="F1145" s="79"/>
      <c r="I1145" s="123"/>
    </row>
    <row r="1146" spans="6:9" x14ac:dyDescent="0.25">
      <c r="F1146" s="79"/>
      <c r="I1146" s="123"/>
    </row>
    <row r="1147" spans="6:9" x14ac:dyDescent="0.25">
      <c r="F1147" s="79"/>
      <c r="I1147" s="123"/>
    </row>
    <row r="1148" spans="6:9" x14ac:dyDescent="0.25">
      <c r="F1148" s="79"/>
      <c r="I1148" s="123"/>
    </row>
    <row r="1149" spans="6:9" x14ac:dyDescent="0.25">
      <c r="F1149" s="79"/>
      <c r="I1149" s="123"/>
    </row>
    <row r="1150" spans="6:9" x14ac:dyDescent="0.25">
      <c r="F1150" s="79"/>
      <c r="I1150" s="123"/>
    </row>
    <row r="1151" spans="6:9" x14ac:dyDescent="0.25">
      <c r="F1151" s="79"/>
      <c r="I1151" s="123"/>
    </row>
    <row r="1152" spans="6:9" x14ac:dyDescent="0.25">
      <c r="F1152" s="79"/>
      <c r="I1152" s="123"/>
    </row>
    <row r="1153" spans="6:9" x14ac:dyDescent="0.25">
      <c r="F1153" s="79"/>
      <c r="I1153" s="123"/>
    </row>
    <row r="1154" spans="6:9" x14ac:dyDescent="0.25">
      <c r="F1154" s="79"/>
      <c r="I1154" s="123"/>
    </row>
    <row r="1155" spans="6:9" x14ac:dyDescent="0.25">
      <c r="F1155" s="79"/>
      <c r="I1155" s="123"/>
    </row>
    <row r="1156" spans="6:9" x14ac:dyDescent="0.25">
      <c r="F1156" s="79"/>
      <c r="I1156" s="123"/>
    </row>
    <row r="1157" spans="6:9" x14ac:dyDescent="0.25">
      <c r="F1157" s="79"/>
      <c r="I1157" s="123"/>
    </row>
    <row r="1158" spans="6:9" x14ac:dyDescent="0.25">
      <c r="F1158" s="79"/>
      <c r="I1158" s="123"/>
    </row>
    <row r="1159" spans="6:9" x14ac:dyDescent="0.25">
      <c r="F1159" s="79"/>
      <c r="I1159" s="123"/>
    </row>
    <row r="1160" spans="6:9" x14ac:dyDescent="0.25">
      <c r="F1160" s="79"/>
      <c r="I1160" s="123"/>
    </row>
    <row r="1161" spans="6:9" x14ac:dyDescent="0.25">
      <c r="F1161" s="79"/>
      <c r="I1161" s="123"/>
    </row>
    <row r="1162" spans="6:9" x14ac:dyDescent="0.25">
      <c r="F1162" s="79"/>
      <c r="I1162" s="123"/>
    </row>
    <row r="1163" spans="6:9" x14ac:dyDescent="0.25">
      <c r="F1163" s="79"/>
      <c r="I1163" s="123"/>
    </row>
    <row r="1164" spans="6:9" x14ac:dyDescent="0.25">
      <c r="F1164" s="79"/>
      <c r="I1164" s="123"/>
    </row>
    <row r="1165" spans="6:9" x14ac:dyDescent="0.25">
      <c r="F1165" s="79"/>
      <c r="I1165" s="123"/>
    </row>
    <row r="1166" spans="6:9" x14ac:dyDescent="0.25">
      <c r="F1166" s="79"/>
      <c r="I1166" s="123"/>
    </row>
    <row r="1167" spans="6:9" x14ac:dyDescent="0.25">
      <c r="F1167" s="79"/>
      <c r="I1167" s="123"/>
    </row>
    <row r="1168" spans="6:9" x14ac:dyDescent="0.25">
      <c r="F1168" s="79"/>
      <c r="I1168" s="123"/>
    </row>
    <row r="1169" spans="1:9" x14ac:dyDescent="0.25">
      <c r="F1169" s="79"/>
      <c r="I1169" s="123"/>
    </row>
    <row r="1170" spans="1:9" x14ac:dyDescent="0.25">
      <c r="F1170" s="79"/>
      <c r="I1170" s="123"/>
    </row>
    <row r="1171" spans="1:9" x14ac:dyDescent="0.25">
      <c r="F1171" s="79"/>
      <c r="I1171" s="123"/>
    </row>
    <row r="1172" spans="1:9" x14ac:dyDescent="0.25">
      <c r="F1172" s="79"/>
      <c r="I1172" s="123"/>
    </row>
    <row r="1173" spans="1:9" x14ac:dyDescent="0.25">
      <c r="F1173" s="79"/>
      <c r="I1173" s="123"/>
    </row>
    <row r="1174" spans="1:9" s="20" customFormat="1" x14ac:dyDescent="0.25">
      <c r="A1174" s="59"/>
      <c r="B1174" s="59"/>
      <c r="C1174" s="123"/>
      <c r="D1174" s="60"/>
      <c r="E1174" s="123"/>
      <c r="F1174" s="79"/>
      <c r="G1174" s="123"/>
      <c r="H1174" s="123"/>
      <c r="I1174" s="123"/>
    </row>
    <row r="1175" spans="1:9" x14ac:dyDescent="0.25">
      <c r="F1175" s="79"/>
      <c r="I1175" s="123"/>
    </row>
    <row r="1176" spans="1:9" x14ac:dyDescent="0.25">
      <c r="F1176" s="79"/>
      <c r="I1176" s="123"/>
    </row>
    <row r="1177" spans="1:9" x14ac:dyDescent="0.25">
      <c r="F1177" s="79"/>
      <c r="I1177" s="123"/>
    </row>
    <row r="1178" spans="1:9" x14ac:dyDescent="0.25">
      <c r="F1178" s="79"/>
      <c r="I1178" s="123"/>
    </row>
    <row r="1179" spans="1:9" x14ac:dyDescent="0.25">
      <c r="F1179" s="79"/>
      <c r="I1179" s="123"/>
    </row>
    <row r="1180" spans="1:9" x14ac:dyDescent="0.25">
      <c r="F1180" s="79"/>
      <c r="I1180" s="123"/>
    </row>
    <row r="1181" spans="1:9" x14ac:dyDescent="0.25">
      <c r="F1181" s="79"/>
      <c r="I1181" s="123"/>
    </row>
    <row r="1182" spans="1:9" x14ac:dyDescent="0.25">
      <c r="F1182" s="79"/>
      <c r="I1182" s="123"/>
    </row>
    <row r="1183" spans="1:9" x14ac:dyDescent="0.25">
      <c r="F1183" s="79"/>
      <c r="I1183" s="123"/>
    </row>
    <row r="1184" spans="1:9" x14ac:dyDescent="0.25">
      <c r="F1184" s="79"/>
      <c r="I1184" s="123"/>
    </row>
    <row r="1185" spans="6:9" x14ac:dyDescent="0.25">
      <c r="F1185" s="79"/>
      <c r="I1185" s="123"/>
    </row>
    <row r="1186" spans="6:9" x14ac:dyDescent="0.25">
      <c r="F1186" s="79"/>
      <c r="I1186" s="123"/>
    </row>
    <row r="1187" spans="6:9" x14ac:dyDescent="0.25">
      <c r="F1187" s="79"/>
      <c r="I1187" s="123"/>
    </row>
    <row r="1188" spans="6:9" x14ac:dyDescent="0.25">
      <c r="F1188" s="79"/>
      <c r="I1188" s="123"/>
    </row>
    <row r="1189" spans="6:9" x14ac:dyDescent="0.25">
      <c r="F1189" s="79"/>
      <c r="I1189" s="123"/>
    </row>
    <row r="1190" spans="6:9" x14ac:dyDescent="0.25">
      <c r="F1190" s="79"/>
      <c r="I1190" s="123"/>
    </row>
    <row r="1191" spans="6:9" x14ac:dyDescent="0.25">
      <c r="F1191" s="79"/>
      <c r="I1191" s="123"/>
    </row>
    <row r="1192" spans="6:9" x14ac:dyDescent="0.25">
      <c r="F1192" s="79"/>
      <c r="I1192" s="123"/>
    </row>
    <row r="1193" spans="6:9" x14ac:dyDescent="0.25">
      <c r="F1193" s="79"/>
      <c r="I1193" s="123"/>
    </row>
    <row r="1194" spans="6:9" x14ac:dyDescent="0.25">
      <c r="F1194" s="79"/>
      <c r="I1194" s="123"/>
    </row>
    <row r="1195" spans="6:9" x14ac:dyDescent="0.25">
      <c r="F1195" s="79"/>
      <c r="I1195" s="123"/>
    </row>
    <row r="1196" spans="6:9" x14ac:dyDescent="0.25">
      <c r="F1196" s="79"/>
      <c r="I1196" s="123"/>
    </row>
    <row r="1197" spans="6:9" x14ac:dyDescent="0.25">
      <c r="F1197" s="79"/>
      <c r="I1197" s="123"/>
    </row>
    <row r="1198" spans="6:9" x14ac:dyDescent="0.25">
      <c r="F1198" s="79"/>
      <c r="I1198" s="123"/>
    </row>
    <row r="1199" spans="6:9" x14ac:dyDescent="0.25">
      <c r="F1199" s="79"/>
      <c r="I1199" s="123"/>
    </row>
    <row r="1200" spans="6:9" x14ac:dyDescent="0.25">
      <c r="F1200" s="79"/>
      <c r="I1200" s="123"/>
    </row>
    <row r="1201" spans="6:9" x14ac:dyDescent="0.25">
      <c r="F1201" s="79"/>
      <c r="I1201" s="123"/>
    </row>
    <row r="1202" spans="6:9" x14ac:dyDescent="0.25">
      <c r="F1202" s="79"/>
      <c r="I1202" s="123"/>
    </row>
    <row r="1203" spans="6:9" x14ac:dyDescent="0.25">
      <c r="F1203" s="79"/>
      <c r="I1203" s="123"/>
    </row>
    <row r="1204" spans="6:9" x14ac:dyDescent="0.25">
      <c r="F1204" s="79"/>
      <c r="I1204" s="123"/>
    </row>
    <row r="1205" spans="6:9" x14ac:dyDescent="0.25">
      <c r="F1205" s="79"/>
      <c r="I1205" s="123"/>
    </row>
    <row r="1206" spans="6:9" x14ac:dyDescent="0.25">
      <c r="F1206" s="79"/>
      <c r="I1206" s="123"/>
    </row>
    <row r="1207" spans="6:9" x14ac:dyDescent="0.25">
      <c r="F1207" s="79"/>
      <c r="I1207" s="123"/>
    </row>
    <row r="1208" spans="6:9" x14ac:dyDescent="0.25">
      <c r="F1208" s="79"/>
      <c r="I1208" s="123"/>
    </row>
    <row r="1209" spans="6:9" x14ac:dyDescent="0.25">
      <c r="F1209" s="79"/>
      <c r="I1209" s="123"/>
    </row>
    <row r="1210" spans="6:9" x14ac:dyDescent="0.25">
      <c r="F1210" s="79"/>
      <c r="I1210" s="123"/>
    </row>
    <row r="1211" spans="6:9" x14ac:dyDescent="0.25">
      <c r="F1211" s="79"/>
      <c r="I1211" s="123"/>
    </row>
    <row r="1212" spans="6:9" x14ac:dyDescent="0.25">
      <c r="F1212" s="79"/>
      <c r="I1212" s="123"/>
    </row>
    <row r="1213" spans="6:9" x14ac:dyDescent="0.25">
      <c r="F1213" s="79"/>
      <c r="I1213" s="123"/>
    </row>
    <row r="1214" spans="6:9" x14ac:dyDescent="0.25">
      <c r="F1214" s="79"/>
      <c r="I1214" s="123"/>
    </row>
    <row r="1215" spans="6:9" x14ac:dyDescent="0.25">
      <c r="F1215" s="79"/>
      <c r="I1215" s="123"/>
    </row>
    <row r="1216" spans="6:9" x14ac:dyDescent="0.25">
      <c r="F1216" s="79"/>
      <c r="I1216" s="123"/>
    </row>
    <row r="1217" spans="6:9" x14ac:dyDescent="0.25">
      <c r="F1217" s="79"/>
      <c r="I1217" s="123"/>
    </row>
    <row r="1218" spans="6:9" x14ac:dyDescent="0.25">
      <c r="F1218" s="79"/>
      <c r="I1218" s="123"/>
    </row>
    <row r="1219" spans="6:9" x14ac:dyDescent="0.25">
      <c r="F1219" s="79"/>
      <c r="I1219" s="123"/>
    </row>
    <row r="1220" spans="6:9" x14ac:dyDescent="0.25">
      <c r="F1220" s="79"/>
      <c r="I1220" s="123"/>
    </row>
    <row r="1221" spans="6:9" x14ac:dyDescent="0.25">
      <c r="F1221" s="79"/>
      <c r="I1221" s="123"/>
    </row>
    <row r="1222" spans="6:9" x14ac:dyDescent="0.25">
      <c r="F1222" s="79"/>
      <c r="I1222" s="123"/>
    </row>
    <row r="1223" spans="6:9" x14ac:dyDescent="0.25">
      <c r="F1223" s="79"/>
      <c r="I1223" s="123"/>
    </row>
    <row r="1224" spans="6:9" x14ac:dyDescent="0.25">
      <c r="F1224" s="79"/>
      <c r="I1224" s="123"/>
    </row>
    <row r="1225" spans="6:9" x14ac:dyDescent="0.25">
      <c r="F1225" s="79"/>
      <c r="I1225" s="123"/>
    </row>
    <row r="1226" spans="6:9" x14ac:dyDescent="0.25">
      <c r="F1226" s="79"/>
      <c r="I1226" s="123"/>
    </row>
    <row r="1227" spans="6:9" x14ac:dyDescent="0.25">
      <c r="F1227" s="79"/>
      <c r="I1227" s="123"/>
    </row>
    <row r="1228" spans="6:9" x14ac:dyDescent="0.25">
      <c r="F1228" s="79"/>
      <c r="I1228" s="123"/>
    </row>
    <row r="1229" spans="6:9" x14ac:dyDescent="0.25">
      <c r="F1229" s="79"/>
      <c r="I1229" s="123"/>
    </row>
    <row r="1230" spans="6:9" x14ac:dyDescent="0.25">
      <c r="F1230" s="79"/>
      <c r="I1230" s="123"/>
    </row>
    <row r="1231" spans="6:9" x14ac:dyDescent="0.25">
      <c r="F1231" s="79"/>
      <c r="I1231" s="123"/>
    </row>
    <row r="1232" spans="6:9" x14ac:dyDescent="0.25">
      <c r="F1232" s="79"/>
      <c r="I1232" s="123"/>
    </row>
    <row r="1233" spans="6:9" x14ac:dyDescent="0.25">
      <c r="F1233" s="79"/>
      <c r="I1233" s="123"/>
    </row>
    <row r="1234" spans="6:9" x14ac:dyDescent="0.25">
      <c r="F1234" s="79"/>
      <c r="I1234" s="123"/>
    </row>
    <row r="1235" spans="6:9" x14ac:dyDescent="0.25">
      <c r="F1235" s="79"/>
      <c r="I1235" s="123"/>
    </row>
    <row r="1236" spans="6:9" x14ac:dyDescent="0.25">
      <c r="F1236" s="79"/>
      <c r="I1236" s="123"/>
    </row>
    <row r="1237" spans="6:9" x14ac:dyDescent="0.25">
      <c r="F1237" s="79"/>
      <c r="I1237" s="123"/>
    </row>
    <row r="1238" spans="6:9" x14ac:dyDescent="0.25">
      <c r="F1238" s="79"/>
      <c r="I1238" s="123"/>
    </row>
    <row r="1239" spans="6:9" x14ac:dyDescent="0.25">
      <c r="F1239" s="79"/>
      <c r="I1239" s="123"/>
    </row>
    <row r="1240" spans="6:9" x14ac:dyDescent="0.25">
      <c r="F1240" s="79"/>
      <c r="I1240" s="123"/>
    </row>
    <row r="1241" spans="6:9" x14ac:dyDescent="0.25">
      <c r="F1241" s="79"/>
      <c r="I1241" s="123"/>
    </row>
    <row r="1242" spans="6:9" x14ac:dyDescent="0.25">
      <c r="F1242" s="79"/>
      <c r="I1242" s="123"/>
    </row>
    <row r="1243" spans="6:9" x14ac:dyDescent="0.25">
      <c r="F1243" s="79"/>
      <c r="I1243" s="123"/>
    </row>
    <row r="1244" spans="6:9" x14ac:dyDescent="0.25">
      <c r="F1244" s="79"/>
      <c r="I1244" s="123"/>
    </row>
    <row r="1245" spans="6:9" x14ac:dyDescent="0.25">
      <c r="F1245" s="79"/>
      <c r="I1245" s="123"/>
    </row>
    <row r="1246" spans="6:9" x14ac:dyDescent="0.25">
      <c r="F1246" s="79"/>
      <c r="I1246" s="123"/>
    </row>
    <row r="1247" spans="6:9" x14ac:dyDescent="0.25">
      <c r="F1247" s="79"/>
      <c r="I1247" s="123"/>
    </row>
    <row r="1248" spans="6:9" x14ac:dyDescent="0.25">
      <c r="F1248" s="79"/>
      <c r="I1248" s="123"/>
    </row>
    <row r="1249" spans="3:9" x14ac:dyDescent="0.25">
      <c r="F1249" s="79"/>
      <c r="I1249" s="123"/>
    </row>
    <row r="1250" spans="3:9" x14ac:dyDescent="0.25">
      <c r="C1250" s="123"/>
      <c r="E1250" s="123"/>
      <c r="F1250" s="79"/>
      <c r="G1250" s="123"/>
      <c r="H1250" s="123"/>
      <c r="I1250" s="123"/>
    </row>
    <row r="1251" spans="3:9" x14ac:dyDescent="0.25">
      <c r="F1251" s="79"/>
      <c r="I1251" s="123"/>
    </row>
    <row r="1252" spans="3:9" x14ac:dyDescent="0.25">
      <c r="C1252" s="123"/>
      <c r="E1252" s="123"/>
      <c r="F1252" s="79"/>
      <c r="G1252" s="123"/>
      <c r="H1252" s="123"/>
      <c r="I1252" s="123"/>
    </row>
    <row r="1253" spans="3:9" x14ac:dyDescent="0.25">
      <c r="C1253" s="123"/>
      <c r="E1253" s="123"/>
      <c r="F1253" s="79"/>
      <c r="G1253" s="123"/>
      <c r="H1253" s="123"/>
      <c r="I1253" s="123"/>
    </row>
    <row r="1254" spans="3:9" x14ac:dyDescent="0.25">
      <c r="C1254" s="123"/>
      <c r="E1254" s="123"/>
      <c r="F1254" s="79"/>
      <c r="G1254" s="123"/>
      <c r="H1254" s="123"/>
      <c r="I1254" s="123"/>
    </row>
    <row r="1255" spans="3:9" x14ac:dyDescent="0.25">
      <c r="C1255" s="123"/>
      <c r="E1255" s="123"/>
      <c r="F1255" s="79"/>
      <c r="G1255" s="123"/>
      <c r="H1255" s="123"/>
      <c r="I1255" s="123"/>
    </row>
    <row r="1256" spans="3:9" x14ac:dyDescent="0.25">
      <c r="C1256" s="123"/>
      <c r="E1256" s="123"/>
      <c r="F1256" s="79"/>
      <c r="G1256" s="123"/>
      <c r="H1256" s="123"/>
      <c r="I1256" s="123"/>
    </row>
    <row r="1257" spans="3:9" x14ac:dyDescent="0.25">
      <c r="C1257" s="123"/>
      <c r="E1257" s="123"/>
      <c r="F1257" s="79"/>
      <c r="G1257" s="123"/>
      <c r="H1257" s="123"/>
      <c r="I1257" s="123"/>
    </row>
    <row r="1258" spans="3:9" x14ac:dyDescent="0.25">
      <c r="C1258" s="123"/>
      <c r="E1258" s="123"/>
      <c r="F1258" s="79"/>
      <c r="G1258" s="123"/>
      <c r="H1258" s="123"/>
      <c r="I1258" s="123"/>
    </row>
    <row r="1259" spans="3:9" x14ac:dyDescent="0.25">
      <c r="C1259" s="123"/>
      <c r="E1259" s="123"/>
      <c r="F1259" s="79"/>
      <c r="G1259" s="123"/>
      <c r="H1259" s="123"/>
      <c r="I1259" s="123"/>
    </row>
    <row r="1260" spans="3:9" x14ac:dyDescent="0.25">
      <c r="C1260" s="123"/>
      <c r="E1260" s="123"/>
      <c r="F1260" s="79"/>
      <c r="G1260" s="123"/>
      <c r="H1260" s="123"/>
      <c r="I1260" s="123"/>
    </row>
    <row r="1261" spans="3:9" x14ac:dyDescent="0.25">
      <c r="C1261" s="123"/>
      <c r="E1261" s="123"/>
      <c r="F1261" s="79"/>
      <c r="G1261" s="123"/>
      <c r="H1261" s="123"/>
      <c r="I1261" s="123"/>
    </row>
    <row r="1262" spans="3:9" x14ac:dyDescent="0.25">
      <c r="C1262" s="123"/>
      <c r="E1262" s="123"/>
      <c r="F1262" s="79"/>
      <c r="G1262" s="123"/>
      <c r="H1262" s="123"/>
      <c r="I1262" s="123"/>
    </row>
    <row r="1263" spans="3:9" x14ac:dyDescent="0.25">
      <c r="C1263" s="123"/>
      <c r="E1263" s="123"/>
      <c r="F1263" s="79"/>
      <c r="G1263" s="123"/>
      <c r="H1263" s="123"/>
      <c r="I1263" s="123"/>
    </row>
    <row r="1264" spans="3:9" x14ac:dyDescent="0.25">
      <c r="C1264" s="123"/>
      <c r="E1264" s="123"/>
      <c r="F1264" s="79"/>
      <c r="G1264" s="123"/>
      <c r="H1264" s="123"/>
      <c r="I1264" s="123"/>
    </row>
    <row r="1265" spans="3:9" x14ac:dyDescent="0.25">
      <c r="C1265" s="123"/>
      <c r="E1265" s="123"/>
      <c r="F1265" s="79"/>
      <c r="G1265" s="123"/>
      <c r="H1265" s="123"/>
      <c r="I1265" s="123"/>
    </row>
    <row r="1266" spans="3:9" x14ac:dyDescent="0.25">
      <c r="C1266" s="123"/>
      <c r="E1266" s="123"/>
      <c r="F1266" s="79"/>
      <c r="G1266" s="123"/>
      <c r="H1266" s="123"/>
      <c r="I1266" s="123"/>
    </row>
    <row r="1267" spans="3:9" x14ac:dyDescent="0.25">
      <c r="C1267" s="123"/>
      <c r="E1267" s="123"/>
      <c r="F1267" s="79"/>
      <c r="G1267" s="123"/>
      <c r="H1267" s="123"/>
      <c r="I1267" s="123"/>
    </row>
    <row r="1268" spans="3:9" x14ac:dyDescent="0.25">
      <c r="C1268" s="123"/>
      <c r="E1268" s="123"/>
      <c r="F1268" s="79"/>
      <c r="G1268" s="123"/>
      <c r="H1268" s="123"/>
      <c r="I1268" s="123"/>
    </row>
    <row r="1269" spans="3:9" x14ac:dyDescent="0.25">
      <c r="C1269" s="123"/>
      <c r="E1269" s="123"/>
      <c r="F1269" s="79"/>
      <c r="G1269" s="123"/>
      <c r="H1269" s="123"/>
      <c r="I1269" s="123"/>
    </row>
    <row r="1270" spans="3:9" x14ac:dyDescent="0.25">
      <c r="C1270" s="123"/>
      <c r="E1270" s="123"/>
      <c r="F1270" s="79"/>
      <c r="G1270" s="123"/>
      <c r="H1270" s="123"/>
      <c r="I1270" s="123"/>
    </row>
    <row r="1271" spans="3:9" x14ac:dyDescent="0.25">
      <c r="C1271" s="123"/>
      <c r="E1271" s="123"/>
      <c r="F1271" s="79"/>
      <c r="G1271" s="123"/>
      <c r="H1271" s="123"/>
      <c r="I1271" s="123"/>
    </row>
    <row r="1272" spans="3:9" x14ac:dyDescent="0.25">
      <c r="C1272" s="123"/>
      <c r="E1272" s="123"/>
      <c r="F1272" s="79"/>
      <c r="G1272" s="123"/>
      <c r="H1272" s="123"/>
      <c r="I1272" s="123"/>
    </row>
    <row r="1273" spans="3:9" x14ac:dyDescent="0.25">
      <c r="C1273" s="123"/>
      <c r="E1273" s="123"/>
      <c r="F1273" s="79"/>
      <c r="G1273" s="123"/>
      <c r="H1273" s="123"/>
      <c r="I1273" s="123"/>
    </row>
    <row r="1274" spans="3:9" x14ac:dyDescent="0.25">
      <c r="C1274" s="123"/>
      <c r="E1274" s="123"/>
      <c r="F1274" s="79"/>
      <c r="G1274" s="123"/>
      <c r="H1274" s="123"/>
      <c r="I1274" s="123"/>
    </row>
    <row r="1275" spans="3:9" x14ac:dyDescent="0.25">
      <c r="C1275" s="123"/>
      <c r="E1275" s="123"/>
      <c r="F1275" s="79"/>
      <c r="G1275" s="123"/>
      <c r="H1275" s="123"/>
      <c r="I1275" s="123"/>
    </row>
    <row r="1276" spans="3:9" x14ac:dyDescent="0.25">
      <c r="C1276" s="123"/>
      <c r="E1276" s="123"/>
      <c r="F1276" s="79"/>
      <c r="G1276" s="123"/>
      <c r="H1276" s="123"/>
      <c r="I1276" s="123"/>
    </row>
    <row r="1277" spans="3:9" x14ac:dyDescent="0.25">
      <c r="C1277" s="123"/>
      <c r="E1277" s="123"/>
      <c r="F1277" s="79"/>
      <c r="G1277" s="123"/>
      <c r="H1277" s="123"/>
      <c r="I1277" s="123"/>
    </row>
    <row r="1278" spans="3:9" x14ac:dyDescent="0.25">
      <c r="C1278" s="123"/>
      <c r="E1278" s="123"/>
      <c r="F1278" s="79"/>
      <c r="G1278" s="123"/>
      <c r="H1278" s="123"/>
      <c r="I1278" s="123"/>
    </row>
    <row r="1279" spans="3:9" x14ac:dyDescent="0.25">
      <c r="C1279" s="123"/>
      <c r="E1279" s="123"/>
      <c r="F1279" s="79"/>
      <c r="G1279" s="123"/>
      <c r="H1279" s="123"/>
      <c r="I1279" s="123"/>
    </row>
    <row r="1280" spans="3:9" x14ac:dyDescent="0.25">
      <c r="C1280" s="123"/>
      <c r="E1280" s="123"/>
      <c r="F1280" s="79"/>
      <c r="G1280" s="123"/>
      <c r="H1280" s="123"/>
      <c r="I1280" s="123"/>
    </row>
    <row r="1281" spans="3:9" x14ac:dyDescent="0.25">
      <c r="C1281" s="123"/>
      <c r="E1281" s="123"/>
      <c r="F1281" s="79"/>
      <c r="G1281" s="123"/>
      <c r="H1281" s="123"/>
      <c r="I1281" s="123"/>
    </row>
    <row r="1282" spans="3:9" x14ac:dyDescent="0.25">
      <c r="C1282" s="123"/>
      <c r="E1282" s="123"/>
      <c r="F1282" s="79"/>
      <c r="G1282" s="123"/>
      <c r="H1282" s="123"/>
      <c r="I1282" s="123"/>
    </row>
    <row r="1283" spans="3:9" x14ac:dyDescent="0.25">
      <c r="C1283" s="123"/>
      <c r="E1283" s="123"/>
      <c r="F1283" s="79"/>
      <c r="G1283" s="123"/>
      <c r="H1283" s="123"/>
      <c r="I1283" s="123"/>
    </row>
    <row r="1284" spans="3:9" x14ac:dyDescent="0.25">
      <c r="C1284" s="123"/>
      <c r="E1284" s="123"/>
      <c r="F1284" s="79"/>
      <c r="G1284" s="123"/>
      <c r="H1284" s="123"/>
      <c r="I1284" s="123"/>
    </row>
    <row r="1285" spans="3:9" x14ac:dyDescent="0.25">
      <c r="C1285" s="123"/>
      <c r="E1285" s="123"/>
      <c r="F1285" s="79"/>
      <c r="G1285" s="123"/>
      <c r="H1285" s="123"/>
      <c r="I1285" s="123"/>
    </row>
    <row r="1286" spans="3:9" x14ac:dyDescent="0.25">
      <c r="C1286" s="123"/>
      <c r="E1286" s="123"/>
      <c r="F1286" s="79"/>
      <c r="G1286" s="123"/>
      <c r="H1286" s="123"/>
      <c r="I1286" s="123"/>
    </row>
    <row r="1287" spans="3:9" x14ac:dyDescent="0.25">
      <c r="C1287" s="123"/>
      <c r="E1287" s="123"/>
      <c r="F1287" s="79"/>
      <c r="G1287" s="123"/>
      <c r="H1287" s="123"/>
      <c r="I1287" s="123"/>
    </row>
    <row r="1288" spans="3:9" x14ac:dyDescent="0.25">
      <c r="C1288" s="123"/>
      <c r="E1288" s="123"/>
      <c r="F1288" s="79"/>
      <c r="G1288" s="123"/>
      <c r="H1288" s="123"/>
      <c r="I1288" s="123"/>
    </row>
    <row r="1289" spans="3:9" x14ac:dyDescent="0.25">
      <c r="C1289" s="123"/>
      <c r="E1289" s="123"/>
      <c r="F1289" s="79"/>
      <c r="G1289" s="123"/>
      <c r="H1289" s="123"/>
      <c r="I1289" s="123"/>
    </row>
    <row r="1290" spans="3:9" x14ac:dyDescent="0.25">
      <c r="C1290" s="123"/>
      <c r="E1290" s="123"/>
      <c r="F1290" s="79"/>
      <c r="G1290" s="123"/>
      <c r="H1290" s="123"/>
      <c r="I1290" s="123"/>
    </row>
    <row r="1291" spans="3:9" x14ac:dyDescent="0.25">
      <c r="C1291" s="123"/>
      <c r="E1291" s="123"/>
      <c r="F1291" s="79"/>
      <c r="G1291" s="123"/>
      <c r="H1291" s="123"/>
      <c r="I1291" s="123"/>
    </row>
    <row r="1292" spans="3:9" x14ac:dyDescent="0.25">
      <c r="C1292" s="123"/>
      <c r="E1292" s="123"/>
      <c r="F1292" s="79"/>
      <c r="G1292" s="123"/>
      <c r="H1292" s="123"/>
      <c r="I1292" s="123"/>
    </row>
    <row r="1293" spans="3:9" x14ac:dyDescent="0.25">
      <c r="C1293" s="123"/>
      <c r="E1293" s="123"/>
      <c r="F1293" s="79"/>
      <c r="G1293" s="123"/>
      <c r="H1293" s="123"/>
      <c r="I1293" s="123"/>
    </row>
    <row r="1294" spans="3:9" x14ac:dyDescent="0.25">
      <c r="C1294" s="123"/>
      <c r="E1294" s="123"/>
      <c r="F1294" s="79"/>
      <c r="G1294" s="123"/>
      <c r="H1294" s="123"/>
      <c r="I1294" s="123"/>
    </row>
    <row r="1295" spans="3:9" x14ac:dyDescent="0.25">
      <c r="C1295" s="123"/>
      <c r="E1295" s="123"/>
      <c r="F1295" s="79"/>
      <c r="G1295" s="123"/>
      <c r="H1295" s="123"/>
      <c r="I1295" s="123"/>
    </row>
    <row r="1296" spans="3:9" x14ac:dyDescent="0.25">
      <c r="C1296" s="123"/>
      <c r="E1296" s="123"/>
      <c r="F1296" s="79"/>
      <c r="G1296" s="123"/>
      <c r="H1296" s="123"/>
      <c r="I1296" s="123"/>
    </row>
    <row r="1297" spans="3:9" x14ac:dyDescent="0.25">
      <c r="C1297" s="123"/>
      <c r="E1297" s="123"/>
      <c r="F1297" s="79"/>
      <c r="G1297" s="123"/>
      <c r="H1297" s="123"/>
      <c r="I1297" s="123"/>
    </row>
    <row r="1298" spans="3:9" x14ac:dyDescent="0.25">
      <c r="C1298" s="123"/>
      <c r="E1298" s="123"/>
      <c r="F1298" s="79"/>
      <c r="G1298" s="123"/>
      <c r="H1298" s="123"/>
      <c r="I1298" s="123"/>
    </row>
    <row r="1299" spans="3:9" x14ac:dyDescent="0.25">
      <c r="C1299" s="123"/>
      <c r="E1299" s="123"/>
      <c r="F1299" s="79"/>
      <c r="G1299" s="123"/>
      <c r="H1299" s="123"/>
      <c r="I1299" s="123"/>
    </row>
    <row r="1300" spans="3:9" x14ac:dyDescent="0.25">
      <c r="C1300" s="123"/>
      <c r="E1300" s="123"/>
      <c r="F1300" s="79"/>
      <c r="G1300" s="123"/>
      <c r="H1300" s="123"/>
      <c r="I1300" s="123"/>
    </row>
    <row r="1301" spans="3:9" x14ac:dyDescent="0.25">
      <c r="C1301" s="123"/>
      <c r="E1301" s="123"/>
      <c r="F1301" s="79"/>
      <c r="G1301" s="123"/>
      <c r="H1301" s="123"/>
      <c r="I1301" s="123"/>
    </row>
    <row r="1302" spans="3:9" x14ac:dyDescent="0.25">
      <c r="C1302" s="123"/>
      <c r="E1302" s="123"/>
      <c r="F1302" s="79"/>
      <c r="G1302" s="123"/>
      <c r="H1302" s="123"/>
      <c r="I1302" s="123"/>
    </row>
    <row r="1303" spans="3:9" x14ac:dyDescent="0.25">
      <c r="C1303" s="123"/>
      <c r="E1303" s="123"/>
      <c r="F1303" s="79"/>
      <c r="G1303" s="123"/>
      <c r="H1303" s="123"/>
      <c r="I1303" s="123"/>
    </row>
    <row r="1304" spans="3:9" x14ac:dyDescent="0.25">
      <c r="C1304" s="123"/>
      <c r="E1304" s="123"/>
      <c r="F1304" s="79"/>
      <c r="G1304" s="123"/>
      <c r="H1304" s="123"/>
      <c r="I1304" s="123"/>
    </row>
    <row r="1305" spans="3:9" x14ac:dyDescent="0.25">
      <c r="C1305" s="123"/>
      <c r="E1305" s="123"/>
      <c r="F1305" s="79"/>
      <c r="G1305" s="123"/>
      <c r="H1305" s="123"/>
      <c r="I1305" s="123"/>
    </row>
    <row r="1306" spans="3:9" x14ac:dyDescent="0.25">
      <c r="C1306" s="123"/>
      <c r="D1306" s="62"/>
      <c r="E1306" s="123"/>
      <c r="F1306" s="79"/>
      <c r="G1306" s="123"/>
      <c r="H1306" s="123"/>
      <c r="I1306" s="123"/>
    </row>
    <row r="1307" spans="3:9" x14ac:dyDescent="0.25">
      <c r="C1307" s="123"/>
      <c r="D1307" s="62"/>
      <c r="E1307" s="123"/>
      <c r="F1307" s="79"/>
      <c r="G1307" s="123"/>
      <c r="H1307" s="123"/>
      <c r="I1307" s="123"/>
    </row>
    <row r="1308" spans="3:9" x14ac:dyDescent="0.25">
      <c r="C1308" s="123"/>
      <c r="E1308" s="123"/>
      <c r="F1308" s="79"/>
      <c r="G1308" s="123"/>
      <c r="H1308" s="123"/>
      <c r="I1308" s="123"/>
    </row>
    <row r="1309" spans="3:9" x14ac:dyDescent="0.25">
      <c r="C1309" s="123"/>
      <c r="E1309" s="123"/>
      <c r="F1309" s="79"/>
      <c r="G1309" s="123"/>
      <c r="H1309" s="123"/>
      <c r="I1309" s="123"/>
    </row>
    <row r="1310" spans="3:9" x14ac:dyDescent="0.25">
      <c r="C1310" s="123"/>
      <c r="E1310" s="123"/>
      <c r="F1310" s="79"/>
      <c r="G1310" s="123"/>
      <c r="H1310" s="123"/>
      <c r="I1310" s="123"/>
    </row>
    <row r="1311" spans="3:9" x14ac:dyDescent="0.25">
      <c r="C1311" s="123"/>
      <c r="E1311" s="123"/>
      <c r="F1311" s="79"/>
      <c r="G1311" s="123"/>
      <c r="H1311" s="123"/>
      <c r="I1311" s="123"/>
    </row>
    <row r="1312" spans="3:9" x14ac:dyDescent="0.25">
      <c r="C1312" s="123"/>
      <c r="E1312" s="123"/>
      <c r="F1312" s="79"/>
      <c r="G1312" s="123"/>
      <c r="H1312" s="123"/>
      <c r="I1312" s="123"/>
    </row>
    <row r="1313" spans="3:9" x14ac:dyDescent="0.25">
      <c r="C1313" s="123"/>
      <c r="E1313" s="123"/>
      <c r="F1313" s="79"/>
      <c r="G1313" s="123"/>
      <c r="H1313" s="123"/>
      <c r="I1313" s="123"/>
    </row>
    <row r="1314" spans="3:9" x14ac:dyDescent="0.25">
      <c r="C1314" s="123"/>
      <c r="E1314" s="123"/>
      <c r="F1314" s="79"/>
      <c r="G1314" s="123"/>
      <c r="H1314" s="123"/>
      <c r="I1314" s="123"/>
    </row>
    <row r="1315" spans="3:9" x14ac:dyDescent="0.25">
      <c r="C1315" s="123"/>
      <c r="E1315" s="123"/>
      <c r="F1315" s="79"/>
      <c r="G1315" s="123"/>
      <c r="H1315" s="123"/>
      <c r="I1315" s="123"/>
    </row>
    <row r="1316" spans="3:9" x14ac:dyDescent="0.25">
      <c r="C1316" s="123"/>
      <c r="E1316" s="123"/>
      <c r="F1316" s="79"/>
      <c r="G1316" s="123"/>
      <c r="H1316" s="123"/>
      <c r="I1316" s="123"/>
    </row>
    <row r="1317" spans="3:9" x14ac:dyDescent="0.25">
      <c r="C1317" s="123"/>
      <c r="E1317" s="123"/>
      <c r="F1317" s="79"/>
      <c r="G1317" s="123"/>
      <c r="H1317" s="123"/>
      <c r="I1317" s="123"/>
    </row>
    <row r="1318" spans="3:9" x14ac:dyDescent="0.25">
      <c r="C1318" s="123"/>
      <c r="E1318" s="123"/>
      <c r="F1318" s="79"/>
      <c r="G1318" s="123"/>
      <c r="H1318" s="123"/>
      <c r="I1318" s="123"/>
    </row>
    <row r="1319" spans="3:9" x14ac:dyDescent="0.25">
      <c r="C1319" s="123"/>
      <c r="E1319" s="123"/>
      <c r="F1319" s="79"/>
      <c r="G1319" s="123"/>
      <c r="H1319" s="123"/>
      <c r="I1319" s="123"/>
    </row>
    <row r="1320" spans="3:9" x14ac:dyDescent="0.25">
      <c r="C1320" s="123"/>
      <c r="E1320" s="123"/>
      <c r="F1320" s="79"/>
      <c r="G1320" s="123"/>
      <c r="H1320" s="123"/>
      <c r="I1320" s="123"/>
    </row>
    <row r="1321" spans="3:9" x14ac:dyDescent="0.25">
      <c r="C1321" s="123"/>
      <c r="E1321" s="123"/>
      <c r="F1321" s="79"/>
      <c r="G1321" s="123"/>
      <c r="H1321" s="123"/>
      <c r="I1321" s="123"/>
    </row>
    <row r="1322" spans="3:9" x14ac:dyDescent="0.25">
      <c r="C1322" s="123"/>
      <c r="E1322" s="123"/>
      <c r="F1322" s="79"/>
      <c r="G1322" s="123"/>
      <c r="H1322" s="123"/>
      <c r="I1322" s="123"/>
    </row>
    <row r="1323" spans="3:9" x14ac:dyDescent="0.25">
      <c r="C1323" s="123"/>
      <c r="E1323" s="123"/>
      <c r="F1323" s="79"/>
      <c r="G1323" s="123"/>
      <c r="H1323" s="123"/>
      <c r="I1323" s="123"/>
    </row>
    <row r="1324" spans="3:9" x14ac:dyDescent="0.25">
      <c r="C1324" s="123"/>
      <c r="E1324" s="123"/>
      <c r="F1324" s="79"/>
      <c r="G1324" s="123"/>
      <c r="H1324" s="123"/>
      <c r="I1324" s="123"/>
    </row>
    <row r="1325" spans="3:9" x14ac:dyDescent="0.25">
      <c r="C1325" s="123"/>
      <c r="E1325" s="123"/>
      <c r="F1325" s="79"/>
      <c r="G1325" s="123"/>
      <c r="H1325" s="123"/>
      <c r="I1325" s="123"/>
    </row>
    <row r="1326" spans="3:9" x14ac:dyDescent="0.25">
      <c r="C1326" s="123"/>
      <c r="E1326" s="123"/>
      <c r="F1326" s="79"/>
      <c r="G1326" s="123"/>
      <c r="H1326" s="123"/>
      <c r="I1326" s="123"/>
    </row>
    <row r="1327" spans="3:9" x14ac:dyDescent="0.25">
      <c r="C1327" s="123"/>
      <c r="E1327" s="123"/>
      <c r="F1327" s="79"/>
      <c r="G1327" s="123"/>
      <c r="H1327" s="123"/>
      <c r="I1327" s="123"/>
    </row>
    <row r="1328" spans="3:9" x14ac:dyDescent="0.25">
      <c r="C1328" s="123"/>
      <c r="E1328" s="123"/>
      <c r="F1328" s="79"/>
      <c r="G1328" s="123"/>
      <c r="H1328" s="123"/>
      <c r="I1328" s="123"/>
    </row>
    <row r="1329" spans="3:9" x14ac:dyDescent="0.25">
      <c r="C1329" s="123"/>
      <c r="E1329" s="123"/>
      <c r="F1329" s="79"/>
      <c r="G1329" s="123"/>
      <c r="H1329" s="123"/>
      <c r="I1329" s="123"/>
    </row>
    <row r="1330" spans="3:9" x14ac:dyDescent="0.25">
      <c r="C1330" s="123"/>
      <c r="E1330" s="123"/>
      <c r="F1330" s="79"/>
      <c r="G1330" s="123"/>
      <c r="H1330" s="123"/>
      <c r="I1330" s="123"/>
    </row>
    <row r="1331" spans="3:9" x14ac:dyDescent="0.25">
      <c r="C1331" s="123"/>
      <c r="E1331" s="123"/>
      <c r="F1331" s="79"/>
      <c r="G1331" s="123"/>
      <c r="H1331" s="123"/>
      <c r="I1331" s="123"/>
    </row>
    <row r="1332" spans="3:9" x14ac:dyDescent="0.25">
      <c r="C1332" s="123"/>
      <c r="E1332" s="123"/>
      <c r="F1332" s="79"/>
      <c r="G1332" s="123"/>
      <c r="H1332" s="123"/>
      <c r="I1332" s="123"/>
    </row>
    <row r="1333" spans="3:9" x14ac:dyDescent="0.25">
      <c r="C1333" s="123"/>
      <c r="E1333" s="123"/>
      <c r="F1333" s="79"/>
      <c r="G1333" s="123"/>
      <c r="H1333" s="123"/>
      <c r="I1333" s="123"/>
    </row>
    <row r="1334" spans="3:9" x14ac:dyDescent="0.25">
      <c r="C1334" s="123"/>
      <c r="E1334" s="123"/>
      <c r="F1334" s="79"/>
      <c r="G1334" s="123"/>
      <c r="H1334" s="123"/>
      <c r="I1334" s="123"/>
    </row>
    <row r="1335" spans="3:9" x14ac:dyDescent="0.25">
      <c r="C1335" s="123"/>
      <c r="E1335" s="123"/>
      <c r="F1335" s="79"/>
      <c r="G1335" s="123"/>
      <c r="H1335" s="123"/>
      <c r="I1335" s="123"/>
    </row>
    <row r="1336" spans="3:9" x14ac:dyDescent="0.25">
      <c r="C1336" s="123"/>
      <c r="E1336" s="123"/>
      <c r="F1336" s="79"/>
      <c r="G1336" s="123"/>
      <c r="H1336" s="123"/>
      <c r="I1336" s="123"/>
    </row>
    <row r="1337" spans="3:9" x14ac:dyDescent="0.25">
      <c r="C1337" s="123"/>
      <c r="E1337" s="123"/>
      <c r="F1337" s="79"/>
      <c r="G1337" s="123"/>
      <c r="H1337" s="123"/>
      <c r="I1337" s="123"/>
    </row>
    <row r="1338" spans="3:9" x14ac:dyDescent="0.25">
      <c r="C1338" s="123"/>
      <c r="E1338" s="123"/>
      <c r="F1338" s="79"/>
      <c r="G1338" s="123"/>
      <c r="H1338" s="123"/>
      <c r="I1338" s="123"/>
    </row>
    <row r="1339" spans="3:9" x14ac:dyDescent="0.25">
      <c r="C1339" s="123"/>
      <c r="E1339" s="123"/>
      <c r="F1339" s="79"/>
      <c r="G1339" s="123"/>
      <c r="H1339" s="123"/>
      <c r="I1339" s="123"/>
    </row>
    <row r="1340" spans="3:9" x14ac:dyDescent="0.25">
      <c r="C1340" s="123"/>
      <c r="E1340" s="123"/>
      <c r="F1340" s="79"/>
      <c r="G1340" s="123"/>
      <c r="H1340" s="123"/>
      <c r="I1340" s="123"/>
    </row>
    <row r="1341" spans="3:9" x14ac:dyDescent="0.25">
      <c r="C1341" s="123"/>
      <c r="E1341" s="123"/>
      <c r="F1341" s="79"/>
      <c r="G1341" s="123"/>
      <c r="H1341" s="123"/>
      <c r="I1341" s="123"/>
    </row>
    <row r="1342" spans="3:9" x14ac:dyDescent="0.25">
      <c r="C1342" s="123"/>
      <c r="E1342" s="123"/>
      <c r="F1342" s="79"/>
      <c r="G1342" s="123"/>
      <c r="H1342" s="123"/>
      <c r="I1342" s="123"/>
    </row>
    <row r="1343" spans="3:9" x14ac:dyDescent="0.25">
      <c r="C1343" s="123"/>
      <c r="E1343" s="123"/>
      <c r="F1343" s="79"/>
      <c r="G1343" s="123"/>
      <c r="H1343" s="123"/>
      <c r="I1343" s="123"/>
    </row>
    <row r="1344" spans="3:9" x14ac:dyDescent="0.25">
      <c r="C1344" s="123"/>
      <c r="E1344" s="123"/>
      <c r="F1344" s="79"/>
      <c r="G1344" s="123"/>
      <c r="H1344" s="123"/>
      <c r="I1344" s="123"/>
    </row>
    <row r="1345" spans="3:9" x14ac:dyDescent="0.25">
      <c r="C1345" s="123"/>
      <c r="E1345" s="123"/>
      <c r="F1345" s="79"/>
      <c r="G1345" s="123"/>
      <c r="H1345" s="123"/>
      <c r="I1345" s="123"/>
    </row>
    <row r="1346" spans="3:9" x14ac:dyDescent="0.25">
      <c r="C1346" s="123"/>
      <c r="E1346" s="123"/>
      <c r="F1346" s="79"/>
      <c r="G1346" s="123"/>
      <c r="H1346" s="123"/>
      <c r="I1346" s="123"/>
    </row>
    <row r="1347" spans="3:9" x14ac:dyDescent="0.25">
      <c r="C1347" s="123"/>
      <c r="E1347" s="123"/>
      <c r="F1347" s="79"/>
      <c r="G1347" s="123"/>
      <c r="H1347" s="123"/>
      <c r="I1347" s="123"/>
    </row>
    <row r="1348" spans="3:9" x14ac:dyDescent="0.25">
      <c r="C1348" s="123"/>
      <c r="E1348" s="123"/>
      <c r="F1348" s="79"/>
      <c r="G1348" s="123"/>
      <c r="H1348" s="123"/>
      <c r="I1348" s="123"/>
    </row>
    <row r="1349" spans="3:9" x14ac:dyDescent="0.25">
      <c r="C1349" s="123"/>
      <c r="E1349" s="123"/>
      <c r="F1349" s="79"/>
      <c r="G1349" s="123"/>
      <c r="H1349" s="123"/>
      <c r="I1349" s="123"/>
    </row>
    <row r="1350" spans="3:9" x14ac:dyDescent="0.25">
      <c r="C1350" s="123"/>
      <c r="E1350" s="123"/>
      <c r="F1350" s="79"/>
      <c r="G1350" s="123"/>
      <c r="H1350" s="123"/>
      <c r="I1350" s="123"/>
    </row>
    <row r="1351" spans="3:9" x14ac:dyDescent="0.25">
      <c r="C1351" s="123"/>
      <c r="E1351" s="123"/>
      <c r="F1351" s="79"/>
      <c r="G1351" s="123"/>
      <c r="H1351" s="123"/>
      <c r="I1351" s="123"/>
    </row>
    <row r="1352" spans="3:9" x14ac:dyDescent="0.25">
      <c r="C1352" s="123"/>
      <c r="E1352" s="123"/>
      <c r="F1352" s="79"/>
      <c r="G1352" s="123"/>
      <c r="H1352" s="123"/>
      <c r="I1352" s="123"/>
    </row>
    <row r="1353" spans="3:9" x14ac:dyDescent="0.25">
      <c r="C1353" s="123"/>
      <c r="E1353" s="123"/>
      <c r="F1353" s="79"/>
      <c r="G1353" s="123"/>
      <c r="H1353" s="123"/>
      <c r="I1353" s="123"/>
    </row>
    <row r="1354" spans="3:9" x14ac:dyDescent="0.25">
      <c r="C1354" s="123"/>
      <c r="E1354" s="123"/>
      <c r="F1354" s="79"/>
      <c r="G1354" s="123"/>
      <c r="H1354" s="123"/>
      <c r="I1354" s="123"/>
    </row>
    <row r="1355" spans="3:9" x14ac:dyDescent="0.25">
      <c r="C1355" s="123"/>
      <c r="E1355" s="123"/>
      <c r="F1355" s="79"/>
      <c r="G1355" s="123"/>
      <c r="H1355" s="123"/>
      <c r="I1355" s="123"/>
    </row>
    <row r="1356" spans="3:9" x14ac:dyDescent="0.25">
      <c r="C1356" s="123"/>
      <c r="E1356" s="123"/>
      <c r="F1356" s="79"/>
      <c r="G1356" s="123"/>
      <c r="H1356" s="123"/>
      <c r="I1356" s="123"/>
    </row>
    <row r="1357" spans="3:9" x14ac:dyDescent="0.25">
      <c r="C1357" s="123"/>
      <c r="E1357" s="123"/>
      <c r="F1357" s="79"/>
      <c r="G1357" s="123"/>
      <c r="H1357" s="123"/>
      <c r="I1357" s="123"/>
    </row>
    <row r="1358" spans="3:9" x14ac:dyDescent="0.25">
      <c r="C1358" s="123"/>
      <c r="E1358" s="123"/>
      <c r="F1358" s="79"/>
      <c r="G1358" s="123"/>
      <c r="H1358" s="123"/>
      <c r="I1358" s="123"/>
    </row>
    <row r="1359" spans="3:9" x14ac:dyDescent="0.25">
      <c r="C1359" s="123"/>
      <c r="E1359" s="123"/>
      <c r="F1359" s="79"/>
      <c r="G1359" s="123"/>
      <c r="H1359" s="123"/>
      <c r="I1359" s="123"/>
    </row>
    <row r="1360" spans="3:9" x14ac:dyDescent="0.25">
      <c r="C1360" s="123"/>
      <c r="E1360" s="123"/>
      <c r="F1360" s="79"/>
      <c r="G1360" s="123"/>
      <c r="H1360" s="123"/>
      <c r="I1360" s="123"/>
    </row>
    <row r="1361" spans="3:9" x14ac:dyDescent="0.25">
      <c r="C1361" s="123"/>
      <c r="E1361" s="123"/>
      <c r="F1361" s="79"/>
      <c r="G1361" s="123"/>
      <c r="H1361" s="123"/>
      <c r="I1361" s="123"/>
    </row>
    <row r="1362" spans="3:9" x14ac:dyDescent="0.25">
      <c r="C1362" s="123"/>
      <c r="E1362" s="123"/>
      <c r="F1362" s="79"/>
      <c r="G1362" s="123"/>
      <c r="H1362" s="123"/>
      <c r="I1362" s="123"/>
    </row>
    <row r="1363" spans="3:9" x14ac:dyDescent="0.25">
      <c r="C1363" s="123"/>
      <c r="E1363" s="123"/>
      <c r="F1363" s="79"/>
      <c r="G1363" s="123"/>
      <c r="H1363" s="123"/>
      <c r="I1363" s="123"/>
    </row>
    <row r="1364" spans="3:9" x14ac:dyDescent="0.25">
      <c r="C1364" s="123"/>
      <c r="E1364" s="123"/>
      <c r="F1364" s="79"/>
      <c r="G1364" s="123"/>
      <c r="H1364" s="123"/>
      <c r="I1364" s="123"/>
    </row>
    <row r="1365" spans="3:9" x14ac:dyDescent="0.25">
      <c r="C1365" s="123"/>
      <c r="E1365" s="123"/>
      <c r="F1365" s="79"/>
      <c r="G1365" s="123"/>
      <c r="H1365" s="123"/>
      <c r="I1365" s="123"/>
    </row>
    <row r="1366" spans="3:9" x14ac:dyDescent="0.25">
      <c r="C1366" s="123"/>
      <c r="E1366" s="123"/>
      <c r="F1366" s="79"/>
      <c r="G1366" s="123"/>
      <c r="H1366" s="123"/>
      <c r="I1366" s="123"/>
    </row>
    <row r="1367" spans="3:9" x14ac:dyDescent="0.25">
      <c r="C1367" s="123"/>
      <c r="E1367" s="123"/>
      <c r="F1367" s="79"/>
      <c r="G1367" s="123"/>
      <c r="H1367" s="123"/>
      <c r="I1367" s="123"/>
    </row>
    <row r="1368" spans="3:9" x14ac:dyDescent="0.25">
      <c r="C1368" s="123"/>
      <c r="E1368" s="123"/>
      <c r="F1368" s="79"/>
      <c r="G1368" s="123"/>
      <c r="H1368" s="123"/>
      <c r="I1368" s="123"/>
    </row>
    <row r="1369" spans="3:9" x14ac:dyDescent="0.25">
      <c r="C1369" s="123"/>
      <c r="E1369" s="123"/>
      <c r="F1369" s="79"/>
      <c r="G1369" s="123"/>
      <c r="H1369" s="123"/>
      <c r="I1369" s="123"/>
    </row>
    <row r="1370" spans="3:9" x14ac:dyDescent="0.25">
      <c r="C1370" s="123"/>
      <c r="E1370" s="123"/>
      <c r="F1370" s="79"/>
      <c r="G1370" s="123"/>
      <c r="H1370" s="123"/>
      <c r="I1370" s="123"/>
    </row>
    <row r="1371" spans="3:9" x14ac:dyDescent="0.25">
      <c r="C1371" s="123"/>
      <c r="E1371" s="123"/>
      <c r="F1371" s="79"/>
      <c r="G1371" s="123"/>
      <c r="H1371" s="123"/>
      <c r="I1371" s="123"/>
    </row>
    <row r="1372" spans="3:9" x14ac:dyDescent="0.25">
      <c r="C1372" s="123"/>
      <c r="E1372" s="123"/>
      <c r="F1372" s="79"/>
      <c r="G1372" s="123"/>
      <c r="H1372" s="123"/>
      <c r="I1372" s="123"/>
    </row>
    <row r="1373" spans="3:9" x14ac:dyDescent="0.25">
      <c r="C1373" s="123"/>
      <c r="E1373" s="123"/>
      <c r="F1373" s="79"/>
      <c r="G1373" s="123"/>
      <c r="H1373" s="123"/>
      <c r="I1373" s="123"/>
    </row>
    <row r="1374" spans="3:9" x14ac:dyDescent="0.25">
      <c r="C1374" s="123"/>
      <c r="E1374" s="123"/>
      <c r="F1374" s="79"/>
      <c r="G1374" s="123"/>
      <c r="H1374" s="123"/>
      <c r="I1374" s="123"/>
    </row>
    <row r="1375" spans="3:9" x14ac:dyDescent="0.25">
      <c r="C1375" s="52"/>
      <c r="D1375" s="50"/>
      <c r="E1375" s="51"/>
      <c r="F1375" s="81"/>
      <c r="G1375" s="51"/>
      <c r="H1375" s="51"/>
      <c r="I1375" s="123"/>
    </row>
    <row r="1376" spans="3:9" x14ac:dyDescent="0.25">
      <c r="C1376" s="123"/>
      <c r="D1376" s="62"/>
      <c r="E1376" s="123"/>
      <c r="F1376" s="79"/>
      <c r="G1376" s="123"/>
      <c r="H1376" s="123"/>
      <c r="I1376" s="123"/>
    </row>
    <row r="1377" spans="3:9" x14ac:dyDescent="0.25">
      <c r="C1377" s="123"/>
      <c r="E1377" s="123"/>
      <c r="F1377" s="79"/>
      <c r="G1377" s="123"/>
      <c r="H1377" s="123"/>
      <c r="I1377" s="123"/>
    </row>
    <row r="1378" spans="3:9" x14ac:dyDescent="0.25">
      <c r="C1378" s="123"/>
      <c r="E1378" s="123"/>
      <c r="F1378" s="79"/>
      <c r="G1378" s="123"/>
      <c r="H1378" s="123"/>
      <c r="I1378" s="123"/>
    </row>
    <row r="1379" spans="3:9" x14ac:dyDescent="0.25">
      <c r="C1379" s="123"/>
      <c r="E1379" s="123"/>
      <c r="F1379" s="79"/>
      <c r="G1379" s="123"/>
      <c r="H1379" s="123"/>
      <c r="I1379" s="123"/>
    </row>
    <row r="1380" spans="3:9" x14ac:dyDescent="0.25">
      <c r="C1380" s="123"/>
      <c r="E1380" s="123"/>
      <c r="F1380" s="79"/>
      <c r="G1380" s="123"/>
      <c r="H1380" s="123"/>
      <c r="I1380" s="123"/>
    </row>
    <row r="1381" spans="3:9" x14ac:dyDescent="0.25">
      <c r="C1381" s="123"/>
      <c r="E1381" s="123"/>
      <c r="F1381" s="79"/>
      <c r="G1381" s="123"/>
      <c r="H1381" s="123"/>
      <c r="I1381" s="123"/>
    </row>
    <row r="1382" spans="3:9" x14ac:dyDescent="0.25">
      <c r="C1382" s="123"/>
      <c r="E1382" s="123"/>
      <c r="F1382" s="79"/>
      <c r="G1382" s="123"/>
      <c r="H1382" s="123"/>
      <c r="I1382" s="123"/>
    </row>
    <row r="1383" spans="3:9" x14ac:dyDescent="0.25">
      <c r="C1383" s="123"/>
      <c r="E1383" s="123"/>
      <c r="F1383" s="79"/>
      <c r="G1383" s="123"/>
      <c r="H1383" s="123"/>
      <c r="I1383" s="123"/>
    </row>
    <row r="1384" spans="3:9" x14ac:dyDescent="0.25">
      <c r="C1384" s="123"/>
      <c r="E1384" s="123"/>
      <c r="F1384" s="79"/>
      <c r="G1384" s="123"/>
      <c r="H1384" s="123"/>
      <c r="I1384" s="123"/>
    </row>
    <row r="1385" spans="3:9" x14ac:dyDescent="0.25">
      <c r="C1385" s="123"/>
      <c r="E1385" s="123"/>
      <c r="F1385" s="79"/>
      <c r="G1385" s="123"/>
      <c r="H1385" s="123"/>
      <c r="I1385" s="123"/>
    </row>
    <row r="1386" spans="3:9" x14ac:dyDescent="0.25">
      <c r="C1386" s="123"/>
      <c r="E1386" s="123"/>
      <c r="F1386" s="79"/>
      <c r="G1386" s="123"/>
      <c r="H1386" s="123"/>
      <c r="I1386" s="123"/>
    </row>
    <row r="1387" spans="3:9" x14ac:dyDescent="0.25">
      <c r="C1387" s="123"/>
      <c r="E1387" s="123"/>
      <c r="F1387" s="79"/>
      <c r="G1387" s="123"/>
      <c r="H1387" s="123"/>
      <c r="I1387" s="123"/>
    </row>
    <row r="1388" spans="3:9" x14ac:dyDescent="0.25">
      <c r="C1388" s="123"/>
      <c r="E1388" s="123"/>
      <c r="F1388" s="79"/>
      <c r="G1388" s="123"/>
      <c r="H1388" s="123"/>
      <c r="I1388" s="123"/>
    </row>
    <row r="1389" spans="3:9" x14ac:dyDescent="0.25">
      <c r="C1389" s="123"/>
      <c r="E1389" s="123"/>
      <c r="F1389" s="79"/>
      <c r="G1389" s="123"/>
      <c r="H1389" s="123"/>
      <c r="I1389" s="123"/>
    </row>
    <row r="1390" spans="3:9" x14ac:dyDescent="0.25">
      <c r="C1390" s="123"/>
      <c r="E1390" s="123"/>
      <c r="F1390" s="79"/>
      <c r="G1390" s="123"/>
      <c r="H1390" s="123"/>
      <c r="I1390" s="123"/>
    </row>
    <row r="1391" spans="3:9" x14ac:dyDescent="0.25">
      <c r="C1391" s="123"/>
      <c r="E1391" s="123"/>
      <c r="F1391" s="79"/>
      <c r="G1391" s="123"/>
      <c r="H1391" s="123"/>
      <c r="I1391" s="123"/>
    </row>
    <row r="1392" spans="3:9" x14ac:dyDescent="0.25">
      <c r="C1392" s="123"/>
      <c r="E1392" s="123"/>
      <c r="F1392" s="79"/>
      <c r="G1392" s="123"/>
      <c r="H1392" s="123"/>
      <c r="I1392" s="123"/>
    </row>
    <row r="1393" spans="3:9" x14ac:dyDescent="0.25">
      <c r="C1393" s="123"/>
      <c r="E1393" s="123"/>
      <c r="F1393" s="79"/>
      <c r="G1393" s="123"/>
      <c r="H1393" s="123"/>
      <c r="I1393" s="123"/>
    </row>
    <row r="1394" spans="3:9" x14ac:dyDescent="0.25">
      <c r="C1394" s="123"/>
      <c r="E1394" s="123"/>
      <c r="F1394" s="79"/>
      <c r="G1394" s="123"/>
      <c r="H1394" s="123"/>
      <c r="I1394" s="123"/>
    </row>
    <row r="1395" spans="3:9" x14ac:dyDescent="0.25">
      <c r="C1395" s="123"/>
      <c r="E1395" s="123"/>
      <c r="F1395" s="79"/>
      <c r="G1395" s="123"/>
      <c r="H1395" s="123"/>
      <c r="I1395" s="123"/>
    </row>
    <row r="1396" spans="3:9" x14ac:dyDescent="0.25">
      <c r="C1396" s="123"/>
      <c r="E1396" s="123"/>
      <c r="F1396" s="79"/>
      <c r="G1396" s="123"/>
      <c r="H1396" s="123"/>
      <c r="I1396" s="123"/>
    </row>
    <row r="1397" spans="3:9" x14ac:dyDescent="0.25">
      <c r="C1397" s="123"/>
      <c r="E1397" s="123"/>
      <c r="F1397" s="79"/>
      <c r="G1397" s="123"/>
      <c r="H1397" s="123"/>
      <c r="I1397" s="123"/>
    </row>
    <row r="1398" spans="3:9" x14ac:dyDescent="0.25">
      <c r="C1398" s="123"/>
      <c r="E1398" s="123"/>
      <c r="F1398" s="79"/>
      <c r="G1398" s="123"/>
      <c r="H1398" s="123"/>
      <c r="I1398" s="123"/>
    </row>
    <row r="1399" spans="3:9" x14ac:dyDescent="0.25">
      <c r="C1399" s="123"/>
      <c r="E1399" s="123"/>
      <c r="F1399" s="79"/>
      <c r="G1399" s="123"/>
      <c r="H1399" s="123"/>
      <c r="I1399" s="123"/>
    </row>
    <row r="1400" spans="3:9" x14ac:dyDescent="0.25">
      <c r="C1400" s="123"/>
      <c r="E1400" s="123"/>
      <c r="F1400" s="79"/>
      <c r="G1400" s="123"/>
      <c r="H1400" s="123"/>
      <c r="I1400" s="123"/>
    </row>
    <row r="1401" spans="3:9" x14ac:dyDescent="0.25">
      <c r="C1401" s="123"/>
      <c r="E1401" s="123"/>
      <c r="F1401" s="79"/>
      <c r="G1401" s="123"/>
      <c r="H1401" s="123"/>
      <c r="I1401" s="123"/>
    </row>
    <row r="1402" spans="3:9" x14ac:dyDescent="0.25">
      <c r="C1402" s="123"/>
      <c r="E1402" s="123"/>
      <c r="F1402" s="79"/>
      <c r="G1402" s="123"/>
      <c r="H1402" s="123"/>
      <c r="I1402" s="123"/>
    </row>
    <row r="1403" spans="3:9" x14ac:dyDescent="0.25">
      <c r="C1403" s="123"/>
      <c r="E1403" s="123"/>
      <c r="F1403" s="79"/>
      <c r="G1403" s="123"/>
      <c r="H1403" s="123"/>
      <c r="I1403" s="123"/>
    </row>
    <row r="1404" spans="3:9" x14ac:dyDescent="0.25">
      <c r="C1404" s="123"/>
      <c r="E1404" s="123"/>
      <c r="F1404" s="79"/>
      <c r="G1404" s="123"/>
      <c r="H1404" s="123"/>
      <c r="I1404" s="123"/>
    </row>
    <row r="1405" spans="3:9" x14ac:dyDescent="0.25">
      <c r="C1405" s="123"/>
      <c r="E1405" s="123"/>
      <c r="F1405" s="79"/>
      <c r="G1405" s="123"/>
      <c r="H1405" s="123"/>
      <c r="I1405" s="123"/>
    </row>
    <row r="1406" spans="3:9" x14ac:dyDescent="0.25">
      <c r="C1406" s="123"/>
      <c r="E1406" s="123"/>
      <c r="F1406" s="79"/>
      <c r="G1406" s="123"/>
      <c r="H1406" s="123"/>
      <c r="I1406" s="123"/>
    </row>
    <row r="1407" spans="3:9" x14ac:dyDescent="0.25">
      <c r="C1407" s="123"/>
      <c r="E1407" s="123"/>
      <c r="F1407" s="79"/>
      <c r="G1407" s="123"/>
      <c r="H1407" s="123"/>
      <c r="I1407" s="123"/>
    </row>
    <row r="1408" spans="3:9" x14ac:dyDescent="0.25">
      <c r="C1408" s="123"/>
      <c r="E1408" s="123"/>
      <c r="F1408" s="79"/>
      <c r="G1408" s="123"/>
      <c r="H1408" s="123"/>
      <c r="I1408" s="123"/>
    </row>
    <row r="1409" spans="3:9" x14ac:dyDescent="0.25">
      <c r="C1409" s="123"/>
      <c r="E1409" s="123"/>
      <c r="F1409" s="79"/>
      <c r="G1409" s="123"/>
      <c r="H1409" s="123"/>
      <c r="I1409" s="123"/>
    </row>
    <row r="1410" spans="3:9" x14ac:dyDescent="0.25">
      <c r="C1410" s="123"/>
      <c r="E1410" s="123"/>
      <c r="F1410" s="79"/>
      <c r="G1410" s="123"/>
      <c r="H1410" s="123"/>
      <c r="I1410" s="123"/>
    </row>
    <row r="1411" spans="3:9" x14ac:dyDescent="0.25">
      <c r="C1411" s="123"/>
      <c r="E1411" s="123"/>
      <c r="F1411" s="79"/>
      <c r="G1411" s="123"/>
      <c r="H1411" s="123"/>
      <c r="I1411" s="123"/>
    </row>
    <row r="1412" spans="3:9" x14ac:dyDescent="0.25">
      <c r="C1412" s="123"/>
      <c r="E1412" s="123"/>
      <c r="F1412" s="79"/>
      <c r="G1412" s="123"/>
      <c r="H1412" s="123"/>
      <c r="I1412" s="123"/>
    </row>
    <row r="1413" spans="3:9" x14ac:dyDescent="0.25">
      <c r="C1413" s="123"/>
      <c r="E1413" s="123"/>
      <c r="F1413" s="79"/>
      <c r="G1413" s="123"/>
      <c r="H1413" s="123"/>
      <c r="I1413" s="123"/>
    </row>
    <row r="1414" spans="3:9" x14ac:dyDescent="0.25">
      <c r="C1414" s="123"/>
      <c r="E1414" s="123"/>
      <c r="F1414" s="79"/>
      <c r="G1414" s="123"/>
      <c r="H1414" s="123"/>
      <c r="I1414" s="123"/>
    </row>
    <row r="1415" spans="3:9" x14ac:dyDescent="0.25">
      <c r="C1415" s="123"/>
      <c r="E1415" s="123"/>
      <c r="F1415" s="79"/>
      <c r="G1415" s="123"/>
      <c r="H1415" s="123"/>
      <c r="I1415" s="123"/>
    </row>
    <row r="1416" spans="3:9" x14ac:dyDescent="0.25">
      <c r="C1416" s="123"/>
      <c r="E1416" s="123"/>
      <c r="F1416" s="79"/>
      <c r="G1416" s="123"/>
      <c r="H1416" s="123"/>
      <c r="I1416" s="123"/>
    </row>
    <row r="1417" spans="3:9" x14ac:dyDescent="0.25">
      <c r="C1417" s="123"/>
      <c r="E1417" s="123"/>
      <c r="F1417" s="79"/>
      <c r="G1417" s="123"/>
      <c r="H1417" s="123"/>
      <c r="I1417" s="123"/>
    </row>
    <row r="1418" spans="3:9" x14ac:dyDescent="0.25">
      <c r="C1418" s="123"/>
      <c r="E1418" s="123"/>
      <c r="F1418" s="79"/>
      <c r="G1418" s="123"/>
      <c r="H1418" s="123"/>
      <c r="I1418" s="123"/>
    </row>
    <row r="1419" spans="3:9" x14ac:dyDescent="0.25">
      <c r="C1419" s="123"/>
      <c r="E1419" s="123"/>
      <c r="F1419" s="79"/>
      <c r="G1419" s="123"/>
      <c r="H1419" s="123"/>
      <c r="I1419" s="123"/>
    </row>
    <row r="1420" spans="3:9" x14ac:dyDescent="0.25">
      <c r="C1420" s="123"/>
      <c r="E1420" s="123"/>
      <c r="F1420" s="79"/>
      <c r="G1420" s="123"/>
      <c r="H1420" s="123"/>
      <c r="I1420" s="123"/>
    </row>
    <row r="1421" spans="3:9" x14ac:dyDescent="0.25">
      <c r="C1421" s="123"/>
      <c r="E1421" s="123"/>
      <c r="F1421" s="79"/>
      <c r="G1421" s="123"/>
      <c r="H1421" s="123"/>
      <c r="I1421" s="123"/>
    </row>
    <row r="1422" spans="3:9" x14ac:dyDescent="0.25">
      <c r="C1422" s="123"/>
      <c r="E1422" s="123"/>
      <c r="F1422" s="79"/>
      <c r="G1422" s="123"/>
      <c r="H1422" s="123"/>
      <c r="I1422" s="123"/>
    </row>
    <row r="1423" spans="3:9" x14ac:dyDescent="0.25">
      <c r="C1423" s="123"/>
      <c r="E1423" s="123"/>
      <c r="F1423" s="79"/>
      <c r="G1423" s="123"/>
      <c r="H1423" s="123"/>
      <c r="I1423" s="123"/>
    </row>
    <row r="1424" spans="3:9" x14ac:dyDescent="0.25">
      <c r="C1424" s="123"/>
      <c r="E1424" s="123"/>
      <c r="F1424" s="79"/>
      <c r="G1424" s="123"/>
      <c r="H1424" s="123"/>
      <c r="I1424" s="123"/>
    </row>
    <row r="1425" spans="3:9" x14ac:dyDescent="0.25">
      <c r="C1425" s="123"/>
      <c r="E1425" s="123"/>
      <c r="F1425" s="79"/>
      <c r="G1425" s="123"/>
      <c r="H1425" s="123"/>
      <c r="I1425" s="123"/>
    </row>
    <row r="1426" spans="3:9" x14ac:dyDescent="0.25">
      <c r="C1426" s="123"/>
      <c r="E1426" s="123"/>
      <c r="F1426" s="79"/>
      <c r="G1426" s="123"/>
      <c r="H1426" s="123"/>
      <c r="I1426" s="123"/>
    </row>
    <row r="1427" spans="3:9" x14ac:dyDescent="0.25">
      <c r="C1427" s="123"/>
      <c r="E1427" s="123"/>
      <c r="F1427" s="79"/>
      <c r="G1427" s="123"/>
      <c r="H1427" s="123"/>
      <c r="I1427" s="123"/>
    </row>
    <row r="1428" spans="3:9" x14ac:dyDescent="0.25">
      <c r="C1428" s="123"/>
      <c r="E1428" s="123"/>
      <c r="F1428" s="79"/>
      <c r="G1428" s="123"/>
      <c r="H1428" s="123"/>
      <c r="I1428" s="123"/>
    </row>
    <row r="1429" spans="3:9" x14ac:dyDescent="0.25">
      <c r="C1429" s="123"/>
      <c r="E1429" s="123"/>
      <c r="F1429" s="79"/>
      <c r="G1429" s="123"/>
      <c r="H1429" s="123"/>
      <c r="I1429" s="123"/>
    </row>
    <row r="1430" spans="3:9" x14ac:dyDescent="0.25">
      <c r="C1430" s="123"/>
      <c r="E1430" s="123"/>
      <c r="F1430" s="79"/>
      <c r="G1430" s="123"/>
      <c r="H1430" s="123"/>
      <c r="I1430" s="123"/>
    </row>
    <row r="1431" spans="3:9" x14ac:dyDescent="0.25">
      <c r="C1431" s="123"/>
      <c r="E1431" s="123"/>
      <c r="F1431" s="79"/>
      <c r="G1431" s="123"/>
      <c r="H1431" s="123"/>
      <c r="I1431" s="123"/>
    </row>
    <row r="1432" spans="3:9" x14ac:dyDescent="0.25">
      <c r="C1432" s="123"/>
      <c r="E1432" s="123"/>
      <c r="F1432" s="79"/>
      <c r="G1432" s="123"/>
      <c r="H1432" s="123"/>
      <c r="I1432" s="123"/>
    </row>
    <row r="1433" spans="3:9" x14ac:dyDescent="0.25">
      <c r="C1433" s="123"/>
      <c r="E1433" s="123"/>
      <c r="F1433" s="79"/>
      <c r="G1433" s="123"/>
      <c r="H1433" s="123"/>
      <c r="I1433" s="123"/>
    </row>
    <row r="1434" spans="3:9" x14ac:dyDescent="0.25">
      <c r="C1434" s="123"/>
      <c r="E1434" s="123"/>
      <c r="F1434" s="79"/>
      <c r="G1434" s="123"/>
      <c r="H1434" s="123"/>
      <c r="I1434" s="123"/>
    </row>
    <row r="1435" spans="3:9" x14ac:dyDescent="0.25">
      <c r="C1435" s="123"/>
      <c r="E1435" s="123"/>
      <c r="F1435" s="79"/>
      <c r="G1435" s="123"/>
      <c r="H1435" s="123"/>
      <c r="I1435" s="123"/>
    </row>
    <row r="1436" spans="3:9" x14ac:dyDescent="0.25">
      <c r="C1436" s="123"/>
      <c r="E1436" s="123"/>
      <c r="F1436" s="79"/>
      <c r="G1436" s="123"/>
      <c r="H1436" s="123"/>
      <c r="I1436" s="123"/>
    </row>
    <row r="1437" spans="3:9" x14ac:dyDescent="0.25">
      <c r="C1437" s="123"/>
      <c r="E1437" s="123"/>
      <c r="F1437" s="79"/>
      <c r="G1437" s="123"/>
      <c r="H1437" s="123"/>
      <c r="I1437" s="123"/>
    </row>
    <row r="1438" spans="3:9" x14ac:dyDescent="0.25">
      <c r="C1438" s="123"/>
      <c r="E1438" s="123"/>
      <c r="F1438" s="79"/>
      <c r="G1438" s="123"/>
      <c r="H1438" s="123"/>
      <c r="I1438" s="123"/>
    </row>
    <row r="1439" spans="3:9" x14ac:dyDescent="0.25">
      <c r="C1439" s="123"/>
      <c r="E1439" s="123"/>
      <c r="F1439" s="79"/>
      <c r="G1439" s="123"/>
      <c r="H1439" s="123"/>
      <c r="I1439" s="123"/>
    </row>
    <row r="1440" spans="3:9" x14ac:dyDescent="0.25">
      <c r="C1440" s="123"/>
      <c r="E1440" s="123"/>
      <c r="F1440" s="79"/>
      <c r="G1440" s="123"/>
      <c r="H1440" s="123"/>
      <c r="I1440" s="123"/>
    </row>
    <row r="1441" spans="3:9" x14ac:dyDescent="0.25">
      <c r="C1441" s="123"/>
      <c r="E1441" s="123"/>
      <c r="F1441" s="79"/>
      <c r="G1441" s="123"/>
      <c r="H1441" s="123"/>
      <c r="I1441" s="123"/>
    </row>
    <row r="1442" spans="3:9" x14ac:dyDescent="0.25">
      <c r="C1442" s="123"/>
      <c r="E1442" s="123"/>
      <c r="F1442" s="79"/>
      <c r="G1442" s="123"/>
      <c r="H1442" s="123"/>
      <c r="I1442" s="123"/>
    </row>
    <row r="1443" spans="3:9" x14ac:dyDescent="0.25">
      <c r="C1443" s="123"/>
      <c r="E1443" s="123"/>
      <c r="F1443" s="79"/>
      <c r="G1443" s="123"/>
      <c r="H1443" s="123"/>
      <c r="I1443" s="123"/>
    </row>
    <row r="1444" spans="3:9" x14ac:dyDescent="0.25">
      <c r="C1444" s="123"/>
      <c r="E1444" s="123"/>
      <c r="F1444" s="79"/>
      <c r="G1444" s="123"/>
      <c r="H1444" s="123"/>
      <c r="I1444" s="123"/>
    </row>
    <row r="1445" spans="3:9" x14ac:dyDescent="0.25">
      <c r="C1445" s="123"/>
      <c r="E1445" s="123"/>
      <c r="F1445" s="79"/>
      <c r="G1445" s="123"/>
      <c r="H1445" s="123"/>
      <c r="I1445" s="123"/>
    </row>
    <row r="1446" spans="3:9" x14ac:dyDescent="0.25">
      <c r="C1446" s="123"/>
      <c r="E1446" s="123"/>
      <c r="F1446" s="79"/>
      <c r="G1446" s="123"/>
      <c r="H1446" s="123"/>
      <c r="I1446" s="123"/>
    </row>
    <row r="1447" spans="3:9" x14ac:dyDescent="0.25">
      <c r="C1447" s="123"/>
      <c r="E1447" s="123"/>
      <c r="F1447" s="79"/>
      <c r="G1447" s="123"/>
      <c r="H1447" s="123"/>
      <c r="I1447" s="123"/>
    </row>
    <row r="1448" spans="3:9" x14ac:dyDescent="0.25">
      <c r="C1448" s="123"/>
      <c r="E1448" s="123"/>
      <c r="F1448" s="79"/>
      <c r="G1448" s="123"/>
      <c r="H1448" s="123"/>
      <c r="I1448" s="123"/>
    </row>
    <row r="1449" spans="3:9" x14ac:dyDescent="0.25">
      <c r="C1449" s="123"/>
      <c r="E1449" s="123"/>
      <c r="F1449" s="79"/>
      <c r="G1449" s="123"/>
      <c r="H1449" s="123"/>
      <c r="I1449" s="123"/>
    </row>
    <row r="1450" spans="3:9" x14ac:dyDescent="0.25">
      <c r="C1450" s="123"/>
      <c r="E1450" s="123"/>
      <c r="F1450" s="79"/>
      <c r="G1450" s="123"/>
      <c r="H1450" s="123"/>
      <c r="I1450" s="123"/>
    </row>
    <row r="1451" spans="3:9" x14ac:dyDescent="0.25">
      <c r="C1451" s="123"/>
      <c r="E1451" s="123"/>
      <c r="F1451" s="79"/>
      <c r="G1451" s="123"/>
      <c r="H1451" s="123"/>
      <c r="I1451" s="123"/>
    </row>
    <row r="1452" spans="3:9" x14ac:dyDescent="0.25">
      <c r="C1452" s="123"/>
      <c r="E1452" s="123"/>
      <c r="F1452" s="79"/>
      <c r="G1452" s="123"/>
      <c r="H1452" s="123"/>
      <c r="I1452" s="123"/>
    </row>
    <row r="1453" spans="3:9" x14ac:dyDescent="0.25">
      <c r="C1453" s="9"/>
      <c r="D1453" s="10"/>
      <c r="E1453" s="11"/>
      <c r="F1453" s="86"/>
      <c r="G1453" s="11"/>
      <c r="H1453" s="11"/>
      <c r="I1453" s="123"/>
    </row>
    <row r="1454" spans="3:9" x14ac:dyDescent="0.25">
      <c r="C1454" s="9"/>
      <c r="D1454" s="10"/>
      <c r="E1454" s="11"/>
      <c r="F1454" s="86"/>
      <c r="G1454" s="11"/>
      <c r="H1454" s="11"/>
      <c r="I1454" s="123"/>
    </row>
    <row r="1455" spans="3:9" x14ac:dyDescent="0.25">
      <c r="C1455" s="9"/>
      <c r="D1455" s="10"/>
      <c r="E1455" s="11"/>
      <c r="F1455" s="86"/>
      <c r="G1455" s="11"/>
      <c r="H1455" s="11"/>
      <c r="I1455" s="123"/>
    </row>
    <row r="1456" spans="3:9" x14ac:dyDescent="0.25">
      <c r="C1456" s="9"/>
      <c r="D1456" s="10"/>
      <c r="E1456" s="11"/>
      <c r="F1456" s="86"/>
      <c r="G1456" s="11"/>
      <c r="H1456" s="11"/>
      <c r="I1456" s="123"/>
    </row>
    <row r="1457" spans="3:9" x14ac:dyDescent="0.25">
      <c r="C1457" s="9"/>
      <c r="D1457" s="10"/>
      <c r="E1457" s="11"/>
      <c r="F1457" s="86"/>
      <c r="G1457" s="11"/>
      <c r="H1457" s="11"/>
      <c r="I1457" s="123"/>
    </row>
    <row r="1458" spans="3:9" x14ac:dyDescent="0.25">
      <c r="C1458" s="9"/>
      <c r="D1458" s="10"/>
      <c r="E1458" s="11"/>
      <c r="F1458" s="86"/>
      <c r="G1458" s="11"/>
      <c r="H1458" s="11"/>
      <c r="I1458" s="123"/>
    </row>
    <row r="1459" spans="3:9" x14ac:dyDescent="0.25">
      <c r="C1459" s="9"/>
      <c r="D1459" s="10"/>
      <c r="E1459" s="11"/>
      <c r="F1459" s="86"/>
      <c r="G1459" s="11"/>
      <c r="H1459" s="11"/>
      <c r="I1459" s="123"/>
    </row>
    <row r="1460" spans="3:9" x14ac:dyDescent="0.25">
      <c r="C1460" s="9"/>
      <c r="D1460" s="10"/>
      <c r="E1460" s="11"/>
      <c r="F1460" s="86"/>
      <c r="G1460" s="11"/>
      <c r="H1460" s="11"/>
      <c r="I1460" s="123"/>
    </row>
    <row r="1461" spans="3:9" x14ac:dyDescent="0.25">
      <c r="C1461" s="9"/>
      <c r="D1461" s="10"/>
      <c r="E1461" s="11"/>
      <c r="F1461" s="86"/>
      <c r="G1461" s="11"/>
      <c r="H1461" s="11"/>
      <c r="I1461" s="123"/>
    </row>
    <row r="1462" spans="3:9" x14ac:dyDescent="0.25">
      <c r="C1462" s="9"/>
      <c r="D1462" s="10"/>
      <c r="E1462" s="11"/>
      <c r="F1462" s="86"/>
      <c r="G1462" s="11"/>
      <c r="H1462" s="11"/>
      <c r="I1462" s="123"/>
    </row>
    <row r="1463" spans="3:9" x14ac:dyDescent="0.25">
      <c r="C1463" s="9"/>
      <c r="D1463" s="10"/>
      <c r="E1463" s="11"/>
      <c r="F1463" s="86"/>
      <c r="G1463" s="11"/>
      <c r="H1463" s="11"/>
      <c r="I1463" s="123"/>
    </row>
    <row r="1464" spans="3:9" x14ac:dyDescent="0.25">
      <c r="C1464" s="9"/>
      <c r="D1464" s="10"/>
      <c r="E1464" s="11"/>
      <c r="F1464" s="86"/>
      <c r="G1464" s="11"/>
      <c r="H1464" s="11"/>
      <c r="I1464" s="123"/>
    </row>
    <row r="1465" spans="3:9" x14ac:dyDescent="0.25">
      <c r="C1465" s="9"/>
      <c r="D1465" s="10"/>
      <c r="E1465" s="11"/>
      <c r="F1465" s="86"/>
      <c r="G1465" s="11"/>
      <c r="H1465" s="11"/>
      <c r="I1465" s="123"/>
    </row>
    <row r="1466" spans="3:9" x14ac:dyDescent="0.25">
      <c r="C1466" s="9"/>
      <c r="D1466" s="10"/>
      <c r="E1466" s="11"/>
      <c r="F1466" s="86"/>
      <c r="G1466" s="11"/>
      <c r="H1466" s="11"/>
      <c r="I1466" s="123"/>
    </row>
    <row r="1467" spans="3:9" x14ac:dyDescent="0.25">
      <c r="C1467" s="9"/>
      <c r="D1467" s="10"/>
      <c r="E1467" s="11"/>
      <c r="F1467" s="86"/>
      <c r="G1467" s="11"/>
      <c r="H1467" s="11"/>
      <c r="I1467" s="123"/>
    </row>
    <row r="1468" spans="3:9" x14ac:dyDescent="0.25">
      <c r="C1468" s="9"/>
      <c r="D1468" s="10"/>
      <c r="E1468" s="11"/>
      <c r="F1468" s="86"/>
      <c r="G1468" s="11"/>
      <c r="H1468" s="11"/>
      <c r="I1468" s="123"/>
    </row>
    <row r="1469" spans="3:9" x14ac:dyDescent="0.25">
      <c r="C1469" s="9"/>
      <c r="D1469" s="54"/>
      <c r="E1469" s="11"/>
      <c r="F1469" s="86"/>
      <c r="G1469" s="11"/>
      <c r="H1469" s="11"/>
      <c r="I1469" s="123"/>
    </row>
    <row r="1470" spans="3:9" x14ac:dyDescent="0.25">
      <c r="C1470" s="9"/>
      <c r="D1470" s="54"/>
      <c r="E1470" s="11"/>
      <c r="F1470" s="86"/>
      <c r="G1470" s="11"/>
      <c r="H1470" s="11"/>
      <c r="I1470" s="123"/>
    </row>
    <row r="1471" spans="3:9" x14ac:dyDescent="0.25">
      <c r="C1471" s="9"/>
      <c r="D1471" s="54"/>
      <c r="E1471" s="11"/>
      <c r="F1471" s="86"/>
      <c r="G1471" s="11"/>
      <c r="H1471" s="11"/>
      <c r="I1471" s="123"/>
    </row>
    <row r="1472" spans="3:9" x14ac:dyDescent="0.25">
      <c r="C1472" s="9"/>
      <c r="D1472" s="54"/>
      <c r="E1472" s="11"/>
      <c r="F1472" s="86"/>
      <c r="G1472" s="11"/>
      <c r="H1472" s="11"/>
      <c r="I1472" s="123"/>
    </row>
    <row r="1473" spans="3:9" x14ac:dyDescent="0.25">
      <c r="C1473" s="9"/>
      <c r="D1473" s="54"/>
      <c r="E1473" s="11"/>
      <c r="F1473" s="86"/>
      <c r="G1473" s="11"/>
      <c r="H1473" s="11"/>
      <c r="I1473" s="123"/>
    </row>
    <row r="1474" spans="3:9" x14ac:dyDescent="0.25">
      <c r="C1474" s="9"/>
      <c r="D1474" s="54"/>
      <c r="E1474" s="11"/>
      <c r="F1474" s="86"/>
      <c r="G1474" s="11"/>
      <c r="H1474" s="11"/>
      <c r="I1474" s="123"/>
    </row>
    <row r="1475" spans="3:9" x14ac:dyDescent="0.25">
      <c r="C1475" s="9"/>
      <c r="D1475" s="54"/>
      <c r="E1475" s="11"/>
      <c r="F1475" s="86"/>
      <c r="G1475" s="11"/>
      <c r="H1475" s="11"/>
      <c r="I1475" s="123"/>
    </row>
    <row r="1476" spans="3:9" x14ac:dyDescent="0.25">
      <c r="C1476" s="9"/>
      <c r="D1476" s="54"/>
      <c r="E1476" s="11"/>
      <c r="F1476" s="86"/>
      <c r="G1476" s="11"/>
      <c r="H1476" s="11"/>
      <c r="I1476" s="123"/>
    </row>
    <row r="1477" spans="3:9" x14ac:dyDescent="0.25">
      <c r="C1477" s="9"/>
      <c r="D1477" s="54"/>
      <c r="E1477" s="11"/>
      <c r="F1477" s="86"/>
      <c r="G1477" s="11"/>
      <c r="H1477" s="11"/>
      <c r="I1477" s="123"/>
    </row>
    <row r="1478" spans="3:9" x14ac:dyDescent="0.25">
      <c r="C1478" s="9"/>
      <c r="D1478" s="54"/>
      <c r="E1478" s="11"/>
      <c r="F1478" s="86"/>
      <c r="G1478" s="11"/>
      <c r="H1478" s="11"/>
      <c r="I1478" s="123"/>
    </row>
    <row r="1479" spans="3:9" x14ac:dyDescent="0.25">
      <c r="C1479" s="9"/>
      <c r="D1479" s="54"/>
      <c r="E1479" s="11"/>
      <c r="F1479" s="86"/>
      <c r="G1479" s="11"/>
      <c r="H1479" s="11"/>
      <c r="I1479" s="123"/>
    </row>
    <row r="1480" spans="3:9" x14ac:dyDescent="0.25">
      <c r="C1480" s="9"/>
      <c r="D1480" s="54"/>
      <c r="E1480" s="11"/>
      <c r="F1480" s="86"/>
      <c r="G1480" s="11"/>
      <c r="H1480" s="11"/>
      <c r="I1480" s="123"/>
    </row>
    <row r="1481" spans="3:9" x14ac:dyDescent="0.25">
      <c r="C1481" s="9"/>
      <c r="D1481" s="54"/>
      <c r="E1481" s="11"/>
      <c r="F1481" s="86"/>
      <c r="G1481" s="11"/>
      <c r="H1481" s="11"/>
      <c r="I1481" s="123"/>
    </row>
    <row r="1482" spans="3:9" x14ac:dyDescent="0.25">
      <c r="C1482" s="9"/>
      <c r="D1482" s="54"/>
      <c r="E1482" s="11"/>
      <c r="F1482" s="86"/>
      <c r="G1482" s="11"/>
      <c r="H1482" s="11"/>
      <c r="I1482" s="123"/>
    </row>
    <row r="1483" spans="3:9" x14ac:dyDescent="0.25">
      <c r="C1483" s="9"/>
      <c r="D1483" s="54"/>
      <c r="E1483" s="11"/>
      <c r="F1483" s="86"/>
      <c r="G1483" s="11"/>
      <c r="H1483" s="11"/>
      <c r="I1483" s="123"/>
    </row>
    <row r="1484" spans="3:9" x14ac:dyDescent="0.25">
      <c r="C1484" s="9"/>
      <c r="D1484" s="54"/>
      <c r="E1484" s="11"/>
      <c r="F1484" s="86"/>
      <c r="G1484" s="11"/>
      <c r="H1484" s="11"/>
      <c r="I1484" s="123"/>
    </row>
    <row r="1485" spans="3:9" x14ac:dyDescent="0.25">
      <c r="C1485" s="9"/>
      <c r="D1485" s="10"/>
      <c r="E1485" s="11"/>
      <c r="F1485" s="86"/>
      <c r="G1485" s="11"/>
      <c r="H1485" s="11"/>
      <c r="I1485" s="123"/>
    </row>
    <row r="1486" spans="3:9" x14ac:dyDescent="0.25">
      <c r="C1486" s="9"/>
      <c r="D1486" s="10"/>
      <c r="E1486" s="11"/>
      <c r="F1486" s="86"/>
      <c r="G1486" s="11"/>
      <c r="H1486" s="11"/>
      <c r="I1486" s="123"/>
    </row>
    <row r="1487" spans="3:9" x14ac:dyDescent="0.25">
      <c r="C1487" s="9"/>
      <c r="D1487" s="10"/>
      <c r="E1487" s="11"/>
      <c r="F1487" s="86"/>
      <c r="G1487" s="11"/>
      <c r="H1487" s="11"/>
      <c r="I1487" s="123"/>
    </row>
    <row r="1488" spans="3:9" x14ac:dyDescent="0.25">
      <c r="C1488" s="9"/>
      <c r="D1488" s="10"/>
      <c r="E1488" s="11"/>
      <c r="F1488" s="86"/>
      <c r="G1488" s="11"/>
      <c r="H1488" s="11"/>
      <c r="I1488" s="123"/>
    </row>
    <row r="1489" spans="3:9" x14ac:dyDescent="0.25">
      <c r="C1489" s="9"/>
      <c r="D1489" s="10"/>
      <c r="E1489" s="11"/>
      <c r="F1489" s="86"/>
      <c r="G1489" s="11"/>
      <c r="H1489" s="11"/>
      <c r="I1489" s="123"/>
    </row>
    <row r="1490" spans="3:9" x14ac:dyDescent="0.25">
      <c r="C1490" s="9"/>
      <c r="D1490" s="10"/>
      <c r="E1490" s="11"/>
      <c r="F1490" s="86"/>
      <c r="G1490" s="11"/>
      <c r="H1490" s="11"/>
      <c r="I1490" s="123"/>
    </row>
    <row r="1491" spans="3:9" x14ac:dyDescent="0.25">
      <c r="C1491" s="9"/>
      <c r="D1491" s="10"/>
      <c r="E1491" s="11"/>
      <c r="F1491" s="86"/>
      <c r="G1491" s="11"/>
      <c r="H1491" s="11"/>
      <c r="I1491" s="123"/>
    </row>
    <row r="1492" spans="3:9" x14ac:dyDescent="0.25">
      <c r="C1492" s="9"/>
      <c r="D1492" s="10"/>
      <c r="E1492" s="11"/>
      <c r="F1492" s="86"/>
      <c r="G1492" s="11"/>
      <c r="H1492" s="11"/>
      <c r="I1492" s="123"/>
    </row>
    <row r="1493" spans="3:9" x14ac:dyDescent="0.25">
      <c r="C1493" s="9"/>
      <c r="D1493" s="10"/>
      <c r="E1493" s="11"/>
      <c r="F1493" s="86"/>
      <c r="G1493" s="11"/>
      <c r="H1493" s="11"/>
      <c r="I1493" s="123"/>
    </row>
    <row r="1494" spans="3:9" x14ac:dyDescent="0.25">
      <c r="C1494" s="9"/>
      <c r="D1494" s="10"/>
      <c r="E1494" s="11"/>
      <c r="F1494" s="86"/>
      <c r="G1494" s="11"/>
      <c r="H1494" s="11"/>
      <c r="I1494" s="123"/>
    </row>
    <row r="1495" spans="3:9" x14ac:dyDescent="0.25">
      <c r="C1495" s="9"/>
      <c r="D1495" s="10"/>
      <c r="E1495" s="11"/>
      <c r="F1495" s="86"/>
      <c r="G1495" s="11"/>
      <c r="H1495" s="11"/>
      <c r="I1495" s="123"/>
    </row>
    <row r="1496" spans="3:9" x14ac:dyDescent="0.25">
      <c r="C1496" s="9"/>
      <c r="D1496" s="10"/>
      <c r="E1496" s="11"/>
      <c r="F1496" s="86"/>
      <c r="G1496" s="11"/>
      <c r="H1496" s="11"/>
      <c r="I1496" s="123"/>
    </row>
    <row r="1497" spans="3:9" x14ac:dyDescent="0.25">
      <c r="C1497" s="9"/>
      <c r="D1497" s="10"/>
      <c r="E1497" s="11"/>
      <c r="F1497" s="86"/>
      <c r="G1497" s="11"/>
      <c r="H1497" s="11"/>
      <c r="I1497" s="123"/>
    </row>
    <row r="1498" spans="3:9" x14ac:dyDescent="0.25">
      <c r="C1498" s="9"/>
      <c r="D1498" s="10"/>
      <c r="E1498" s="11"/>
      <c r="F1498" s="86"/>
      <c r="G1498" s="11"/>
      <c r="H1498" s="11"/>
      <c r="I1498" s="123"/>
    </row>
    <row r="1499" spans="3:9" x14ac:dyDescent="0.25">
      <c r="C1499" s="9"/>
      <c r="D1499" s="10"/>
      <c r="E1499" s="11"/>
      <c r="F1499" s="86"/>
      <c r="G1499" s="11"/>
      <c r="H1499" s="11"/>
      <c r="I1499" s="123"/>
    </row>
    <row r="1500" spans="3:9" x14ac:dyDescent="0.25">
      <c r="C1500" s="9"/>
      <c r="D1500" s="10"/>
      <c r="E1500" s="11"/>
      <c r="F1500" s="86"/>
      <c r="G1500" s="11"/>
      <c r="H1500" s="11"/>
      <c r="I1500" s="123"/>
    </row>
    <row r="1501" spans="3:9" x14ac:dyDescent="0.25">
      <c r="C1501" s="9"/>
      <c r="D1501" s="10"/>
      <c r="E1501" s="11"/>
      <c r="F1501" s="86"/>
      <c r="G1501" s="11"/>
      <c r="H1501" s="11"/>
      <c r="I1501" s="123"/>
    </row>
    <row r="1502" spans="3:9" x14ac:dyDescent="0.25">
      <c r="C1502" s="9"/>
      <c r="D1502" s="10"/>
      <c r="E1502" s="11"/>
      <c r="F1502" s="86"/>
      <c r="G1502" s="11"/>
      <c r="H1502" s="11"/>
      <c r="I1502" s="123"/>
    </row>
    <row r="1503" spans="3:9" x14ac:dyDescent="0.25">
      <c r="C1503" s="9"/>
      <c r="D1503" s="10"/>
      <c r="E1503" s="11"/>
      <c r="F1503" s="86"/>
      <c r="G1503" s="11"/>
      <c r="H1503" s="11"/>
      <c r="I1503" s="123"/>
    </row>
    <row r="1504" spans="3:9" x14ac:dyDescent="0.25">
      <c r="C1504" s="9"/>
      <c r="D1504" s="10"/>
      <c r="E1504" s="11"/>
      <c r="F1504" s="86"/>
      <c r="G1504" s="11"/>
      <c r="H1504" s="11"/>
      <c r="I1504" s="123"/>
    </row>
    <row r="1505" spans="3:9" x14ac:dyDescent="0.25">
      <c r="C1505" s="9"/>
      <c r="D1505" s="10"/>
      <c r="E1505" s="11"/>
      <c r="F1505" s="86"/>
      <c r="G1505" s="11"/>
      <c r="H1505" s="11"/>
      <c r="I1505" s="123"/>
    </row>
    <row r="1506" spans="3:9" x14ac:dyDescent="0.25">
      <c r="C1506" s="9"/>
      <c r="D1506" s="10"/>
      <c r="E1506" s="11"/>
      <c r="F1506" s="86"/>
      <c r="G1506" s="11"/>
      <c r="H1506" s="11"/>
      <c r="I1506" s="123"/>
    </row>
    <row r="1507" spans="3:9" x14ac:dyDescent="0.25">
      <c r="C1507" s="9"/>
      <c r="D1507" s="10"/>
      <c r="E1507" s="11"/>
      <c r="F1507" s="86"/>
      <c r="G1507" s="11"/>
      <c r="H1507" s="11"/>
      <c r="I1507" s="123"/>
    </row>
    <row r="1508" spans="3:9" x14ac:dyDescent="0.25">
      <c r="C1508" s="9"/>
      <c r="D1508" s="10"/>
      <c r="E1508" s="11"/>
      <c r="F1508" s="86"/>
      <c r="G1508" s="11"/>
      <c r="H1508" s="11"/>
      <c r="I1508" s="123"/>
    </row>
    <row r="1509" spans="3:9" x14ac:dyDescent="0.25">
      <c r="C1509" s="9"/>
      <c r="D1509" s="10"/>
      <c r="E1509" s="11"/>
      <c r="F1509" s="86"/>
      <c r="G1509" s="11"/>
      <c r="H1509" s="11"/>
      <c r="I1509" s="123"/>
    </row>
    <row r="1510" spans="3:9" x14ac:dyDescent="0.25">
      <c r="C1510" s="9"/>
      <c r="D1510" s="10"/>
      <c r="E1510" s="11"/>
      <c r="F1510" s="86"/>
      <c r="G1510" s="11"/>
      <c r="H1510" s="11"/>
      <c r="I1510" s="123"/>
    </row>
    <row r="1511" spans="3:9" x14ac:dyDescent="0.25">
      <c r="C1511" s="9"/>
      <c r="D1511" s="10"/>
      <c r="E1511" s="11"/>
      <c r="F1511" s="86"/>
      <c r="G1511" s="11"/>
      <c r="H1511" s="11"/>
      <c r="I1511" s="123"/>
    </row>
    <row r="1512" spans="3:9" x14ac:dyDescent="0.25">
      <c r="C1512" s="9"/>
      <c r="D1512" s="10"/>
      <c r="E1512" s="11"/>
      <c r="F1512" s="86"/>
      <c r="G1512" s="11"/>
      <c r="H1512" s="11"/>
      <c r="I1512" s="123"/>
    </row>
    <row r="1513" spans="3:9" x14ac:dyDescent="0.25">
      <c r="C1513" s="9"/>
      <c r="D1513" s="10"/>
      <c r="E1513" s="11"/>
      <c r="F1513" s="86"/>
      <c r="G1513" s="11"/>
      <c r="H1513" s="11"/>
      <c r="I1513" s="123"/>
    </row>
    <row r="1514" spans="3:9" x14ac:dyDescent="0.25">
      <c r="C1514" s="9"/>
      <c r="D1514" s="10"/>
      <c r="E1514" s="11"/>
      <c r="F1514" s="86"/>
      <c r="G1514" s="11"/>
      <c r="H1514" s="11"/>
      <c r="I1514" s="123"/>
    </row>
    <row r="1515" spans="3:9" x14ac:dyDescent="0.25">
      <c r="C1515" s="9"/>
      <c r="D1515" s="10"/>
      <c r="E1515" s="11"/>
      <c r="F1515" s="86"/>
      <c r="G1515" s="11"/>
      <c r="H1515" s="11"/>
      <c r="I1515" s="123"/>
    </row>
    <row r="1516" spans="3:9" x14ac:dyDescent="0.25">
      <c r="C1516" s="9"/>
      <c r="D1516" s="10"/>
      <c r="E1516" s="11"/>
      <c r="F1516" s="86"/>
      <c r="G1516" s="11"/>
      <c r="H1516" s="11"/>
      <c r="I1516" s="123"/>
    </row>
    <row r="1517" spans="3:9" x14ac:dyDescent="0.25">
      <c r="C1517" s="9"/>
      <c r="D1517" s="10"/>
      <c r="E1517" s="11"/>
      <c r="F1517" s="86"/>
      <c r="G1517" s="11"/>
      <c r="H1517" s="11"/>
      <c r="I1517" s="123"/>
    </row>
    <row r="1518" spans="3:9" x14ac:dyDescent="0.25">
      <c r="C1518" s="9"/>
      <c r="D1518" s="10"/>
      <c r="E1518" s="11"/>
      <c r="F1518" s="86"/>
      <c r="G1518" s="11"/>
      <c r="H1518" s="11"/>
      <c r="I1518" s="123"/>
    </row>
    <row r="1519" spans="3:9" x14ac:dyDescent="0.25">
      <c r="C1519" s="9"/>
      <c r="D1519" s="10"/>
      <c r="E1519" s="11"/>
      <c r="F1519" s="86"/>
      <c r="G1519" s="11"/>
      <c r="H1519" s="11"/>
      <c r="I1519" s="123"/>
    </row>
    <row r="1520" spans="3:9" x14ac:dyDescent="0.25">
      <c r="C1520" s="9"/>
      <c r="D1520" s="10"/>
      <c r="E1520" s="11"/>
      <c r="F1520" s="86"/>
      <c r="G1520" s="11"/>
      <c r="H1520" s="11"/>
      <c r="I1520" s="123"/>
    </row>
    <row r="1521" spans="3:9" x14ac:dyDescent="0.25">
      <c r="C1521" s="9"/>
      <c r="D1521" s="10"/>
      <c r="E1521" s="11"/>
      <c r="F1521" s="86"/>
      <c r="G1521" s="11"/>
      <c r="H1521" s="11"/>
      <c r="I1521" s="123"/>
    </row>
    <row r="1522" spans="3:9" x14ac:dyDescent="0.25">
      <c r="C1522" s="9"/>
      <c r="D1522" s="10"/>
      <c r="E1522" s="11"/>
      <c r="F1522" s="86"/>
      <c r="G1522" s="11"/>
      <c r="H1522" s="11"/>
      <c r="I1522" s="123"/>
    </row>
    <row r="1523" spans="3:9" x14ac:dyDescent="0.25">
      <c r="C1523" s="9"/>
      <c r="D1523" s="10"/>
      <c r="E1523" s="11"/>
      <c r="F1523" s="86"/>
      <c r="G1523" s="11"/>
      <c r="H1523" s="11"/>
      <c r="I1523" s="123"/>
    </row>
    <row r="1524" spans="3:9" x14ac:dyDescent="0.25">
      <c r="C1524" s="9"/>
      <c r="D1524" s="10"/>
      <c r="E1524" s="11"/>
      <c r="F1524" s="86"/>
      <c r="G1524" s="11"/>
      <c r="H1524" s="11"/>
      <c r="I1524" s="123"/>
    </row>
    <row r="1525" spans="3:9" x14ac:dyDescent="0.25">
      <c r="C1525" s="9"/>
      <c r="D1525" s="10"/>
      <c r="E1525" s="11"/>
      <c r="F1525" s="86"/>
      <c r="G1525" s="11"/>
      <c r="H1525" s="11"/>
      <c r="I1525" s="123"/>
    </row>
    <row r="1526" spans="3:9" x14ac:dyDescent="0.25">
      <c r="C1526" s="9"/>
      <c r="D1526" s="10"/>
      <c r="E1526" s="11"/>
      <c r="F1526" s="86"/>
      <c r="G1526" s="11"/>
      <c r="H1526" s="11"/>
      <c r="I1526" s="123"/>
    </row>
    <row r="1527" spans="3:9" x14ac:dyDescent="0.25">
      <c r="C1527" s="9"/>
      <c r="D1527" s="10"/>
      <c r="E1527" s="11"/>
      <c r="F1527" s="86"/>
      <c r="G1527" s="11"/>
      <c r="H1527" s="11"/>
      <c r="I1527" s="123"/>
    </row>
    <row r="1528" spans="3:9" x14ac:dyDescent="0.25">
      <c r="C1528" s="9"/>
      <c r="D1528" s="10"/>
      <c r="E1528" s="11"/>
      <c r="F1528" s="86"/>
      <c r="G1528" s="11"/>
      <c r="H1528" s="11"/>
      <c r="I1528" s="123"/>
    </row>
    <row r="1529" spans="3:9" x14ac:dyDescent="0.25">
      <c r="C1529" s="9"/>
      <c r="D1529" s="10"/>
      <c r="E1529" s="11"/>
      <c r="F1529" s="86"/>
      <c r="G1529" s="11"/>
      <c r="H1529" s="11"/>
      <c r="I1529" s="123"/>
    </row>
    <row r="1530" spans="3:9" x14ac:dyDescent="0.25">
      <c r="C1530" s="9"/>
      <c r="D1530" s="10"/>
      <c r="E1530" s="11"/>
      <c r="F1530" s="86"/>
      <c r="G1530" s="11"/>
      <c r="H1530" s="11"/>
      <c r="I1530" s="123"/>
    </row>
    <row r="1531" spans="3:9" x14ac:dyDescent="0.25">
      <c r="C1531" s="9"/>
      <c r="D1531" s="10"/>
      <c r="E1531" s="11"/>
      <c r="F1531" s="86"/>
      <c r="G1531" s="11"/>
      <c r="H1531" s="11"/>
      <c r="I1531" s="123"/>
    </row>
    <row r="1532" spans="3:9" x14ac:dyDescent="0.25">
      <c r="C1532" s="9"/>
      <c r="D1532" s="10"/>
      <c r="E1532" s="11"/>
      <c r="F1532" s="86"/>
      <c r="G1532" s="11"/>
      <c r="H1532" s="11"/>
      <c r="I1532" s="123"/>
    </row>
    <row r="1533" spans="3:9" x14ac:dyDescent="0.25">
      <c r="C1533" s="9"/>
      <c r="D1533" s="10"/>
      <c r="E1533" s="11"/>
      <c r="F1533" s="86"/>
      <c r="G1533" s="11"/>
      <c r="H1533" s="11"/>
      <c r="I1533" s="123"/>
    </row>
    <row r="1534" spans="3:9" x14ac:dyDescent="0.25">
      <c r="C1534" s="9"/>
      <c r="D1534" s="10"/>
      <c r="E1534" s="11"/>
      <c r="F1534" s="86"/>
      <c r="G1534" s="11"/>
      <c r="H1534" s="11"/>
      <c r="I1534" s="123"/>
    </row>
    <row r="1535" spans="3:9" x14ac:dyDescent="0.25">
      <c r="C1535" s="9"/>
      <c r="D1535" s="10"/>
      <c r="E1535" s="11"/>
      <c r="F1535" s="86"/>
      <c r="G1535" s="11"/>
      <c r="H1535" s="11"/>
      <c r="I1535" s="123"/>
    </row>
    <row r="1536" spans="3:9" x14ac:dyDescent="0.25">
      <c r="C1536" s="9"/>
      <c r="D1536" s="10"/>
      <c r="E1536" s="11"/>
      <c r="F1536" s="86"/>
      <c r="G1536" s="11"/>
      <c r="H1536" s="11"/>
      <c r="I1536" s="123"/>
    </row>
    <row r="1537" spans="3:9" x14ac:dyDescent="0.25">
      <c r="C1537" s="9"/>
      <c r="D1537" s="10"/>
      <c r="E1537" s="11"/>
      <c r="F1537" s="86"/>
      <c r="G1537" s="11"/>
      <c r="H1537" s="11"/>
      <c r="I1537" s="123"/>
    </row>
    <row r="1538" spans="3:9" x14ac:dyDescent="0.25">
      <c r="C1538" s="9"/>
      <c r="D1538" s="10"/>
      <c r="E1538" s="11"/>
      <c r="F1538" s="86"/>
      <c r="G1538" s="11"/>
      <c r="H1538" s="11"/>
      <c r="I1538" s="123"/>
    </row>
    <row r="1539" spans="3:9" x14ac:dyDescent="0.25">
      <c r="C1539" s="9"/>
      <c r="D1539" s="10"/>
      <c r="E1539" s="11"/>
      <c r="F1539" s="86"/>
      <c r="G1539" s="11"/>
      <c r="H1539" s="11"/>
      <c r="I1539" s="123"/>
    </row>
    <row r="1540" spans="3:9" x14ac:dyDescent="0.25">
      <c r="C1540" s="9"/>
      <c r="D1540" s="10"/>
      <c r="E1540" s="11"/>
      <c r="F1540" s="86"/>
      <c r="G1540" s="11"/>
      <c r="H1540" s="11"/>
      <c r="I1540" s="123"/>
    </row>
    <row r="1541" spans="3:9" x14ac:dyDescent="0.25">
      <c r="C1541" s="9"/>
      <c r="D1541" s="10"/>
      <c r="E1541" s="11"/>
      <c r="F1541" s="86"/>
      <c r="G1541" s="11"/>
      <c r="H1541" s="11"/>
      <c r="I1541" s="123"/>
    </row>
    <row r="1542" spans="3:9" x14ac:dyDescent="0.25">
      <c r="C1542" s="9"/>
      <c r="D1542" s="10"/>
      <c r="E1542" s="11"/>
      <c r="F1542" s="86"/>
      <c r="G1542" s="11"/>
      <c r="H1542" s="11"/>
      <c r="I1542" s="123"/>
    </row>
    <row r="1543" spans="3:9" x14ac:dyDescent="0.25">
      <c r="C1543" s="9"/>
      <c r="D1543" s="10"/>
      <c r="E1543" s="11"/>
      <c r="F1543" s="86"/>
      <c r="G1543" s="11"/>
      <c r="H1543" s="11"/>
      <c r="I1543" s="123"/>
    </row>
    <row r="1544" spans="3:9" x14ac:dyDescent="0.25">
      <c r="C1544" s="9"/>
      <c r="D1544" s="10"/>
      <c r="E1544" s="11"/>
      <c r="F1544" s="86"/>
      <c r="G1544" s="11"/>
      <c r="H1544" s="11"/>
      <c r="I1544" s="123"/>
    </row>
    <row r="1545" spans="3:9" x14ac:dyDescent="0.25">
      <c r="C1545" s="9"/>
      <c r="D1545" s="10"/>
      <c r="E1545" s="11"/>
      <c r="F1545" s="86"/>
      <c r="G1545" s="11"/>
      <c r="H1545" s="11"/>
      <c r="I1545" s="123"/>
    </row>
    <row r="1546" spans="3:9" x14ac:dyDescent="0.25">
      <c r="C1546" s="9"/>
      <c r="D1546" s="10"/>
      <c r="E1546" s="11"/>
      <c r="F1546" s="86"/>
      <c r="G1546" s="11"/>
      <c r="H1546" s="11"/>
      <c r="I1546" s="123"/>
    </row>
    <row r="1547" spans="3:9" x14ac:dyDescent="0.25">
      <c r="C1547" s="9"/>
      <c r="D1547" s="10"/>
      <c r="E1547" s="11"/>
      <c r="F1547" s="86"/>
      <c r="G1547" s="11"/>
      <c r="H1547" s="11"/>
      <c r="I1547" s="123"/>
    </row>
    <row r="1548" spans="3:9" x14ac:dyDescent="0.25">
      <c r="C1548" s="9"/>
      <c r="D1548" s="10"/>
      <c r="E1548" s="11"/>
      <c r="F1548" s="86"/>
      <c r="G1548" s="11"/>
      <c r="H1548" s="11"/>
      <c r="I1548" s="123"/>
    </row>
    <row r="1549" spans="3:9" x14ac:dyDescent="0.25">
      <c r="C1549" s="9"/>
      <c r="D1549" s="10"/>
      <c r="E1549" s="11"/>
      <c r="F1549" s="86"/>
      <c r="G1549" s="11"/>
      <c r="H1549" s="11"/>
      <c r="I1549" s="123"/>
    </row>
    <row r="1550" spans="3:9" x14ac:dyDescent="0.25">
      <c r="C1550" s="9"/>
      <c r="D1550" s="10"/>
      <c r="E1550" s="11"/>
      <c r="F1550" s="86"/>
      <c r="G1550" s="11"/>
      <c r="H1550" s="11"/>
      <c r="I1550" s="123"/>
    </row>
    <row r="1551" spans="3:9" x14ac:dyDescent="0.25">
      <c r="C1551" s="9"/>
      <c r="D1551" s="10"/>
      <c r="E1551" s="11"/>
      <c r="F1551" s="86"/>
      <c r="G1551" s="11"/>
      <c r="H1551" s="11"/>
      <c r="I1551" s="123"/>
    </row>
    <row r="1552" spans="3:9" x14ac:dyDescent="0.25">
      <c r="C1552" s="9"/>
      <c r="D1552" s="10"/>
      <c r="E1552" s="11"/>
      <c r="F1552" s="86"/>
      <c r="G1552" s="11"/>
      <c r="H1552" s="11"/>
      <c r="I1552" s="123"/>
    </row>
    <row r="1553" spans="3:9" x14ac:dyDescent="0.25">
      <c r="C1553" s="9"/>
      <c r="D1553" s="10"/>
      <c r="E1553" s="11"/>
      <c r="F1553" s="86"/>
      <c r="G1553" s="11"/>
      <c r="H1553" s="11"/>
      <c r="I1553" s="123"/>
    </row>
    <row r="1554" spans="3:9" x14ac:dyDescent="0.25">
      <c r="C1554" s="9"/>
      <c r="D1554" s="10"/>
      <c r="E1554" s="11"/>
      <c r="F1554" s="86"/>
      <c r="G1554" s="11"/>
      <c r="H1554" s="11"/>
      <c r="I1554" s="123"/>
    </row>
    <row r="1555" spans="3:9" x14ac:dyDescent="0.25">
      <c r="C1555" s="9"/>
      <c r="D1555" s="10"/>
      <c r="E1555" s="11"/>
      <c r="F1555" s="86"/>
      <c r="G1555" s="11"/>
      <c r="H1555" s="11"/>
      <c r="I1555" s="123"/>
    </row>
    <row r="1556" spans="3:9" x14ac:dyDescent="0.25">
      <c r="C1556" s="9"/>
      <c r="D1556" s="10"/>
      <c r="E1556" s="11"/>
      <c r="F1556" s="86"/>
      <c r="G1556" s="11"/>
      <c r="H1556" s="11"/>
      <c r="I1556" s="123"/>
    </row>
    <row r="1557" spans="3:9" x14ac:dyDescent="0.25">
      <c r="C1557" s="9"/>
      <c r="D1557" s="10"/>
      <c r="E1557" s="11"/>
      <c r="F1557" s="86"/>
      <c r="G1557" s="11"/>
      <c r="H1557" s="11"/>
      <c r="I1557" s="123"/>
    </row>
    <row r="1558" spans="3:9" x14ac:dyDescent="0.25">
      <c r="C1558" s="9"/>
      <c r="D1558" s="10"/>
      <c r="E1558" s="11"/>
      <c r="F1558" s="86"/>
      <c r="G1558" s="11"/>
      <c r="H1558" s="11"/>
      <c r="I1558" s="123"/>
    </row>
    <row r="1559" spans="3:9" x14ac:dyDescent="0.25">
      <c r="C1559" s="9"/>
      <c r="D1559" s="10"/>
      <c r="E1559" s="11"/>
      <c r="F1559" s="86"/>
      <c r="G1559" s="11"/>
      <c r="H1559" s="11"/>
      <c r="I1559" s="123"/>
    </row>
    <row r="1560" spans="3:9" x14ac:dyDescent="0.25">
      <c r="C1560" s="9"/>
      <c r="D1560" s="10"/>
      <c r="E1560" s="11"/>
      <c r="F1560" s="86"/>
      <c r="G1560" s="11"/>
      <c r="H1560" s="11"/>
      <c r="I1560" s="123"/>
    </row>
    <row r="1561" spans="3:9" x14ac:dyDescent="0.25">
      <c r="C1561" s="9"/>
      <c r="D1561" s="10"/>
      <c r="E1561" s="11"/>
      <c r="F1561" s="86"/>
      <c r="G1561" s="11"/>
      <c r="H1561" s="11"/>
      <c r="I1561" s="123"/>
    </row>
    <row r="1562" spans="3:9" x14ac:dyDescent="0.25">
      <c r="C1562" s="9"/>
      <c r="D1562" s="10"/>
      <c r="E1562" s="11"/>
      <c r="F1562" s="86"/>
      <c r="G1562" s="11"/>
      <c r="H1562" s="11"/>
      <c r="I1562" s="123"/>
    </row>
    <row r="1563" spans="3:9" x14ac:dyDescent="0.25">
      <c r="C1563" s="9"/>
      <c r="D1563" s="10"/>
      <c r="E1563" s="11"/>
      <c r="F1563" s="86"/>
      <c r="G1563" s="11"/>
      <c r="H1563" s="11"/>
      <c r="I1563" s="123"/>
    </row>
    <row r="1564" spans="3:9" x14ac:dyDescent="0.25">
      <c r="C1564" s="9"/>
      <c r="D1564" s="10"/>
      <c r="E1564" s="11"/>
      <c r="F1564" s="86"/>
      <c r="G1564" s="11"/>
      <c r="H1564" s="11"/>
      <c r="I1564" s="123"/>
    </row>
    <row r="1565" spans="3:9" x14ac:dyDescent="0.25">
      <c r="C1565" s="9"/>
      <c r="D1565" s="10"/>
      <c r="E1565" s="11"/>
      <c r="F1565" s="86"/>
      <c r="G1565" s="11"/>
      <c r="H1565" s="11"/>
      <c r="I1565" s="123"/>
    </row>
    <row r="1566" spans="3:9" x14ac:dyDescent="0.25">
      <c r="C1566" s="9"/>
      <c r="D1566" s="10"/>
      <c r="E1566" s="11"/>
      <c r="F1566" s="86"/>
      <c r="G1566" s="11"/>
      <c r="H1566" s="11"/>
      <c r="I1566" s="123"/>
    </row>
    <row r="1567" spans="3:9" x14ac:dyDescent="0.25">
      <c r="C1567" s="9"/>
      <c r="D1567" s="10"/>
      <c r="E1567" s="11"/>
      <c r="F1567" s="86"/>
      <c r="G1567" s="11"/>
      <c r="H1567" s="11"/>
      <c r="I1567" s="123"/>
    </row>
    <row r="1568" spans="3:9" x14ac:dyDescent="0.25">
      <c r="C1568" s="9"/>
      <c r="D1568" s="10"/>
      <c r="E1568" s="11"/>
      <c r="F1568" s="86"/>
      <c r="G1568" s="11"/>
      <c r="H1568" s="11"/>
      <c r="I1568" s="123"/>
    </row>
    <row r="1569" spans="3:9" x14ac:dyDescent="0.25">
      <c r="C1569" s="9"/>
      <c r="D1569" s="10"/>
      <c r="E1569" s="11"/>
      <c r="F1569" s="86"/>
      <c r="G1569" s="11"/>
      <c r="H1569" s="11"/>
      <c r="I1569" s="123"/>
    </row>
    <row r="1570" spans="3:9" x14ac:dyDescent="0.25">
      <c r="C1570" s="9"/>
      <c r="D1570" s="10"/>
      <c r="E1570" s="11"/>
      <c r="F1570" s="86"/>
      <c r="G1570" s="11"/>
      <c r="H1570" s="11"/>
      <c r="I1570" s="123"/>
    </row>
    <row r="1571" spans="3:9" x14ac:dyDescent="0.25">
      <c r="C1571" s="9"/>
      <c r="D1571" s="10"/>
      <c r="E1571" s="11"/>
      <c r="F1571" s="86"/>
      <c r="G1571" s="11"/>
      <c r="H1571" s="11"/>
      <c r="I1571" s="123"/>
    </row>
    <row r="1572" spans="3:9" x14ac:dyDescent="0.25">
      <c r="C1572" s="9"/>
      <c r="D1572" s="10"/>
      <c r="E1572" s="11"/>
      <c r="F1572" s="86"/>
      <c r="G1572" s="11"/>
      <c r="H1572" s="11"/>
      <c r="I1572" s="123"/>
    </row>
    <row r="1573" spans="3:9" x14ac:dyDescent="0.25">
      <c r="C1573" s="9"/>
      <c r="D1573" s="10"/>
      <c r="E1573" s="11"/>
      <c r="F1573" s="86"/>
      <c r="G1573" s="11"/>
      <c r="H1573" s="11"/>
      <c r="I1573" s="123"/>
    </row>
    <row r="1574" spans="3:9" x14ac:dyDescent="0.25">
      <c r="C1574" s="9"/>
      <c r="D1574" s="10"/>
      <c r="E1574" s="11"/>
      <c r="F1574" s="86"/>
      <c r="G1574" s="11"/>
      <c r="H1574" s="11"/>
      <c r="I1574" s="123"/>
    </row>
    <row r="1575" spans="3:9" x14ac:dyDescent="0.25">
      <c r="C1575" s="9"/>
      <c r="D1575" s="10"/>
      <c r="E1575" s="11"/>
      <c r="F1575" s="86"/>
      <c r="G1575" s="11"/>
      <c r="H1575" s="11"/>
      <c r="I1575" s="123"/>
    </row>
    <row r="1576" spans="3:9" x14ac:dyDescent="0.25">
      <c r="C1576" s="9"/>
      <c r="D1576" s="10"/>
      <c r="E1576" s="11"/>
      <c r="F1576" s="86"/>
      <c r="G1576" s="11"/>
      <c r="H1576" s="11"/>
      <c r="I1576" s="123"/>
    </row>
    <row r="1577" spans="3:9" x14ac:dyDescent="0.25">
      <c r="C1577" s="9"/>
      <c r="D1577" s="10"/>
      <c r="E1577" s="11"/>
      <c r="F1577" s="86"/>
      <c r="G1577" s="11"/>
      <c r="H1577" s="11"/>
      <c r="I1577" s="123"/>
    </row>
    <row r="1578" spans="3:9" x14ac:dyDescent="0.25">
      <c r="C1578" s="9"/>
      <c r="D1578" s="10"/>
      <c r="E1578" s="11"/>
      <c r="F1578" s="86"/>
      <c r="G1578" s="11"/>
      <c r="H1578" s="11"/>
      <c r="I1578" s="123"/>
    </row>
    <row r="1579" spans="3:9" x14ac:dyDescent="0.25">
      <c r="C1579" s="9"/>
      <c r="D1579" s="10"/>
      <c r="E1579" s="11"/>
      <c r="F1579" s="86"/>
      <c r="G1579" s="11"/>
      <c r="H1579" s="11"/>
      <c r="I1579" s="123"/>
    </row>
    <row r="1580" spans="3:9" x14ac:dyDescent="0.25">
      <c r="C1580" s="9"/>
      <c r="D1580" s="10"/>
      <c r="E1580" s="11"/>
      <c r="F1580" s="86"/>
      <c r="G1580" s="11"/>
      <c r="H1580" s="11"/>
      <c r="I1580" s="123"/>
    </row>
    <row r="1581" spans="3:9" x14ac:dyDescent="0.25">
      <c r="C1581" s="9"/>
      <c r="D1581" s="10"/>
      <c r="E1581" s="11"/>
      <c r="F1581" s="86"/>
      <c r="G1581" s="11"/>
      <c r="H1581" s="11"/>
      <c r="I1581" s="123"/>
    </row>
    <row r="1582" spans="3:9" x14ac:dyDescent="0.25">
      <c r="C1582" s="9"/>
      <c r="D1582" s="10"/>
      <c r="E1582" s="11"/>
      <c r="F1582" s="86"/>
      <c r="G1582" s="11"/>
      <c r="H1582" s="11"/>
      <c r="I1582" s="123"/>
    </row>
    <row r="1583" spans="3:9" x14ac:dyDescent="0.25">
      <c r="C1583" s="9"/>
      <c r="D1583" s="10"/>
      <c r="E1583" s="11"/>
      <c r="F1583" s="86"/>
      <c r="G1583" s="11"/>
      <c r="H1583" s="11"/>
      <c r="I1583" s="123"/>
    </row>
    <row r="1584" spans="3:9" x14ac:dyDescent="0.25">
      <c r="C1584" s="9"/>
      <c r="D1584" s="10"/>
      <c r="E1584" s="11"/>
      <c r="F1584" s="86"/>
      <c r="G1584" s="11"/>
      <c r="H1584" s="11"/>
      <c r="I1584" s="123"/>
    </row>
    <row r="1585" spans="3:9" x14ac:dyDescent="0.25">
      <c r="C1585" s="9"/>
      <c r="D1585" s="10"/>
      <c r="E1585" s="11"/>
      <c r="F1585" s="86"/>
      <c r="G1585" s="11"/>
      <c r="H1585" s="11"/>
      <c r="I1585" s="123"/>
    </row>
    <row r="1586" spans="3:9" x14ac:dyDescent="0.25">
      <c r="C1586" s="9"/>
      <c r="D1586" s="10"/>
      <c r="E1586" s="11"/>
      <c r="F1586" s="86"/>
      <c r="G1586" s="11"/>
      <c r="H1586" s="11"/>
      <c r="I1586" s="123"/>
    </row>
    <row r="1587" spans="3:9" x14ac:dyDescent="0.25">
      <c r="C1587" s="9"/>
      <c r="D1587" s="10"/>
      <c r="E1587" s="11"/>
      <c r="F1587" s="86"/>
      <c r="G1587" s="11"/>
      <c r="H1587" s="11"/>
      <c r="I1587" s="123"/>
    </row>
    <row r="1588" spans="3:9" x14ac:dyDescent="0.25">
      <c r="C1588" s="9"/>
      <c r="D1588" s="10"/>
      <c r="E1588" s="11"/>
      <c r="F1588" s="86"/>
      <c r="G1588" s="11"/>
      <c r="H1588" s="11"/>
      <c r="I1588" s="123"/>
    </row>
    <row r="1589" spans="3:9" x14ac:dyDescent="0.25">
      <c r="C1589" s="9"/>
      <c r="D1589" s="10"/>
      <c r="E1589" s="11"/>
      <c r="F1589" s="86"/>
      <c r="G1589" s="11"/>
      <c r="H1589" s="11"/>
      <c r="I1589" s="123"/>
    </row>
    <row r="1590" spans="3:9" x14ac:dyDescent="0.25">
      <c r="C1590" s="9"/>
      <c r="D1590" s="10"/>
      <c r="E1590" s="11"/>
      <c r="F1590" s="86"/>
      <c r="G1590" s="11"/>
      <c r="H1590" s="11"/>
      <c r="I1590" s="123"/>
    </row>
    <row r="1591" spans="3:9" x14ac:dyDescent="0.25">
      <c r="C1591" s="9"/>
      <c r="D1591" s="10"/>
      <c r="E1591" s="11"/>
      <c r="F1591" s="86"/>
      <c r="G1591" s="11"/>
      <c r="H1591" s="11"/>
      <c r="I1591" s="123"/>
    </row>
    <row r="1592" spans="3:9" x14ac:dyDescent="0.25">
      <c r="C1592" s="9"/>
      <c r="D1592" s="10"/>
      <c r="E1592" s="11"/>
      <c r="F1592" s="86"/>
      <c r="G1592" s="11"/>
      <c r="H1592" s="11"/>
      <c r="I1592" s="123"/>
    </row>
    <row r="1593" spans="3:9" x14ac:dyDescent="0.25">
      <c r="C1593" s="9"/>
      <c r="D1593" s="10"/>
      <c r="E1593" s="11"/>
      <c r="F1593" s="86"/>
      <c r="G1593" s="11"/>
      <c r="H1593" s="11"/>
      <c r="I1593" s="123"/>
    </row>
    <row r="1594" spans="3:9" x14ac:dyDescent="0.25">
      <c r="C1594" s="9"/>
      <c r="D1594" s="10"/>
      <c r="E1594" s="11"/>
      <c r="F1594" s="86"/>
      <c r="G1594" s="11"/>
      <c r="H1594" s="11"/>
      <c r="I1594" s="123"/>
    </row>
    <row r="1595" spans="3:9" x14ac:dyDescent="0.25">
      <c r="C1595" s="9"/>
      <c r="D1595" s="10"/>
      <c r="E1595" s="11"/>
      <c r="F1595" s="86"/>
      <c r="G1595" s="11"/>
      <c r="H1595" s="11"/>
      <c r="I1595" s="123"/>
    </row>
    <row r="1596" spans="3:9" x14ac:dyDescent="0.25">
      <c r="C1596" s="9"/>
      <c r="D1596" s="10"/>
      <c r="E1596" s="11"/>
      <c r="F1596" s="86"/>
      <c r="G1596" s="11"/>
      <c r="H1596" s="11"/>
      <c r="I1596" s="123"/>
    </row>
    <row r="1597" spans="3:9" x14ac:dyDescent="0.25">
      <c r="C1597" s="9"/>
      <c r="D1597" s="10"/>
      <c r="E1597" s="11"/>
      <c r="F1597" s="86"/>
      <c r="G1597" s="11"/>
      <c r="H1597" s="11"/>
      <c r="I1597" s="123"/>
    </row>
    <row r="1598" spans="3:9" x14ac:dyDescent="0.25">
      <c r="C1598" s="9"/>
      <c r="D1598" s="10"/>
      <c r="E1598" s="11"/>
      <c r="F1598" s="86"/>
      <c r="G1598" s="11"/>
      <c r="H1598" s="11"/>
      <c r="I1598" s="123"/>
    </row>
    <row r="1599" spans="3:9" x14ac:dyDescent="0.25">
      <c r="C1599" s="9"/>
      <c r="D1599" s="10"/>
      <c r="E1599" s="11"/>
      <c r="F1599" s="86"/>
      <c r="G1599" s="11"/>
      <c r="H1599" s="11"/>
      <c r="I1599" s="123"/>
    </row>
    <row r="1600" spans="3:9" x14ac:dyDescent="0.25">
      <c r="C1600" s="9"/>
      <c r="D1600" s="10"/>
      <c r="E1600" s="11"/>
      <c r="F1600" s="86"/>
      <c r="G1600" s="11"/>
      <c r="H1600" s="11"/>
      <c r="I1600" s="123"/>
    </row>
    <row r="1601" spans="3:9" x14ac:dyDescent="0.25">
      <c r="C1601" s="9"/>
      <c r="D1601" s="10"/>
      <c r="E1601" s="11"/>
      <c r="F1601" s="86"/>
      <c r="G1601" s="11"/>
      <c r="H1601" s="11"/>
      <c r="I1601" s="123"/>
    </row>
    <row r="1602" spans="3:9" x14ac:dyDescent="0.25">
      <c r="C1602" s="9"/>
      <c r="D1602" s="10"/>
      <c r="E1602" s="11"/>
      <c r="F1602" s="86"/>
      <c r="G1602" s="11"/>
      <c r="H1602" s="11"/>
      <c r="I1602" s="123"/>
    </row>
    <row r="1603" spans="3:9" x14ac:dyDescent="0.25">
      <c r="C1603" s="9"/>
      <c r="D1603" s="10"/>
      <c r="E1603" s="11"/>
      <c r="F1603" s="86"/>
      <c r="G1603" s="11"/>
      <c r="H1603" s="11"/>
      <c r="I1603" s="123"/>
    </row>
    <row r="1604" spans="3:9" x14ac:dyDescent="0.25">
      <c r="C1604" s="9"/>
      <c r="D1604" s="10"/>
      <c r="E1604" s="11"/>
      <c r="F1604" s="86"/>
      <c r="G1604" s="11"/>
      <c r="H1604" s="11"/>
      <c r="I1604" s="123"/>
    </row>
    <row r="1605" spans="3:9" x14ac:dyDescent="0.25">
      <c r="C1605" s="9"/>
      <c r="D1605" s="10"/>
      <c r="E1605" s="11"/>
      <c r="F1605" s="86"/>
      <c r="G1605" s="11"/>
      <c r="H1605" s="11"/>
      <c r="I1605" s="123"/>
    </row>
    <row r="1606" spans="3:9" x14ac:dyDescent="0.25">
      <c r="C1606" s="9"/>
      <c r="D1606" s="10"/>
      <c r="E1606" s="11"/>
      <c r="F1606" s="86"/>
      <c r="G1606" s="11"/>
      <c r="H1606" s="11"/>
      <c r="I1606" s="123"/>
    </row>
    <row r="1607" spans="3:9" x14ac:dyDescent="0.25">
      <c r="C1607" s="9"/>
      <c r="D1607" s="10"/>
      <c r="E1607" s="11"/>
      <c r="F1607" s="86"/>
      <c r="G1607" s="11"/>
      <c r="H1607" s="11"/>
      <c r="I1607" s="123"/>
    </row>
    <row r="1608" spans="3:9" x14ac:dyDescent="0.25">
      <c r="C1608" s="9"/>
      <c r="D1608" s="10"/>
      <c r="E1608" s="11"/>
      <c r="F1608" s="86"/>
      <c r="G1608" s="11"/>
      <c r="H1608" s="11"/>
      <c r="I1608" s="123"/>
    </row>
    <row r="1609" spans="3:9" x14ac:dyDescent="0.25">
      <c r="C1609" s="9"/>
      <c r="D1609" s="10"/>
      <c r="E1609" s="11"/>
      <c r="F1609" s="86"/>
      <c r="G1609" s="11"/>
      <c r="H1609" s="11"/>
      <c r="I1609" s="123"/>
    </row>
    <row r="1610" spans="3:9" x14ac:dyDescent="0.25">
      <c r="C1610" s="9"/>
      <c r="D1610" s="10"/>
      <c r="E1610" s="11"/>
      <c r="F1610" s="86"/>
      <c r="G1610" s="11"/>
      <c r="H1610" s="11"/>
      <c r="I1610" s="123"/>
    </row>
    <row r="1611" spans="3:9" x14ac:dyDescent="0.25">
      <c r="C1611" s="9"/>
      <c r="D1611" s="10"/>
      <c r="E1611" s="11"/>
      <c r="F1611" s="86"/>
      <c r="G1611" s="11"/>
      <c r="H1611" s="11"/>
      <c r="I1611" s="123"/>
    </row>
    <row r="1612" spans="3:9" x14ac:dyDescent="0.25">
      <c r="C1612" s="9"/>
      <c r="D1612" s="10"/>
      <c r="E1612" s="11"/>
      <c r="F1612" s="86"/>
      <c r="G1612" s="11"/>
      <c r="H1612" s="11"/>
      <c r="I1612" s="123"/>
    </row>
    <row r="1613" spans="3:9" x14ac:dyDescent="0.25">
      <c r="C1613" s="9"/>
      <c r="D1613" s="10"/>
      <c r="E1613" s="11"/>
      <c r="F1613" s="86"/>
      <c r="G1613" s="11"/>
      <c r="H1613" s="11"/>
      <c r="I1613" s="123"/>
    </row>
    <row r="1614" spans="3:9" x14ac:dyDescent="0.25">
      <c r="C1614" s="9"/>
      <c r="D1614" s="10"/>
      <c r="E1614" s="11"/>
      <c r="F1614" s="86"/>
      <c r="G1614" s="11"/>
      <c r="H1614" s="11"/>
      <c r="I1614" s="123"/>
    </row>
    <row r="1615" spans="3:9" x14ac:dyDescent="0.25">
      <c r="C1615" s="9"/>
      <c r="D1615" s="10"/>
      <c r="E1615" s="11"/>
      <c r="F1615" s="86"/>
      <c r="G1615" s="11"/>
      <c r="H1615" s="11"/>
      <c r="I1615" s="123"/>
    </row>
    <row r="1616" spans="3:9" x14ac:dyDescent="0.25">
      <c r="C1616" s="9"/>
      <c r="D1616" s="10"/>
      <c r="E1616" s="11"/>
      <c r="F1616" s="86"/>
      <c r="G1616" s="11"/>
      <c r="H1616" s="11"/>
      <c r="I1616" s="123"/>
    </row>
    <row r="1617" spans="3:9" x14ac:dyDescent="0.25">
      <c r="C1617" s="9"/>
      <c r="D1617" s="10"/>
      <c r="E1617" s="11"/>
      <c r="F1617" s="86"/>
      <c r="G1617" s="11"/>
      <c r="H1617" s="11"/>
      <c r="I1617" s="123"/>
    </row>
    <row r="1618" spans="3:9" x14ac:dyDescent="0.25">
      <c r="C1618" s="9"/>
      <c r="D1618" s="10"/>
      <c r="E1618" s="11"/>
      <c r="F1618" s="86"/>
      <c r="G1618" s="11"/>
      <c r="H1618" s="11"/>
      <c r="I1618" s="123"/>
    </row>
    <row r="1619" spans="3:9" x14ac:dyDescent="0.25">
      <c r="C1619" s="9"/>
      <c r="D1619" s="10"/>
      <c r="E1619" s="11"/>
      <c r="F1619" s="86"/>
      <c r="G1619" s="11"/>
      <c r="H1619" s="11"/>
      <c r="I1619" s="123"/>
    </row>
    <row r="1620" spans="3:9" x14ac:dyDescent="0.25">
      <c r="C1620" s="9"/>
      <c r="D1620" s="10"/>
      <c r="E1620" s="11"/>
      <c r="F1620" s="86"/>
      <c r="G1620" s="11"/>
      <c r="H1620" s="11"/>
      <c r="I1620" s="123"/>
    </row>
    <row r="1621" spans="3:9" x14ac:dyDescent="0.25">
      <c r="C1621" s="9"/>
      <c r="D1621" s="10"/>
      <c r="E1621" s="11"/>
      <c r="F1621" s="86"/>
      <c r="G1621" s="11"/>
      <c r="H1621" s="11"/>
      <c r="I1621" s="123"/>
    </row>
    <row r="1622" spans="3:9" x14ac:dyDescent="0.25">
      <c r="C1622" s="9"/>
      <c r="D1622" s="10"/>
      <c r="E1622" s="11"/>
      <c r="F1622" s="86"/>
      <c r="G1622" s="11"/>
      <c r="H1622" s="11"/>
      <c r="I1622" s="123"/>
    </row>
    <row r="1623" spans="3:9" x14ac:dyDescent="0.25">
      <c r="C1623" s="9"/>
      <c r="D1623" s="10"/>
      <c r="E1623" s="11"/>
      <c r="F1623" s="86"/>
      <c r="G1623" s="11"/>
      <c r="H1623" s="11"/>
      <c r="I1623" s="123"/>
    </row>
    <row r="1624" spans="3:9" x14ac:dyDescent="0.25">
      <c r="C1624" s="9"/>
      <c r="D1624" s="10"/>
      <c r="E1624" s="11"/>
      <c r="F1624" s="86"/>
      <c r="G1624" s="11"/>
      <c r="H1624" s="11"/>
      <c r="I1624" s="123"/>
    </row>
    <row r="1625" spans="3:9" x14ac:dyDescent="0.25">
      <c r="C1625" s="9"/>
      <c r="D1625" s="10"/>
      <c r="E1625" s="11"/>
      <c r="F1625" s="86"/>
      <c r="G1625" s="11"/>
      <c r="H1625" s="11"/>
      <c r="I1625" s="123"/>
    </row>
    <row r="1626" spans="3:9" x14ac:dyDescent="0.25">
      <c r="C1626" s="9"/>
      <c r="D1626" s="10"/>
      <c r="E1626" s="11"/>
      <c r="F1626" s="86"/>
      <c r="G1626" s="11"/>
      <c r="H1626" s="11"/>
      <c r="I1626" s="123"/>
    </row>
    <row r="1627" spans="3:9" x14ac:dyDescent="0.25">
      <c r="C1627" s="9"/>
      <c r="D1627" s="10"/>
      <c r="E1627" s="11"/>
      <c r="F1627" s="86"/>
      <c r="G1627" s="11"/>
      <c r="H1627" s="11"/>
      <c r="I1627" s="123"/>
    </row>
    <row r="1628" spans="3:9" x14ac:dyDescent="0.25">
      <c r="C1628" s="9"/>
      <c r="D1628" s="10"/>
      <c r="E1628" s="11"/>
      <c r="F1628" s="86"/>
      <c r="G1628" s="11"/>
      <c r="H1628" s="11"/>
      <c r="I1628" s="123"/>
    </row>
    <row r="1629" spans="3:9" x14ac:dyDescent="0.25">
      <c r="C1629" s="9"/>
      <c r="D1629" s="10"/>
      <c r="E1629" s="11"/>
      <c r="F1629" s="86"/>
      <c r="G1629" s="11"/>
      <c r="H1629" s="11"/>
      <c r="I1629" s="123"/>
    </row>
    <row r="1630" spans="3:9" x14ac:dyDescent="0.25">
      <c r="C1630" s="9"/>
      <c r="D1630" s="10"/>
      <c r="E1630" s="11"/>
      <c r="F1630" s="86"/>
      <c r="G1630" s="11"/>
      <c r="H1630" s="11"/>
      <c r="I1630" s="123"/>
    </row>
    <row r="1631" spans="3:9" x14ac:dyDescent="0.25">
      <c r="C1631" s="9"/>
      <c r="D1631" s="10"/>
      <c r="E1631" s="11"/>
      <c r="F1631" s="86"/>
      <c r="G1631" s="11"/>
      <c r="H1631" s="11"/>
      <c r="I1631" s="123"/>
    </row>
    <row r="1632" spans="3:9" x14ac:dyDescent="0.25">
      <c r="C1632" s="9"/>
      <c r="D1632" s="10"/>
      <c r="E1632" s="11"/>
      <c r="F1632" s="86"/>
      <c r="G1632" s="11"/>
      <c r="H1632" s="11"/>
      <c r="I1632" s="123"/>
    </row>
    <row r="1633" spans="3:9" x14ac:dyDescent="0.25">
      <c r="C1633" s="9"/>
      <c r="D1633" s="10"/>
      <c r="E1633" s="11"/>
      <c r="F1633" s="86"/>
      <c r="G1633" s="11"/>
      <c r="H1633" s="11"/>
      <c r="I1633" s="123"/>
    </row>
    <row r="1634" spans="3:9" x14ac:dyDescent="0.25">
      <c r="C1634" s="9"/>
      <c r="D1634" s="10"/>
      <c r="E1634" s="11"/>
      <c r="F1634" s="86"/>
      <c r="G1634" s="11"/>
      <c r="H1634" s="11"/>
      <c r="I1634" s="123"/>
    </row>
    <row r="1635" spans="3:9" x14ac:dyDescent="0.25">
      <c r="C1635" s="9"/>
      <c r="D1635" s="10"/>
      <c r="E1635" s="11"/>
      <c r="F1635" s="86"/>
      <c r="G1635" s="11"/>
      <c r="H1635" s="11"/>
      <c r="I1635" s="123"/>
    </row>
    <row r="1636" spans="3:9" x14ac:dyDescent="0.25">
      <c r="C1636" s="9"/>
      <c r="D1636" s="10"/>
      <c r="E1636" s="11"/>
      <c r="F1636" s="86"/>
      <c r="G1636" s="11"/>
      <c r="H1636" s="11"/>
      <c r="I1636" s="123"/>
    </row>
    <row r="1637" spans="3:9" x14ac:dyDescent="0.25">
      <c r="C1637" s="9"/>
      <c r="D1637" s="10"/>
      <c r="E1637" s="11"/>
      <c r="F1637" s="86"/>
      <c r="G1637" s="11"/>
      <c r="H1637" s="11"/>
      <c r="I1637" s="123"/>
    </row>
    <row r="1638" spans="3:9" x14ac:dyDescent="0.25">
      <c r="C1638" s="9"/>
      <c r="D1638" s="10"/>
      <c r="E1638" s="11"/>
      <c r="F1638" s="86"/>
      <c r="G1638" s="11"/>
      <c r="H1638" s="11"/>
      <c r="I1638" s="123"/>
    </row>
    <row r="1639" spans="3:9" x14ac:dyDescent="0.25">
      <c r="C1639" s="9"/>
      <c r="D1639" s="10"/>
      <c r="E1639" s="11"/>
      <c r="F1639" s="86"/>
      <c r="G1639" s="11"/>
      <c r="H1639" s="11"/>
      <c r="I1639" s="123"/>
    </row>
    <row r="1640" spans="3:9" x14ac:dyDescent="0.25">
      <c r="C1640" s="142"/>
      <c r="D1640" s="143"/>
      <c r="E1640" s="142"/>
      <c r="F1640" s="144"/>
      <c r="G1640" s="120"/>
      <c r="H1640" s="145"/>
      <c r="I1640" s="123"/>
    </row>
    <row r="1641" spans="3:9" x14ac:dyDescent="0.25">
      <c r="C1641" s="142"/>
      <c r="D1641" s="143"/>
      <c r="E1641" s="142"/>
      <c r="F1641" s="144"/>
      <c r="G1641" s="120"/>
      <c r="H1641" s="145"/>
      <c r="I1641" s="123"/>
    </row>
    <row r="1642" spans="3:9" x14ac:dyDescent="0.25">
      <c r="C1642" s="142"/>
      <c r="D1642" s="143"/>
      <c r="E1642" s="142"/>
      <c r="F1642" s="144"/>
      <c r="G1642" s="120"/>
      <c r="H1642" s="145"/>
      <c r="I1642" s="123"/>
    </row>
    <row r="1643" spans="3:9" x14ac:dyDescent="0.25">
      <c r="C1643" s="142"/>
      <c r="D1643" s="143"/>
      <c r="E1643" s="142"/>
      <c r="F1643" s="144"/>
      <c r="G1643" s="120"/>
      <c r="H1643" s="145"/>
      <c r="I1643" s="123"/>
    </row>
    <row r="1644" spans="3:9" x14ac:dyDescent="0.25">
      <c r="C1644" s="142"/>
      <c r="D1644" s="143"/>
      <c r="E1644" s="142"/>
      <c r="F1644" s="144"/>
      <c r="G1644" s="120"/>
      <c r="H1644" s="145"/>
      <c r="I1644" s="123"/>
    </row>
    <row r="1645" spans="3:9" x14ac:dyDescent="0.25">
      <c r="C1645" s="142"/>
      <c r="D1645" s="143"/>
      <c r="E1645" s="142"/>
      <c r="F1645" s="144"/>
      <c r="G1645" s="120"/>
      <c r="H1645" s="145"/>
      <c r="I1645" s="123"/>
    </row>
    <row r="1646" spans="3:9" x14ac:dyDescent="0.25">
      <c r="C1646" s="142"/>
      <c r="D1646" s="143"/>
      <c r="E1646" s="142"/>
      <c r="F1646" s="144"/>
      <c r="G1646" s="120"/>
      <c r="H1646" s="145"/>
      <c r="I1646" s="123"/>
    </row>
    <row r="1647" spans="3:9" x14ac:dyDescent="0.25">
      <c r="C1647" s="142"/>
      <c r="D1647" s="143"/>
      <c r="E1647" s="142"/>
      <c r="F1647" s="144"/>
      <c r="G1647" s="120"/>
      <c r="H1647" s="145"/>
      <c r="I1647" s="123"/>
    </row>
    <row r="1648" spans="3:9" x14ac:dyDescent="0.25">
      <c r="C1648" s="142"/>
      <c r="D1648" s="143"/>
      <c r="E1648" s="142"/>
      <c r="F1648" s="144"/>
      <c r="G1648" s="120"/>
      <c r="H1648" s="145"/>
      <c r="I1648" s="123"/>
    </row>
    <row r="1649" spans="3:9" x14ac:dyDescent="0.25">
      <c r="C1649" s="142"/>
      <c r="D1649" s="143"/>
      <c r="E1649" s="142"/>
      <c r="F1649" s="144"/>
      <c r="G1649" s="120"/>
      <c r="H1649" s="145"/>
      <c r="I1649" s="123"/>
    </row>
    <row r="1650" spans="3:9" x14ac:dyDescent="0.25">
      <c r="C1650" s="142"/>
      <c r="D1650" s="143"/>
      <c r="E1650" s="142"/>
      <c r="F1650" s="144"/>
      <c r="G1650" s="120"/>
      <c r="H1650" s="145"/>
      <c r="I1650" s="123"/>
    </row>
    <row r="1651" spans="3:9" x14ac:dyDescent="0.25">
      <c r="C1651" s="142"/>
      <c r="D1651" s="143"/>
      <c r="E1651" s="142"/>
      <c r="F1651" s="144"/>
      <c r="G1651" s="120"/>
      <c r="H1651" s="145"/>
      <c r="I1651" s="123"/>
    </row>
    <row r="1652" spans="3:9" x14ac:dyDescent="0.25">
      <c r="C1652" s="142"/>
      <c r="D1652" s="143"/>
      <c r="E1652" s="142"/>
      <c r="F1652" s="144"/>
      <c r="G1652" s="120"/>
      <c r="H1652" s="145"/>
      <c r="I1652" s="123"/>
    </row>
    <row r="1653" spans="3:9" x14ac:dyDescent="0.25">
      <c r="C1653" s="142"/>
      <c r="D1653" s="143"/>
      <c r="E1653" s="142"/>
      <c r="F1653" s="144"/>
      <c r="G1653" s="120"/>
      <c r="H1653" s="145"/>
      <c r="I1653" s="123"/>
    </row>
    <row r="1654" spans="3:9" x14ac:dyDescent="0.25">
      <c r="C1654" s="142"/>
      <c r="D1654" s="143"/>
      <c r="E1654" s="142"/>
      <c r="F1654" s="144"/>
      <c r="G1654" s="120"/>
      <c r="H1654" s="145"/>
      <c r="I1654" s="123"/>
    </row>
    <row r="1655" spans="3:9" x14ac:dyDescent="0.25">
      <c r="C1655" s="142"/>
      <c r="D1655" s="143"/>
      <c r="E1655" s="142"/>
      <c r="F1655" s="144"/>
      <c r="G1655" s="120"/>
      <c r="H1655" s="145"/>
      <c r="I1655" s="123"/>
    </row>
    <row r="1656" spans="3:9" x14ac:dyDescent="0.25">
      <c r="C1656" s="142"/>
      <c r="D1656" s="143"/>
      <c r="E1656" s="142"/>
      <c r="F1656" s="144"/>
      <c r="G1656" s="120"/>
      <c r="H1656" s="145"/>
      <c r="I1656" s="123"/>
    </row>
    <row r="1657" spans="3:9" x14ac:dyDescent="0.25">
      <c r="C1657" s="142"/>
      <c r="D1657" s="143"/>
      <c r="E1657" s="142"/>
      <c r="F1657" s="144"/>
      <c r="G1657" s="120"/>
      <c r="H1657" s="145"/>
      <c r="I1657" s="123"/>
    </row>
    <row r="1658" spans="3:9" x14ac:dyDescent="0.25">
      <c r="C1658" s="142"/>
      <c r="D1658" s="143"/>
      <c r="E1658" s="142"/>
      <c r="F1658" s="144"/>
      <c r="G1658" s="120"/>
      <c r="H1658" s="145"/>
      <c r="I1658" s="123"/>
    </row>
    <row r="1659" spans="3:9" x14ac:dyDescent="0.25">
      <c r="C1659" s="142"/>
      <c r="D1659" s="143"/>
      <c r="E1659" s="142"/>
      <c r="F1659" s="144"/>
      <c r="G1659" s="120"/>
      <c r="H1659" s="145"/>
      <c r="I1659" s="123"/>
    </row>
    <row r="1660" spans="3:9" x14ac:dyDescent="0.25">
      <c r="C1660" s="142"/>
      <c r="D1660" s="143"/>
      <c r="E1660" s="142"/>
      <c r="F1660" s="144"/>
      <c r="G1660" s="120"/>
      <c r="H1660" s="145"/>
      <c r="I1660" s="123"/>
    </row>
    <row r="1661" spans="3:9" x14ac:dyDescent="0.25">
      <c r="C1661" s="142"/>
      <c r="D1661" s="143"/>
      <c r="E1661" s="142"/>
      <c r="F1661" s="144"/>
      <c r="G1661" s="120"/>
      <c r="H1661" s="145"/>
      <c r="I1661" s="123"/>
    </row>
    <row r="1662" spans="3:9" x14ac:dyDescent="0.25">
      <c r="C1662" s="142"/>
      <c r="D1662" s="143"/>
      <c r="E1662" s="142"/>
      <c r="F1662" s="144"/>
      <c r="G1662" s="120"/>
      <c r="H1662" s="145"/>
      <c r="I1662" s="123"/>
    </row>
    <row r="1663" spans="3:9" x14ac:dyDescent="0.25">
      <c r="C1663" s="142"/>
      <c r="D1663" s="143"/>
      <c r="E1663" s="142"/>
      <c r="F1663" s="144"/>
      <c r="G1663" s="120"/>
      <c r="H1663" s="145"/>
      <c r="I1663" s="123"/>
    </row>
    <row r="1664" spans="3:9" x14ac:dyDescent="0.25">
      <c r="C1664" s="142"/>
      <c r="D1664" s="143"/>
      <c r="E1664" s="142"/>
      <c r="F1664" s="144"/>
      <c r="G1664" s="120"/>
      <c r="H1664" s="145"/>
      <c r="I1664" s="123"/>
    </row>
    <row r="1665" spans="3:9" x14ac:dyDescent="0.25">
      <c r="C1665" s="142"/>
      <c r="D1665" s="143"/>
      <c r="E1665" s="142"/>
      <c r="F1665" s="144"/>
      <c r="G1665" s="120"/>
      <c r="H1665" s="145"/>
      <c r="I1665" s="123"/>
    </row>
    <row r="1666" spans="3:9" x14ac:dyDescent="0.25">
      <c r="C1666" s="142"/>
      <c r="D1666" s="143"/>
      <c r="E1666" s="142"/>
      <c r="F1666" s="144"/>
      <c r="G1666" s="120"/>
      <c r="H1666" s="145"/>
      <c r="I1666" s="123"/>
    </row>
    <row r="1667" spans="3:9" x14ac:dyDescent="0.25">
      <c r="C1667" s="142"/>
      <c r="D1667" s="143"/>
      <c r="E1667" s="142"/>
      <c r="F1667" s="144"/>
      <c r="G1667" s="120"/>
      <c r="H1667" s="145"/>
      <c r="I1667" s="123"/>
    </row>
    <row r="1668" spans="3:9" x14ac:dyDescent="0.25">
      <c r="C1668" s="142"/>
      <c r="D1668" s="143"/>
      <c r="E1668" s="142"/>
      <c r="F1668" s="144"/>
      <c r="G1668" s="120"/>
      <c r="H1668" s="145"/>
      <c r="I1668" s="123"/>
    </row>
    <row r="1669" spans="3:9" x14ac:dyDescent="0.25">
      <c r="C1669" s="142"/>
      <c r="D1669" s="143"/>
      <c r="E1669" s="142"/>
      <c r="F1669" s="144"/>
      <c r="G1669" s="120"/>
      <c r="H1669" s="145"/>
      <c r="I1669" s="123"/>
    </row>
    <row r="1670" spans="3:9" x14ac:dyDescent="0.25">
      <c r="C1670" s="142"/>
      <c r="D1670" s="143"/>
      <c r="E1670" s="142"/>
      <c r="F1670" s="144"/>
      <c r="G1670" s="120"/>
      <c r="H1670" s="145"/>
      <c r="I1670" s="123"/>
    </row>
    <row r="1671" spans="3:9" x14ac:dyDescent="0.25">
      <c r="C1671" s="142"/>
      <c r="D1671" s="143"/>
      <c r="E1671" s="142"/>
      <c r="F1671" s="144"/>
      <c r="G1671" s="120"/>
      <c r="H1671" s="145"/>
      <c r="I1671" s="123"/>
    </row>
    <row r="1672" spans="3:9" x14ac:dyDescent="0.25">
      <c r="C1672" s="142"/>
      <c r="D1672" s="143"/>
      <c r="E1672" s="142"/>
      <c r="F1672" s="144"/>
      <c r="G1672" s="120"/>
      <c r="H1672" s="145"/>
      <c r="I1672" s="123"/>
    </row>
    <row r="1673" spans="3:9" x14ac:dyDescent="0.25">
      <c r="C1673" s="142"/>
      <c r="D1673" s="143"/>
      <c r="E1673" s="142"/>
      <c r="F1673" s="144"/>
      <c r="G1673" s="120"/>
      <c r="H1673" s="145"/>
      <c r="I1673" s="123"/>
    </row>
    <row r="1674" spans="3:9" x14ac:dyDescent="0.25">
      <c r="C1674" s="142"/>
      <c r="D1674" s="143"/>
      <c r="E1674" s="142"/>
      <c r="F1674" s="144"/>
      <c r="G1674" s="120"/>
      <c r="H1674" s="145"/>
      <c r="I1674" s="123"/>
    </row>
    <row r="1675" spans="3:9" x14ac:dyDescent="0.25">
      <c r="C1675" s="142"/>
      <c r="D1675" s="143"/>
      <c r="E1675" s="142"/>
      <c r="F1675" s="144"/>
      <c r="G1675" s="120"/>
      <c r="H1675" s="145"/>
      <c r="I1675" s="123"/>
    </row>
    <row r="1676" spans="3:9" x14ac:dyDescent="0.25">
      <c r="C1676" s="142"/>
      <c r="D1676" s="143"/>
      <c r="E1676" s="142"/>
      <c r="F1676" s="144"/>
      <c r="G1676" s="120"/>
      <c r="H1676" s="145"/>
      <c r="I1676" s="123"/>
    </row>
    <row r="1677" spans="3:9" x14ac:dyDescent="0.25">
      <c r="C1677" s="142"/>
      <c r="D1677" s="143"/>
      <c r="E1677" s="142"/>
      <c r="F1677" s="144"/>
      <c r="G1677" s="120"/>
      <c r="H1677" s="145"/>
      <c r="I1677" s="123"/>
    </row>
    <row r="1678" spans="3:9" x14ac:dyDescent="0.25">
      <c r="C1678" s="142"/>
      <c r="D1678" s="143"/>
      <c r="E1678" s="142"/>
      <c r="F1678" s="144"/>
      <c r="G1678" s="120"/>
      <c r="H1678" s="145"/>
      <c r="I1678" s="123"/>
    </row>
    <row r="1679" spans="3:9" x14ac:dyDescent="0.25">
      <c r="C1679" s="142"/>
      <c r="D1679" s="143"/>
      <c r="E1679" s="142"/>
      <c r="F1679" s="144"/>
      <c r="G1679" s="120"/>
      <c r="H1679" s="145"/>
      <c r="I1679" s="123"/>
    </row>
    <row r="1680" spans="3:9" x14ac:dyDescent="0.25">
      <c r="C1680" s="142"/>
      <c r="D1680" s="143"/>
      <c r="E1680" s="142"/>
      <c r="F1680" s="144"/>
      <c r="G1680" s="120"/>
      <c r="H1680" s="145"/>
      <c r="I1680" s="123"/>
    </row>
    <row r="1681" spans="3:9" x14ac:dyDescent="0.25">
      <c r="C1681" s="142"/>
      <c r="D1681" s="143"/>
      <c r="E1681" s="142"/>
      <c r="F1681" s="144"/>
      <c r="G1681" s="120"/>
      <c r="H1681" s="145"/>
      <c r="I1681" s="123"/>
    </row>
    <row r="1682" spans="3:9" x14ac:dyDescent="0.25">
      <c r="C1682" s="142"/>
      <c r="D1682" s="143"/>
      <c r="E1682" s="142"/>
      <c r="F1682" s="144"/>
      <c r="G1682" s="120"/>
      <c r="H1682" s="145"/>
      <c r="I1682" s="123"/>
    </row>
    <row r="1683" spans="3:9" x14ac:dyDescent="0.25">
      <c r="C1683" s="142"/>
      <c r="D1683" s="143"/>
      <c r="E1683" s="142"/>
      <c r="F1683" s="144"/>
      <c r="G1683" s="120"/>
      <c r="H1683" s="145"/>
      <c r="I1683" s="123"/>
    </row>
    <row r="1684" spans="3:9" x14ac:dyDescent="0.25">
      <c r="C1684" s="142"/>
      <c r="D1684" s="143"/>
      <c r="E1684" s="142"/>
      <c r="F1684" s="144"/>
      <c r="G1684" s="120"/>
      <c r="H1684" s="145"/>
      <c r="I1684" s="123"/>
    </row>
    <row r="1685" spans="3:9" x14ac:dyDescent="0.25">
      <c r="C1685" s="142"/>
      <c r="D1685" s="143"/>
      <c r="E1685" s="142"/>
      <c r="F1685" s="144"/>
      <c r="G1685" s="120"/>
      <c r="H1685" s="145"/>
      <c r="I1685" s="123"/>
    </row>
    <row r="1686" spans="3:9" x14ac:dyDescent="0.25">
      <c r="C1686" s="142"/>
      <c r="D1686" s="143"/>
      <c r="E1686" s="142"/>
      <c r="F1686" s="144"/>
      <c r="G1686" s="120"/>
      <c r="H1686" s="145"/>
      <c r="I1686" s="123"/>
    </row>
    <row r="1687" spans="3:9" x14ac:dyDescent="0.25">
      <c r="C1687" s="142"/>
      <c r="D1687" s="143"/>
      <c r="E1687" s="142"/>
      <c r="F1687" s="144"/>
      <c r="G1687" s="120"/>
      <c r="H1687" s="145"/>
      <c r="I1687" s="123"/>
    </row>
    <row r="1688" spans="3:9" x14ac:dyDescent="0.25">
      <c r="C1688" s="142"/>
      <c r="D1688" s="143"/>
      <c r="E1688" s="142"/>
      <c r="F1688" s="144"/>
      <c r="G1688" s="120"/>
      <c r="H1688" s="145"/>
      <c r="I1688" s="123"/>
    </row>
    <row r="1689" spans="3:9" x14ac:dyDescent="0.25">
      <c r="C1689" s="142"/>
      <c r="D1689" s="143"/>
      <c r="E1689" s="142"/>
      <c r="F1689" s="144"/>
      <c r="G1689" s="120"/>
      <c r="H1689" s="145"/>
      <c r="I1689" s="123"/>
    </row>
    <row r="1690" spans="3:9" x14ac:dyDescent="0.25">
      <c r="C1690" s="142"/>
      <c r="D1690" s="143"/>
      <c r="E1690" s="142"/>
      <c r="F1690" s="144"/>
      <c r="G1690" s="120"/>
      <c r="H1690" s="145"/>
      <c r="I1690" s="123"/>
    </row>
    <row r="1691" spans="3:9" x14ac:dyDescent="0.25">
      <c r="C1691" s="142"/>
      <c r="D1691" s="143"/>
      <c r="E1691" s="142"/>
      <c r="F1691" s="144"/>
      <c r="G1691" s="120"/>
      <c r="H1691" s="145"/>
      <c r="I1691" s="123"/>
    </row>
    <row r="1692" spans="3:9" x14ac:dyDescent="0.25">
      <c r="C1692" s="142"/>
      <c r="D1692" s="143"/>
      <c r="E1692" s="142"/>
      <c r="F1692" s="144"/>
      <c r="G1692" s="120"/>
      <c r="H1692" s="145"/>
      <c r="I1692" s="123"/>
    </row>
    <row r="1693" spans="3:9" x14ac:dyDescent="0.25">
      <c r="C1693" s="142"/>
      <c r="D1693" s="143"/>
      <c r="E1693" s="142"/>
      <c r="F1693" s="144"/>
      <c r="G1693" s="120"/>
      <c r="H1693" s="145"/>
      <c r="I1693" s="123"/>
    </row>
    <row r="1694" spans="3:9" x14ac:dyDescent="0.25">
      <c r="C1694" s="142"/>
      <c r="D1694" s="143"/>
      <c r="E1694" s="142"/>
      <c r="F1694" s="144"/>
      <c r="G1694" s="120"/>
      <c r="H1694" s="145"/>
      <c r="I1694" s="123"/>
    </row>
    <row r="1695" spans="3:9" x14ac:dyDescent="0.25">
      <c r="C1695" s="142"/>
      <c r="D1695" s="143"/>
      <c r="E1695" s="142"/>
      <c r="F1695" s="144"/>
      <c r="G1695" s="120"/>
      <c r="H1695" s="145"/>
      <c r="I1695" s="123"/>
    </row>
    <row r="1696" spans="3:9" x14ac:dyDescent="0.25">
      <c r="C1696" s="142"/>
      <c r="D1696" s="143"/>
      <c r="E1696" s="142"/>
      <c r="F1696" s="144"/>
      <c r="G1696" s="120"/>
      <c r="H1696" s="145"/>
      <c r="I1696" s="123"/>
    </row>
    <row r="1697" spans="3:9" x14ac:dyDescent="0.25">
      <c r="C1697" s="142"/>
      <c r="D1697" s="143"/>
      <c r="E1697" s="142"/>
      <c r="F1697" s="144"/>
      <c r="G1697" s="120"/>
      <c r="H1697" s="145"/>
      <c r="I1697" s="123"/>
    </row>
    <row r="1698" spans="3:9" x14ac:dyDescent="0.25">
      <c r="C1698" s="142"/>
      <c r="D1698" s="143"/>
      <c r="E1698" s="142"/>
      <c r="F1698" s="144"/>
      <c r="G1698" s="120"/>
      <c r="H1698" s="145"/>
      <c r="I1698" s="123"/>
    </row>
    <row r="1699" spans="3:9" x14ac:dyDescent="0.25">
      <c r="C1699" s="142"/>
      <c r="D1699" s="143"/>
      <c r="E1699" s="142"/>
      <c r="F1699" s="144"/>
      <c r="G1699" s="120"/>
      <c r="H1699" s="145"/>
      <c r="I1699" s="123"/>
    </row>
    <row r="1700" spans="3:9" x14ac:dyDescent="0.25">
      <c r="C1700" s="142"/>
      <c r="D1700" s="143"/>
      <c r="E1700" s="142"/>
      <c r="F1700" s="144"/>
      <c r="G1700" s="120"/>
      <c r="H1700" s="145"/>
      <c r="I1700" s="123"/>
    </row>
    <row r="1701" spans="3:9" x14ac:dyDescent="0.25">
      <c r="C1701" s="142"/>
      <c r="D1701" s="143"/>
      <c r="E1701" s="142"/>
      <c r="F1701" s="144"/>
      <c r="G1701" s="120"/>
      <c r="H1701" s="145"/>
      <c r="I1701" s="123"/>
    </row>
    <row r="1702" spans="3:9" x14ac:dyDescent="0.25">
      <c r="C1702" s="142"/>
      <c r="D1702" s="143"/>
      <c r="E1702" s="142"/>
      <c r="F1702" s="144"/>
      <c r="G1702" s="120"/>
      <c r="H1702" s="145"/>
      <c r="I1702" s="123"/>
    </row>
    <row r="1703" spans="3:9" x14ac:dyDescent="0.25">
      <c r="C1703" s="142"/>
      <c r="D1703" s="143"/>
      <c r="E1703" s="142"/>
      <c r="F1703" s="144"/>
      <c r="G1703" s="120"/>
      <c r="H1703" s="145"/>
      <c r="I1703" s="123"/>
    </row>
    <row r="1704" spans="3:9" x14ac:dyDescent="0.25">
      <c r="C1704" s="142"/>
      <c r="D1704" s="143"/>
      <c r="E1704" s="142"/>
      <c r="F1704" s="144"/>
      <c r="G1704" s="120"/>
      <c r="H1704" s="145"/>
      <c r="I1704" s="123"/>
    </row>
    <row r="1705" spans="3:9" x14ac:dyDescent="0.25">
      <c r="C1705" s="142"/>
      <c r="D1705" s="143"/>
      <c r="E1705" s="142"/>
      <c r="F1705" s="144"/>
      <c r="G1705" s="120"/>
      <c r="H1705" s="145"/>
      <c r="I1705" s="123"/>
    </row>
    <row r="1706" spans="3:9" x14ac:dyDescent="0.25">
      <c r="C1706" s="142"/>
      <c r="D1706" s="143"/>
      <c r="E1706" s="142"/>
      <c r="F1706" s="144"/>
      <c r="G1706" s="120"/>
      <c r="H1706" s="145"/>
      <c r="I1706" s="123"/>
    </row>
    <row r="1707" spans="3:9" x14ac:dyDescent="0.25">
      <c r="C1707" s="142"/>
      <c r="D1707" s="143"/>
      <c r="E1707" s="142"/>
      <c r="F1707" s="144"/>
      <c r="G1707" s="120"/>
      <c r="H1707" s="145"/>
      <c r="I1707" s="123"/>
    </row>
    <row r="1708" spans="3:9" x14ac:dyDescent="0.25">
      <c r="C1708" s="142"/>
      <c r="D1708" s="143"/>
      <c r="E1708" s="142"/>
      <c r="F1708" s="144"/>
      <c r="G1708" s="120"/>
      <c r="H1708" s="145"/>
      <c r="I1708" s="123"/>
    </row>
    <row r="1709" spans="3:9" x14ac:dyDescent="0.25">
      <c r="C1709" s="142"/>
      <c r="D1709" s="143"/>
      <c r="E1709" s="142"/>
      <c r="F1709" s="144"/>
      <c r="G1709" s="120"/>
      <c r="H1709" s="145"/>
      <c r="I1709" s="123"/>
    </row>
    <row r="1710" spans="3:9" x14ac:dyDescent="0.25">
      <c r="C1710" s="142"/>
      <c r="D1710" s="143"/>
      <c r="E1710" s="142"/>
      <c r="F1710" s="144"/>
      <c r="G1710" s="120"/>
      <c r="H1710" s="145"/>
      <c r="I1710" s="123"/>
    </row>
    <row r="1711" spans="3:9" x14ac:dyDescent="0.25">
      <c r="C1711" s="142"/>
      <c r="D1711" s="143"/>
      <c r="E1711" s="142"/>
      <c r="F1711" s="144"/>
      <c r="G1711" s="120"/>
      <c r="H1711" s="145"/>
      <c r="I1711" s="123"/>
    </row>
    <row r="1712" spans="3:9" x14ac:dyDescent="0.25">
      <c r="C1712" s="142"/>
      <c r="D1712" s="143"/>
      <c r="E1712" s="142"/>
      <c r="F1712" s="144"/>
      <c r="G1712" s="120"/>
      <c r="H1712" s="145"/>
      <c r="I1712" s="123"/>
    </row>
    <row r="1713" spans="3:9" x14ac:dyDescent="0.25">
      <c r="C1713" s="142"/>
      <c r="D1713" s="143"/>
      <c r="E1713" s="142"/>
      <c r="F1713" s="144"/>
      <c r="G1713" s="120"/>
      <c r="H1713" s="145"/>
      <c r="I1713" s="123"/>
    </row>
    <row r="1714" spans="3:9" x14ac:dyDescent="0.25">
      <c r="C1714" s="142"/>
      <c r="D1714" s="143"/>
      <c r="E1714" s="142"/>
      <c r="F1714" s="144"/>
      <c r="G1714" s="120"/>
      <c r="H1714" s="145"/>
      <c r="I1714" s="123"/>
    </row>
    <row r="1715" spans="3:9" x14ac:dyDescent="0.25">
      <c r="C1715" s="142"/>
      <c r="D1715" s="143"/>
      <c r="E1715" s="142"/>
      <c r="F1715" s="144"/>
      <c r="G1715" s="120"/>
      <c r="H1715" s="145"/>
      <c r="I1715" s="123"/>
    </row>
    <row r="1716" spans="3:9" x14ac:dyDescent="0.25">
      <c r="C1716" s="142"/>
      <c r="D1716" s="143"/>
      <c r="E1716" s="142"/>
      <c r="F1716" s="144"/>
      <c r="G1716" s="120"/>
      <c r="H1716" s="145"/>
      <c r="I1716" s="123"/>
    </row>
    <row r="1717" spans="3:9" x14ac:dyDescent="0.25">
      <c r="C1717" s="142"/>
      <c r="D1717" s="143"/>
      <c r="E1717" s="142"/>
      <c r="F1717" s="144"/>
      <c r="G1717" s="120"/>
      <c r="H1717" s="145"/>
      <c r="I1717" s="123"/>
    </row>
    <row r="1718" spans="3:9" x14ac:dyDescent="0.25">
      <c r="C1718" s="142"/>
      <c r="D1718" s="143"/>
      <c r="E1718" s="142"/>
      <c r="F1718" s="144"/>
      <c r="G1718" s="120"/>
      <c r="H1718" s="145"/>
      <c r="I1718" s="123"/>
    </row>
    <row r="1719" spans="3:9" x14ac:dyDescent="0.25">
      <c r="C1719" s="142"/>
      <c r="D1719" s="143"/>
      <c r="E1719" s="142"/>
      <c r="F1719" s="144"/>
      <c r="G1719" s="120"/>
      <c r="H1719" s="145"/>
      <c r="I1719" s="123"/>
    </row>
    <row r="1720" spans="3:9" x14ac:dyDescent="0.25">
      <c r="C1720" s="142"/>
      <c r="D1720" s="143"/>
      <c r="E1720" s="142"/>
      <c r="F1720" s="144"/>
      <c r="G1720" s="120"/>
      <c r="H1720" s="145"/>
      <c r="I1720" s="123"/>
    </row>
    <row r="1721" spans="3:9" x14ac:dyDescent="0.25">
      <c r="C1721" s="142"/>
      <c r="D1721" s="143"/>
      <c r="E1721" s="142"/>
      <c r="F1721" s="144"/>
      <c r="G1721" s="120"/>
      <c r="H1721" s="145"/>
      <c r="I1721" s="123"/>
    </row>
    <row r="1722" spans="3:9" x14ac:dyDescent="0.25">
      <c r="C1722" s="142"/>
      <c r="D1722" s="143"/>
      <c r="E1722" s="142"/>
      <c r="F1722" s="144"/>
      <c r="G1722" s="120"/>
      <c r="H1722" s="145"/>
      <c r="I1722" s="123"/>
    </row>
    <row r="1723" spans="3:9" x14ac:dyDescent="0.25">
      <c r="C1723" s="142"/>
      <c r="D1723" s="143"/>
      <c r="E1723" s="142"/>
      <c r="F1723" s="144"/>
      <c r="G1723" s="120"/>
      <c r="H1723" s="145"/>
      <c r="I1723" s="123"/>
    </row>
    <row r="1724" spans="3:9" x14ac:dyDescent="0.25">
      <c r="C1724" s="142"/>
      <c r="D1724" s="143"/>
      <c r="E1724" s="142"/>
      <c r="F1724" s="144"/>
      <c r="G1724" s="120"/>
      <c r="H1724" s="145"/>
      <c r="I1724" s="123"/>
    </row>
    <row r="1725" spans="3:9" x14ac:dyDescent="0.25">
      <c r="C1725" s="142"/>
      <c r="D1725" s="143"/>
      <c r="E1725" s="142"/>
      <c r="F1725" s="144"/>
      <c r="G1725" s="120"/>
      <c r="H1725" s="145"/>
      <c r="I1725" s="123"/>
    </row>
    <row r="1726" spans="3:9" x14ac:dyDescent="0.25">
      <c r="C1726" s="142"/>
      <c r="D1726" s="143"/>
      <c r="E1726" s="142"/>
      <c r="F1726" s="144"/>
      <c r="G1726" s="120"/>
      <c r="H1726" s="145"/>
      <c r="I1726" s="123"/>
    </row>
    <row r="1727" spans="3:9" x14ac:dyDescent="0.25">
      <c r="C1727" s="142"/>
      <c r="D1727" s="143"/>
      <c r="E1727" s="142"/>
      <c r="F1727" s="144"/>
      <c r="G1727" s="120"/>
      <c r="H1727" s="145"/>
      <c r="I1727" s="123"/>
    </row>
    <row r="1728" spans="3:9" x14ac:dyDescent="0.25">
      <c r="C1728" s="142"/>
      <c r="D1728" s="143"/>
      <c r="E1728" s="142"/>
      <c r="F1728" s="144"/>
      <c r="G1728" s="120"/>
      <c r="H1728" s="145"/>
      <c r="I1728" s="123"/>
    </row>
    <row r="1729" spans="3:9" x14ac:dyDescent="0.25">
      <c r="C1729" s="142"/>
      <c r="D1729" s="143"/>
      <c r="E1729" s="142"/>
      <c r="F1729" s="144"/>
      <c r="G1729" s="120"/>
      <c r="H1729" s="145"/>
      <c r="I1729" s="123"/>
    </row>
    <row r="1730" spans="3:9" x14ac:dyDescent="0.25">
      <c r="C1730" s="142"/>
      <c r="D1730" s="143"/>
      <c r="E1730" s="142"/>
      <c r="F1730" s="144"/>
      <c r="G1730" s="120"/>
      <c r="H1730" s="145"/>
      <c r="I1730" s="123"/>
    </row>
    <row r="1731" spans="3:9" x14ac:dyDescent="0.25">
      <c r="C1731" s="142"/>
      <c r="D1731" s="143"/>
      <c r="E1731" s="142"/>
      <c r="F1731" s="144"/>
      <c r="G1731" s="120"/>
      <c r="H1731" s="145"/>
      <c r="I1731" s="123"/>
    </row>
    <row r="1732" spans="3:9" x14ac:dyDescent="0.25">
      <c r="C1732" s="142"/>
      <c r="D1732" s="143"/>
      <c r="E1732" s="142"/>
      <c r="F1732" s="144"/>
      <c r="G1732" s="120"/>
      <c r="H1732" s="145"/>
      <c r="I1732" s="123"/>
    </row>
    <row r="1733" spans="3:9" x14ac:dyDescent="0.25">
      <c r="C1733" s="142"/>
      <c r="D1733" s="143"/>
      <c r="E1733" s="142"/>
      <c r="F1733" s="144"/>
      <c r="G1733" s="120"/>
      <c r="H1733" s="145"/>
      <c r="I1733" s="123"/>
    </row>
    <row r="1734" spans="3:9" x14ac:dyDescent="0.25">
      <c r="C1734" s="142"/>
      <c r="D1734" s="143"/>
      <c r="E1734" s="142"/>
      <c r="F1734" s="144"/>
      <c r="G1734" s="120"/>
      <c r="H1734" s="145"/>
      <c r="I1734" s="123"/>
    </row>
    <row r="1735" spans="3:9" x14ac:dyDescent="0.25">
      <c r="C1735" s="142"/>
      <c r="D1735" s="143"/>
      <c r="E1735" s="142"/>
      <c r="F1735" s="144"/>
      <c r="G1735" s="120"/>
      <c r="H1735" s="145"/>
      <c r="I1735" s="123"/>
    </row>
    <row r="1736" spans="3:9" x14ac:dyDescent="0.25">
      <c r="C1736" s="142"/>
      <c r="D1736" s="143"/>
      <c r="E1736" s="142"/>
      <c r="F1736" s="144"/>
      <c r="G1736" s="120"/>
      <c r="H1736" s="145"/>
      <c r="I1736" s="123"/>
    </row>
    <row r="1737" spans="3:9" x14ac:dyDescent="0.25">
      <c r="C1737" s="142"/>
      <c r="D1737" s="143"/>
      <c r="E1737" s="142"/>
      <c r="F1737" s="144"/>
      <c r="G1737" s="120"/>
      <c r="H1737" s="145"/>
      <c r="I1737" s="123"/>
    </row>
    <row r="1738" spans="3:9" x14ac:dyDescent="0.25">
      <c r="C1738" s="142"/>
      <c r="D1738" s="143"/>
      <c r="E1738" s="142"/>
      <c r="F1738" s="144"/>
      <c r="G1738" s="120"/>
      <c r="H1738" s="145"/>
      <c r="I1738" s="123"/>
    </row>
    <row r="1739" spans="3:9" x14ac:dyDescent="0.25">
      <c r="C1739" s="142"/>
      <c r="D1739" s="143"/>
      <c r="E1739" s="142"/>
      <c r="F1739" s="144"/>
      <c r="G1739" s="120"/>
      <c r="H1739" s="145"/>
      <c r="I1739" s="123"/>
    </row>
    <row r="1740" spans="3:9" x14ac:dyDescent="0.25">
      <c r="C1740" s="142"/>
      <c r="D1740" s="143"/>
      <c r="E1740" s="142"/>
      <c r="F1740" s="144"/>
      <c r="G1740" s="120"/>
      <c r="H1740" s="145"/>
      <c r="I1740" s="123"/>
    </row>
    <row r="1741" spans="3:9" x14ac:dyDescent="0.25">
      <c r="C1741" s="142"/>
      <c r="D1741" s="143"/>
      <c r="E1741" s="142"/>
      <c r="F1741" s="144"/>
      <c r="G1741" s="120"/>
      <c r="H1741" s="145"/>
      <c r="I1741" s="123"/>
    </row>
    <row r="1742" spans="3:9" x14ac:dyDescent="0.25">
      <c r="C1742" s="142"/>
      <c r="D1742" s="143"/>
      <c r="E1742" s="142"/>
      <c r="F1742" s="144"/>
      <c r="G1742" s="120"/>
      <c r="H1742" s="145"/>
      <c r="I1742" s="123"/>
    </row>
    <row r="1743" spans="3:9" x14ac:dyDescent="0.25">
      <c r="C1743" s="142"/>
      <c r="D1743" s="143"/>
      <c r="E1743" s="142"/>
      <c r="F1743" s="144"/>
      <c r="G1743" s="120"/>
      <c r="H1743" s="145"/>
      <c r="I1743" s="123"/>
    </row>
    <row r="1744" spans="3:9" x14ac:dyDescent="0.25">
      <c r="C1744" s="142"/>
      <c r="D1744" s="143"/>
      <c r="E1744" s="142"/>
      <c r="F1744" s="144"/>
      <c r="G1744" s="120"/>
      <c r="H1744" s="145"/>
      <c r="I1744" s="123"/>
    </row>
    <row r="1745" spans="3:9" x14ac:dyDescent="0.25">
      <c r="C1745" s="142"/>
      <c r="D1745" s="143"/>
      <c r="E1745" s="142"/>
      <c r="F1745" s="144"/>
      <c r="G1745" s="120"/>
      <c r="H1745" s="145"/>
      <c r="I1745" s="123"/>
    </row>
    <row r="1746" spans="3:9" x14ac:dyDescent="0.25">
      <c r="C1746" s="142"/>
      <c r="D1746" s="143"/>
      <c r="E1746" s="142"/>
      <c r="F1746" s="144"/>
      <c r="G1746" s="120"/>
      <c r="H1746" s="145"/>
      <c r="I1746" s="123"/>
    </row>
    <row r="1747" spans="3:9" x14ac:dyDescent="0.25">
      <c r="C1747" s="142"/>
      <c r="D1747" s="143"/>
      <c r="E1747" s="142"/>
      <c r="F1747" s="144"/>
      <c r="G1747" s="120"/>
      <c r="H1747" s="145"/>
      <c r="I1747" s="123"/>
    </row>
    <row r="1748" spans="3:9" x14ac:dyDescent="0.25">
      <c r="C1748" s="142"/>
      <c r="D1748" s="143"/>
      <c r="E1748" s="142"/>
      <c r="F1748" s="144"/>
      <c r="G1748" s="120"/>
      <c r="H1748" s="145"/>
      <c r="I1748" s="123"/>
    </row>
    <row r="1749" spans="3:9" x14ac:dyDescent="0.25">
      <c r="C1749" s="142"/>
      <c r="D1749" s="143"/>
      <c r="E1749" s="142"/>
      <c r="F1749" s="144"/>
      <c r="G1749" s="120"/>
      <c r="H1749" s="145"/>
      <c r="I1749" s="123"/>
    </row>
    <row r="1750" spans="3:9" x14ac:dyDescent="0.25">
      <c r="C1750" s="142"/>
      <c r="D1750" s="143"/>
      <c r="E1750" s="142"/>
      <c r="F1750" s="144"/>
      <c r="G1750" s="120"/>
      <c r="H1750" s="145"/>
      <c r="I1750" s="123"/>
    </row>
    <row r="1751" spans="3:9" x14ac:dyDescent="0.25">
      <c r="C1751" s="142"/>
      <c r="D1751" s="143"/>
      <c r="E1751" s="142"/>
      <c r="F1751" s="144"/>
      <c r="G1751" s="120"/>
      <c r="H1751" s="145"/>
      <c r="I1751" s="123"/>
    </row>
    <row r="1752" spans="3:9" x14ac:dyDescent="0.25">
      <c r="C1752" s="142"/>
      <c r="D1752" s="143"/>
      <c r="E1752" s="142"/>
      <c r="F1752" s="144"/>
      <c r="G1752" s="120"/>
      <c r="H1752" s="145"/>
      <c r="I1752" s="123"/>
    </row>
    <row r="1753" spans="3:9" x14ac:dyDescent="0.25">
      <c r="C1753" s="142"/>
      <c r="D1753" s="143"/>
      <c r="E1753" s="142"/>
      <c r="F1753" s="144"/>
      <c r="G1753" s="120"/>
      <c r="H1753" s="145"/>
      <c r="I1753" s="123"/>
    </row>
    <row r="1754" spans="3:9" x14ac:dyDescent="0.25">
      <c r="C1754" s="142"/>
      <c r="D1754" s="143"/>
      <c r="E1754" s="142"/>
      <c r="F1754" s="144"/>
      <c r="G1754" s="120"/>
      <c r="H1754" s="145"/>
      <c r="I1754" s="123"/>
    </row>
    <row r="1755" spans="3:9" x14ac:dyDescent="0.25">
      <c r="C1755" s="142"/>
      <c r="D1755" s="143"/>
      <c r="E1755" s="142"/>
      <c r="F1755" s="144"/>
      <c r="G1755" s="120"/>
      <c r="H1755" s="145"/>
      <c r="I1755" s="123"/>
    </row>
    <row r="1756" spans="3:9" x14ac:dyDescent="0.25">
      <c r="C1756" s="142"/>
      <c r="D1756" s="143"/>
      <c r="E1756" s="142"/>
      <c r="F1756" s="144"/>
      <c r="G1756" s="120"/>
      <c r="H1756" s="145"/>
      <c r="I1756" s="123"/>
    </row>
    <row r="1757" spans="3:9" x14ac:dyDescent="0.25">
      <c r="C1757" s="142"/>
      <c r="D1757" s="143"/>
      <c r="E1757" s="142"/>
      <c r="F1757" s="144"/>
      <c r="G1757" s="120"/>
      <c r="H1757" s="145"/>
      <c r="I1757" s="123"/>
    </row>
    <row r="1758" spans="3:9" x14ac:dyDescent="0.25">
      <c r="C1758" s="142"/>
      <c r="D1758" s="143"/>
      <c r="E1758" s="142"/>
      <c r="F1758" s="144"/>
      <c r="G1758" s="120"/>
      <c r="H1758" s="145"/>
      <c r="I1758" s="123"/>
    </row>
    <row r="1759" spans="3:9" x14ac:dyDescent="0.25">
      <c r="C1759" s="142"/>
      <c r="D1759" s="143"/>
      <c r="E1759" s="142"/>
      <c r="F1759" s="144"/>
      <c r="G1759" s="120"/>
      <c r="H1759" s="145"/>
      <c r="I1759" s="123"/>
    </row>
    <row r="1760" spans="3:9" x14ac:dyDescent="0.25">
      <c r="C1760" s="142"/>
      <c r="D1760" s="143"/>
      <c r="E1760" s="142"/>
      <c r="F1760" s="144"/>
      <c r="G1760" s="120"/>
      <c r="H1760" s="145"/>
      <c r="I1760" s="123"/>
    </row>
    <row r="1761" spans="3:9" x14ac:dyDescent="0.25">
      <c r="C1761" s="142"/>
      <c r="D1761" s="143"/>
      <c r="E1761" s="142"/>
      <c r="F1761" s="144"/>
      <c r="G1761" s="120"/>
      <c r="H1761" s="145"/>
      <c r="I1761" s="123"/>
    </row>
    <row r="1762" spans="3:9" x14ac:dyDescent="0.25">
      <c r="C1762" s="142"/>
      <c r="D1762" s="143"/>
      <c r="E1762" s="142"/>
      <c r="F1762" s="144"/>
      <c r="G1762" s="120"/>
      <c r="H1762" s="145"/>
      <c r="I1762" s="123"/>
    </row>
    <row r="1763" spans="3:9" x14ac:dyDescent="0.25">
      <c r="C1763" s="142"/>
      <c r="D1763" s="143"/>
      <c r="E1763" s="142"/>
      <c r="F1763" s="144"/>
      <c r="G1763" s="120"/>
      <c r="H1763" s="145"/>
      <c r="I1763" s="123"/>
    </row>
    <row r="1764" spans="3:9" x14ac:dyDescent="0.25">
      <c r="C1764" s="142"/>
      <c r="D1764" s="143"/>
      <c r="E1764" s="142"/>
      <c r="F1764" s="144"/>
      <c r="G1764" s="120"/>
      <c r="H1764" s="145"/>
      <c r="I1764" s="123"/>
    </row>
    <row r="1765" spans="3:9" x14ac:dyDescent="0.25">
      <c r="C1765" s="142"/>
      <c r="D1765" s="143"/>
      <c r="E1765" s="142"/>
      <c r="F1765" s="144"/>
      <c r="G1765" s="120"/>
      <c r="H1765" s="145"/>
      <c r="I1765" s="123"/>
    </row>
    <row r="1766" spans="3:9" x14ac:dyDescent="0.25">
      <c r="C1766" s="142"/>
      <c r="D1766" s="143"/>
      <c r="E1766" s="142"/>
      <c r="F1766" s="144"/>
      <c r="G1766" s="120"/>
      <c r="H1766" s="145"/>
      <c r="I1766" s="123"/>
    </row>
    <row r="1767" spans="3:9" x14ac:dyDescent="0.25">
      <c r="C1767" s="142"/>
      <c r="D1767" s="143"/>
      <c r="E1767" s="142"/>
      <c r="F1767" s="144"/>
      <c r="G1767" s="120"/>
      <c r="H1767" s="145"/>
      <c r="I1767" s="123"/>
    </row>
    <row r="1768" spans="3:9" x14ac:dyDescent="0.25">
      <c r="C1768" s="142"/>
      <c r="D1768" s="143"/>
      <c r="E1768" s="142"/>
      <c r="F1768" s="144"/>
      <c r="G1768" s="120"/>
      <c r="H1768" s="145"/>
      <c r="I1768" s="123"/>
    </row>
    <row r="1769" spans="3:9" x14ac:dyDescent="0.25">
      <c r="C1769" s="142"/>
      <c r="D1769" s="143"/>
      <c r="E1769" s="142"/>
      <c r="F1769" s="144"/>
      <c r="G1769" s="120"/>
      <c r="H1769" s="145"/>
      <c r="I1769" s="123"/>
    </row>
    <row r="1770" spans="3:9" x14ac:dyDescent="0.25">
      <c r="C1770" s="142"/>
      <c r="D1770" s="143"/>
      <c r="E1770" s="142"/>
      <c r="F1770" s="144"/>
      <c r="G1770" s="120"/>
      <c r="H1770" s="145"/>
      <c r="I1770" s="123"/>
    </row>
    <row r="1771" spans="3:9" x14ac:dyDescent="0.25">
      <c r="C1771" s="142"/>
      <c r="D1771" s="143"/>
      <c r="E1771" s="142"/>
      <c r="F1771" s="144"/>
      <c r="G1771" s="120"/>
      <c r="H1771" s="145"/>
      <c r="I1771" s="123"/>
    </row>
    <row r="1772" spans="3:9" x14ac:dyDescent="0.25">
      <c r="C1772" s="142"/>
      <c r="D1772" s="143"/>
      <c r="E1772" s="142"/>
      <c r="F1772" s="144"/>
      <c r="G1772" s="120"/>
      <c r="H1772" s="145"/>
      <c r="I1772" s="123"/>
    </row>
    <row r="1773" spans="3:9" x14ac:dyDescent="0.25">
      <c r="C1773" s="142"/>
      <c r="D1773" s="143"/>
      <c r="E1773" s="142"/>
      <c r="F1773" s="144"/>
      <c r="G1773" s="120"/>
      <c r="H1773" s="145"/>
      <c r="I1773" s="123"/>
    </row>
    <row r="1774" spans="3:9" x14ac:dyDescent="0.25">
      <c r="C1774" s="142"/>
      <c r="D1774" s="143"/>
      <c r="E1774" s="142"/>
      <c r="F1774" s="144"/>
      <c r="G1774" s="120"/>
      <c r="H1774" s="145"/>
      <c r="I1774" s="123"/>
    </row>
    <row r="1775" spans="3:9" x14ac:dyDescent="0.25">
      <c r="C1775" s="142"/>
      <c r="D1775" s="143"/>
      <c r="E1775" s="142"/>
      <c r="F1775" s="144"/>
      <c r="G1775" s="120"/>
      <c r="H1775" s="145"/>
      <c r="I1775" s="123"/>
    </row>
    <row r="1776" spans="3:9" x14ac:dyDescent="0.25">
      <c r="C1776" s="142"/>
      <c r="D1776" s="143"/>
      <c r="E1776" s="142"/>
      <c r="F1776" s="144"/>
      <c r="G1776" s="120"/>
      <c r="H1776" s="145"/>
      <c r="I1776" s="123"/>
    </row>
    <row r="1777" spans="1:9" x14ac:dyDescent="0.25">
      <c r="C1777" s="142"/>
      <c r="D1777" s="143"/>
      <c r="E1777" s="142"/>
      <c r="F1777" s="144"/>
      <c r="G1777" s="120"/>
      <c r="H1777" s="145"/>
      <c r="I1777" s="123"/>
    </row>
    <row r="1778" spans="1:9" s="35" customFormat="1" x14ac:dyDescent="0.25">
      <c r="A1778" s="59"/>
      <c r="B1778" s="59"/>
      <c r="C1778" s="142"/>
      <c r="D1778" s="143"/>
      <c r="E1778" s="142"/>
      <c r="F1778" s="144"/>
      <c r="G1778" s="120"/>
      <c r="H1778" s="145"/>
      <c r="I1778" s="123"/>
    </row>
    <row r="1779" spans="1:9" x14ac:dyDescent="0.25">
      <c r="C1779" s="142"/>
      <c r="D1779" s="143"/>
      <c r="E1779" s="142"/>
      <c r="F1779" s="144"/>
      <c r="G1779" s="120"/>
      <c r="H1779" s="145"/>
      <c r="I1779" s="123"/>
    </row>
    <row r="1780" spans="1:9" x14ac:dyDescent="0.25">
      <c r="C1780" s="142"/>
      <c r="D1780" s="143"/>
      <c r="E1780" s="142"/>
      <c r="F1780" s="144"/>
      <c r="G1780" s="120"/>
      <c r="H1780" s="145"/>
      <c r="I1780" s="123"/>
    </row>
    <row r="1781" spans="1:9" x14ac:dyDescent="0.25">
      <c r="C1781" s="142"/>
      <c r="D1781" s="143"/>
      <c r="E1781" s="142"/>
      <c r="F1781" s="144"/>
      <c r="G1781" s="120"/>
      <c r="H1781" s="145"/>
      <c r="I1781" s="123"/>
    </row>
    <row r="1782" spans="1:9" x14ac:dyDescent="0.25">
      <c r="C1782" s="142"/>
      <c r="D1782" s="143"/>
      <c r="E1782" s="142"/>
      <c r="F1782" s="144"/>
      <c r="G1782" s="120"/>
      <c r="H1782" s="145"/>
      <c r="I1782" s="123"/>
    </row>
    <row r="1783" spans="1:9" x14ac:dyDescent="0.25">
      <c r="C1783" s="142"/>
      <c r="D1783" s="143"/>
      <c r="E1783" s="142"/>
      <c r="F1783" s="144"/>
      <c r="G1783" s="120"/>
      <c r="H1783" s="145"/>
      <c r="I1783" s="123"/>
    </row>
    <row r="1784" spans="1:9" x14ac:dyDescent="0.25">
      <c r="C1784" s="142"/>
      <c r="D1784" s="143"/>
      <c r="E1784" s="142"/>
      <c r="F1784" s="144"/>
      <c r="G1784" s="120"/>
      <c r="H1784" s="145"/>
      <c r="I1784" s="123"/>
    </row>
    <row r="1785" spans="1:9" x14ac:dyDescent="0.25">
      <c r="C1785" s="142"/>
      <c r="D1785" s="143"/>
      <c r="E1785" s="142"/>
      <c r="F1785" s="144"/>
      <c r="G1785" s="120"/>
      <c r="H1785" s="145"/>
      <c r="I1785" s="123"/>
    </row>
    <row r="1786" spans="1:9" x14ac:dyDescent="0.25">
      <c r="C1786" s="142"/>
      <c r="D1786" s="143"/>
      <c r="E1786" s="142"/>
      <c r="F1786" s="144"/>
      <c r="G1786" s="120"/>
      <c r="H1786" s="145"/>
      <c r="I1786" s="123"/>
    </row>
    <row r="1787" spans="1:9" x14ac:dyDescent="0.25">
      <c r="C1787" s="142"/>
      <c r="D1787" s="143"/>
      <c r="E1787" s="142"/>
      <c r="F1787" s="144"/>
      <c r="G1787" s="120"/>
      <c r="H1787" s="145"/>
      <c r="I1787" s="123"/>
    </row>
    <row r="1788" spans="1:9" x14ac:dyDescent="0.25">
      <c r="C1788" s="142"/>
      <c r="D1788" s="143"/>
      <c r="E1788" s="142"/>
      <c r="F1788" s="144"/>
      <c r="G1788" s="120"/>
      <c r="H1788" s="145"/>
      <c r="I1788" s="123"/>
    </row>
    <row r="1789" spans="1:9" x14ac:dyDescent="0.25">
      <c r="C1789" s="142"/>
      <c r="D1789" s="143"/>
      <c r="E1789" s="142"/>
      <c r="F1789" s="144"/>
      <c r="G1789" s="120"/>
      <c r="H1789" s="145"/>
      <c r="I1789" s="123"/>
    </row>
    <row r="1790" spans="1:9" x14ac:dyDescent="0.25">
      <c r="C1790" s="142"/>
      <c r="D1790" s="143"/>
      <c r="E1790" s="142"/>
      <c r="F1790" s="144"/>
      <c r="G1790" s="120"/>
      <c r="H1790" s="145"/>
      <c r="I1790" s="123"/>
    </row>
    <row r="1791" spans="1:9" x14ac:dyDescent="0.25">
      <c r="C1791" s="142"/>
      <c r="D1791" s="143"/>
      <c r="E1791" s="142"/>
      <c r="F1791" s="144"/>
      <c r="G1791" s="120"/>
      <c r="H1791" s="145"/>
      <c r="I1791" s="123"/>
    </row>
    <row r="1792" spans="1:9" x14ac:dyDescent="0.25">
      <c r="C1792" s="142"/>
      <c r="D1792" s="143"/>
      <c r="E1792" s="142"/>
      <c r="F1792" s="144"/>
      <c r="G1792" s="120"/>
      <c r="H1792" s="145"/>
      <c r="I1792" s="123"/>
    </row>
    <row r="1793" spans="3:9" x14ac:dyDescent="0.25">
      <c r="C1793" s="142"/>
      <c r="D1793" s="143"/>
      <c r="E1793" s="142"/>
      <c r="F1793" s="144"/>
      <c r="G1793" s="120"/>
      <c r="H1793" s="145"/>
      <c r="I1793" s="123"/>
    </row>
    <row r="1794" spans="3:9" x14ac:dyDescent="0.25">
      <c r="C1794" s="142"/>
      <c r="D1794" s="143"/>
      <c r="E1794" s="142"/>
      <c r="F1794" s="144"/>
      <c r="G1794" s="120"/>
      <c r="H1794" s="145"/>
      <c r="I1794" s="123"/>
    </row>
    <row r="1795" spans="3:9" x14ac:dyDescent="0.25">
      <c r="C1795" s="142"/>
      <c r="D1795" s="143"/>
      <c r="E1795" s="142"/>
      <c r="F1795" s="144"/>
      <c r="G1795" s="120"/>
      <c r="H1795" s="145"/>
      <c r="I1795" s="123"/>
    </row>
    <row r="1796" spans="3:9" x14ac:dyDescent="0.25">
      <c r="C1796" s="142"/>
      <c r="D1796" s="143"/>
      <c r="E1796" s="142"/>
      <c r="F1796" s="144"/>
      <c r="G1796" s="120"/>
      <c r="H1796" s="145"/>
      <c r="I1796" s="123"/>
    </row>
    <row r="1797" spans="3:9" x14ac:dyDescent="0.25">
      <c r="C1797" s="142"/>
      <c r="D1797" s="143"/>
      <c r="E1797" s="142"/>
      <c r="F1797" s="144"/>
      <c r="G1797" s="120"/>
      <c r="H1797" s="145"/>
      <c r="I1797" s="123"/>
    </row>
    <row r="1798" spans="3:9" x14ac:dyDescent="0.25">
      <c r="C1798" s="142"/>
      <c r="D1798" s="143"/>
      <c r="E1798" s="142"/>
      <c r="F1798" s="144"/>
      <c r="G1798" s="120"/>
      <c r="H1798" s="145"/>
      <c r="I1798" s="123"/>
    </row>
    <row r="1799" spans="3:9" x14ac:dyDescent="0.25">
      <c r="C1799" s="142"/>
      <c r="D1799" s="143"/>
      <c r="E1799" s="142"/>
      <c r="F1799" s="144"/>
      <c r="G1799" s="120"/>
      <c r="H1799" s="145"/>
      <c r="I1799" s="123"/>
    </row>
    <row r="1800" spans="3:9" x14ac:dyDescent="0.25">
      <c r="C1800" s="142"/>
      <c r="D1800" s="143"/>
      <c r="E1800" s="142"/>
      <c r="F1800" s="144"/>
      <c r="G1800" s="120"/>
      <c r="H1800" s="145"/>
      <c r="I1800" s="123"/>
    </row>
    <row r="1801" spans="3:9" x14ac:dyDescent="0.25">
      <c r="C1801" s="142"/>
      <c r="D1801" s="143"/>
      <c r="E1801" s="142"/>
      <c r="F1801" s="144"/>
      <c r="G1801" s="120"/>
      <c r="H1801" s="145"/>
      <c r="I1801" s="123"/>
    </row>
    <row r="1802" spans="3:9" x14ac:dyDescent="0.25">
      <c r="C1802" s="142"/>
      <c r="D1802" s="143"/>
      <c r="E1802" s="142"/>
      <c r="F1802" s="144"/>
      <c r="G1802" s="120"/>
      <c r="H1802" s="145"/>
      <c r="I1802" s="123"/>
    </row>
    <row r="1803" spans="3:9" x14ac:dyDescent="0.25">
      <c r="C1803" s="142"/>
      <c r="D1803" s="143"/>
      <c r="E1803" s="142"/>
      <c r="F1803" s="144"/>
      <c r="G1803" s="120"/>
      <c r="H1803" s="145"/>
      <c r="I1803" s="123"/>
    </row>
    <row r="1804" spans="3:9" x14ac:dyDescent="0.25">
      <c r="C1804" s="142"/>
      <c r="D1804" s="143"/>
      <c r="E1804" s="142"/>
      <c r="F1804" s="144"/>
      <c r="G1804" s="120"/>
      <c r="H1804" s="145"/>
      <c r="I1804" s="123"/>
    </row>
    <row r="1805" spans="3:9" x14ac:dyDescent="0.25">
      <c r="C1805" s="142"/>
      <c r="D1805" s="143"/>
      <c r="E1805" s="142"/>
      <c r="F1805" s="144"/>
      <c r="G1805" s="120"/>
      <c r="H1805" s="145"/>
      <c r="I1805" s="123"/>
    </row>
    <row r="1806" spans="3:9" x14ac:dyDescent="0.25">
      <c r="C1806" s="142"/>
      <c r="D1806" s="143"/>
      <c r="E1806" s="142"/>
      <c r="F1806" s="144"/>
      <c r="G1806" s="120"/>
      <c r="H1806" s="145"/>
      <c r="I1806" s="123"/>
    </row>
    <row r="1807" spans="3:9" x14ac:dyDescent="0.25">
      <c r="C1807" s="142"/>
      <c r="D1807" s="143"/>
      <c r="E1807" s="142"/>
      <c r="F1807" s="144"/>
      <c r="G1807" s="120"/>
      <c r="H1807" s="145"/>
      <c r="I1807" s="123"/>
    </row>
    <row r="1808" spans="3:9" x14ac:dyDescent="0.25">
      <c r="C1808" s="142"/>
      <c r="D1808" s="143"/>
      <c r="E1808" s="142"/>
      <c r="F1808" s="144"/>
      <c r="G1808" s="120"/>
      <c r="H1808" s="145"/>
      <c r="I1808" s="123"/>
    </row>
    <row r="1809" spans="3:9" x14ac:dyDescent="0.25">
      <c r="C1809" s="142"/>
      <c r="D1809" s="143"/>
      <c r="E1809" s="142"/>
      <c r="F1809" s="144"/>
      <c r="G1809" s="120"/>
      <c r="H1809" s="145"/>
      <c r="I1809" s="123"/>
    </row>
    <row r="1810" spans="3:9" x14ac:dyDescent="0.25">
      <c r="C1810" s="142"/>
      <c r="D1810" s="143"/>
      <c r="E1810" s="142"/>
      <c r="F1810" s="144"/>
      <c r="G1810" s="120"/>
      <c r="H1810" s="145"/>
      <c r="I1810" s="123"/>
    </row>
    <row r="1811" spans="3:9" x14ac:dyDescent="0.25">
      <c r="C1811" s="142"/>
      <c r="D1811" s="143"/>
      <c r="E1811" s="142"/>
      <c r="F1811" s="144"/>
      <c r="G1811" s="120"/>
      <c r="H1811" s="145"/>
      <c r="I1811" s="123"/>
    </row>
    <row r="1812" spans="3:9" x14ac:dyDescent="0.25">
      <c r="C1812" s="142"/>
      <c r="D1812" s="143"/>
      <c r="E1812" s="142"/>
      <c r="F1812" s="144"/>
      <c r="G1812" s="120"/>
      <c r="H1812" s="145"/>
      <c r="I1812" s="123"/>
    </row>
    <row r="1813" spans="3:9" x14ac:dyDescent="0.25">
      <c r="C1813" s="142"/>
      <c r="D1813" s="143"/>
      <c r="E1813" s="142"/>
      <c r="F1813" s="144"/>
      <c r="G1813" s="120"/>
      <c r="H1813" s="145"/>
      <c r="I1813" s="123"/>
    </row>
    <row r="1814" spans="3:9" x14ac:dyDescent="0.25">
      <c r="C1814" s="142"/>
      <c r="D1814" s="143"/>
      <c r="E1814" s="142"/>
      <c r="F1814" s="144"/>
      <c r="G1814" s="120"/>
      <c r="H1814" s="145"/>
      <c r="I1814" s="123"/>
    </row>
    <row r="1815" spans="3:9" x14ac:dyDescent="0.25">
      <c r="C1815" s="142"/>
      <c r="D1815" s="143"/>
      <c r="E1815" s="142"/>
      <c r="F1815" s="144"/>
      <c r="G1815" s="120"/>
      <c r="H1815" s="145"/>
      <c r="I1815" s="123"/>
    </row>
    <row r="1816" spans="3:9" x14ac:dyDescent="0.25">
      <c r="C1816" s="142"/>
      <c r="D1816" s="143"/>
      <c r="E1816" s="142"/>
      <c r="F1816" s="144"/>
      <c r="G1816" s="120"/>
      <c r="H1816" s="145"/>
      <c r="I1816" s="123"/>
    </row>
    <row r="1817" spans="3:9" x14ac:dyDescent="0.25">
      <c r="C1817" s="142"/>
      <c r="D1817" s="143"/>
      <c r="E1817" s="142"/>
      <c r="F1817" s="144"/>
      <c r="G1817" s="120"/>
      <c r="H1817" s="145"/>
      <c r="I1817" s="123"/>
    </row>
    <row r="1818" spans="3:9" x14ac:dyDescent="0.25">
      <c r="C1818" s="142"/>
      <c r="D1818" s="143"/>
      <c r="E1818" s="142"/>
      <c r="F1818" s="144"/>
      <c r="G1818" s="120"/>
      <c r="H1818" s="145"/>
      <c r="I1818" s="123"/>
    </row>
    <row r="1819" spans="3:9" x14ac:dyDescent="0.25">
      <c r="C1819" s="142"/>
      <c r="D1819" s="143"/>
      <c r="E1819" s="142"/>
      <c r="F1819" s="144"/>
      <c r="G1819" s="120"/>
      <c r="H1819" s="145"/>
      <c r="I1819" s="123"/>
    </row>
    <row r="1820" spans="3:9" x14ac:dyDescent="0.25">
      <c r="C1820" s="142"/>
      <c r="D1820" s="143"/>
      <c r="E1820" s="142"/>
      <c r="F1820" s="144"/>
      <c r="G1820" s="120"/>
      <c r="H1820" s="145"/>
      <c r="I1820" s="123"/>
    </row>
    <row r="1821" spans="3:9" x14ac:dyDescent="0.25">
      <c r="C1821" s="142"/>
      <c r="D1821" s="143"/>
      <c r="E1821" s="142"/>
      <c r="F1821" s="144"/>
      <c r="G1821" s="120"/>
      <c r="H1821" s="145"/>
      <c r="I1821" s="123"/>
    </row>
    <row r="1822" spans="3:9" x14ac:dyDescent="0.25">
      <c r="C1822" s="142"/>
      <c r="D1822" s="143"/>
      <c r="E1822" s="142"/>
      <c r="F1822" s="144"/>
      <c r="G1822" s="120"/>
      <c r="H1822" s="145"/>
      <c r="I1822" s="123"/>
    </row>
    <row r="1823" spans="3:9" x14ac:dyDescent="0.25">
      <c r="C1823" s="142"/>
      <c r="D1823" s="143"/>
      <c r="E1823" s="142"/>
      <c r="F1823" s="144"/>
      <c r="G1823" s="120"/>
      <c r="H1823" s="145"/>
      <c r="I1823" s="123"/>
    </row>
    <row r="1824" spans="3:9" x14ac:dyDescent="0.25">
      <c r="C1824" s="142"/>
      <c r="D1824" s="143"/>
      <c r="E1824" s="142"/>
      <c r="F1824" s="144"/>
      <c r="G1824" s="120"/>
      <c r="H1824" s="145"/>
      <c r="I1824" s="123"/>
    </row>
    <row r="1825" spans="3:9" x14ac:dyDescent="0.25">
      <c r="C1825" s="142"/>
      <c r="D1825" s="143"/>
      <c r="E1825" s="142"/>
      <c r="F1825" s="144"/>
      <c r="G1825" s="120"/>
      <c r="H1825" s="145"/>
      <c r="I1825" s="123"/>
    </row>
    <row r="1826" spans="3:9" x14ac:dyDescent="0.25">
      <c r="C1826" s="142"/>
      <c r="D1826" s="143"/>
      <c r="E1826" s="142"/>
      <c r="F1826" s="144"/>
      <c r="G1826" s="120"/>
      <c r="H1826" s="145"/>
      <c r="I1826" s="123"/>
    </row>
    <row r="1827" spans="3:9" x14ac:dyDescent="0.25">
      <c r="C1827" s="142"/>
      <c r="D1827" s="143"/>
      <c r="E1827" s="142"/>
      <c r="F1827" s="144"/>
      <c r="G1827" s="120"/>
      <c r="H1827" s="145"/>
      <c r="I1827" s="123"/>
    </row>
    <row r="1828" spans="3:9" x14ac:dyDescent="0.25">
      <c r="C1828" s="142"/>
      <c r="D1828" s="143"/>
      <c r="E1828" s="142"/>
      <c r="F1828" s="144"/>
      <c r="G1828" s="120"/>
      <c r="H1828" s="145"/>
      <c r="I1828" s="123"/>
    </row>
    <row r="1829" spans="3:9" x14ac:dyDescent="0.25">
      <c r="C1829" s="142"/>
      <c r="D1829" s="143"/>
      <c r="E1829" s="142"/>
      <c r="F1829" s="144"/>
      <c r="G1829" s="120"/>
      <c r="H1829" s="145"/>
      <c r="I1829" s="123"/>
    </row>
    <row r="1830" spans="3:9" x14ac:dyDescent="0.25">
      <c r="C1830" s="142"/>
      <c r="D1830" s="143"/>
      <c r="E1830" s="142"/>
      <c r="F1830" s="144"/>
      <c r="G1830" s="120"/>
      <c r="H1830" s="145"/>
      <c r="I1830" s="123"/>
    </row>
    <row r="1831" spans="3:9" x14ac:dyDescent="0.25">
      <c r="C1831" s="142"/>
      <c r="D1831" s="143"/>
      <c r="E1831" s="142"/>
      <c r="F1831" s="144"/>
      <c r="G1831" s="120"/>
      <c r="H1831" s="145"/>
      <c r="I1831" s="123"/>
    </row>
    <row r="1832" spans="3:9" x14ac:dyDescent="0.25">
      <c r="C1832" s="142"/>
      <c r="D1832" s="143"/>
      <c r="E1832" s="142"/>
      <c r="F1832" s="144"/>
      <c r="G1832" s="120"/>
      <c r="H1832" s="145"/>
      <c r="I1832" s="123"/>
    </row>
    <row r="1833" spans="3:9" x14ac:dyDescent="0.25">
      <c r="C1833" s="142"/>
      <c r="D1833" s="143"/>
      <c r="E1833" s="142"/>
      <c r="F1833" s="144"/>
      <c r="G1833" s="120"/>
      <c r="H1833" s="145"/>
      <c r="I1833" s="123"/>
    </row>
    <row r="1834" spans="3:9" x14ac:dyDescent="0.25">
      <c r="C1834" s="142"/>
      <c r="D1834" s="143"/>
      <c r="E1834" s="142"/>
      <c r="F1834" s="144"/>
      <c r="G1834" s="120"/>
      <c r="H1834" s="145"/>
      <c r="I1834" s="123"/>
    </row>
    <row r="1835" spans="3:9" x14ac:dyDescent="0.25">
      <c r="C1835" s="142"/>
      <c r="D1835" s="143"/>
      <c r="E1835" s="142"/>
      <c r="F1835" s="144"/>
      <c r="G1835" s="120"/>
      <c r="H1835" s="145"/>
      <c r="I1835" s="123"/>
    </row>
    <row r="1836" spans="3:9" x14ac:dyDescent="0.25">
      <c r="C1836" s="142"/>
      <c r="D1836" s="143"/>
      <c r="E1836" s="142"/>
      <c r="F1836" s="144"/>
      <c r="G1836" s="120"/>
      <c r="H1836" s="145"/>
      <c r="I1836" s="123"/>
    </row>
    <row r="1837" spans="3:9" x14ac:dyDescent="0.25">
      <c r="C1837" s="142"/>
      <c r="D1837" s="143"/>
      <c r="E1837" s="142"/>
      <c r="F1837" s="144"/>
      <c r="G1837" s="120"/>
      <c r="H1837" s="145"/>
      <c r="I1837" s="123"/>
    </row>
    <row r="1838" spans="3:9" x14ac:dyDescent="0.25">
      <c r="C1838" s="142"/>
      <c r="D1838" s="143"/>
      <c r="E1838" s="142"/>
      <c r="F1838" s="144"/>
      <c r="G1838" s="120"/>
      <c r="H1838" s="145"/>
      <c r="I1838" s="123"/>
    </row>
    <row r="1839" spans="3:9" x14ac:dyDescent="0.25">
      <c r="C1839" s="142"/>
      <c r="D1839" s="143"/>
      <c r="E1839" s="142"/>
      <c r="F1839" s="144"/>
      <c r="G1839" s="120"/>
      <c r="H1839" s="145"/>
      <c r="I1839" s="123"/>
    </row>
    <row r="1840" spans="3:9" x14ac:dyDescent="0.25">
      <c r="C1840" s="142"/>
      <c r="D1840" s="143"/>
      <c r="E1840" s="142"/>
      <c r="F1840" s="144"/>
      <c r="G1840" s="120"/>
      <c r="H1840" s="145"/>
      <c r="I1840" s="123"/>
    </row>
    <row r="1841" spans="1:9" x14ac:dyDescent="0.25">
      <c r="C1841" s="142"/>
      <c r="D1841" s="143"/>
      <c r="E1841" s="142"/>
      <c r="F1841" s="144"/>
      <c r="G1841" s="120"/>
      <c r="H1841" s="145"/>
      <c r="I1841" s="123"/>
    </row>
    <row r="1842" spans="1:9" x14ac:dyDescent="0.25">
      <c r="C1842" s="142"/>
      <c r="D1842" s="143"/>
      <c r="E1842" s="142"/>
      <c r="F1842" s="144"/>
      <c r="G1842" s="120"/>
      <c r="H1842" s="145"/>
      <c r="I1842" s="123"/>
    </row>
    <row r="1843" spans="1:9" x14ac:dyDescent="0.25">
      <c r="C1843" s="142"/>
      <c r="D1843" s="143"/>
      <c r="E1843" s="142"/>
      <c r="F1843" s="144"/>
      <c r="G1843" s="120"/>
      <c r="H1843" s="145"/>
      <c r="I1843" s="123"/>
    </row>
    <row r="1844" spans="1:9" x14ac:dyDescent="0.25">
      <c r="C1844" s="142"/>
      <c r="D1844" s="143"/>
      <c r="E1844" s="142"/>
      <c r="F1844" s="144"/>
      <c r="G1844" s="120"/>
      <c r="H1844" s="145"/>
      <c r="I1844" s="123"/>
    </row>
    <row r="1845" spans="1:9" x14ac:dyDescent="0.25">
      <c r="C1845" s="142"/>
      <c r="D1845" s="143"/>
      <c r="E1845" s="142"/>
      <c r="F1845" s="144"/>
      <c r="G1845" s="120"/>
      <c r="H1845" s="145"/>
      <c r="I1845" s="123"/>
    </row>
    <row r="1846" spans="1:9" x14ac:dyDescent="0.25">
      <c r="C1846" s="142"/>
      <c r="D1846" s="143"/>
      <c r="E1846" s="142"/>
      <c r="F1846" s="144"/>
      <c r="G1846" s="120"/>
      <c r="H1846" s="145"/>
      <c r="I1846" s="123"/>
    </row>
    <row r="1847" spans="1:9" x14ac:dyDescent="0.25">
      <c r="C1847" s="142"/>
      <c r="D1847" s="143"/>
      <c r="E1847" s="142"/>
      <c r="F1847" s="144"/>
      <c r="G1847" s="120"/>
      <c r="H1847" s="145"/>
      <c r="I1847" s="123"/>
    </row>
    <row r="1848" spans="1:9" x14ac:dyDescent="0.25">
      <c r="C1848" s="142"/>
      <c r="D1848" s="143"/>
      <c r="E1848" s="142"/>
      <c r="F1848" s="144"/>
      <c r="G1848" s="120"/>
      <c r="H1848" s="145"/>
      <c r="I1848" s="123"/>
    </row>
    <row r="1849" spans="1:9" x14ac:dyDescent="0.25">
      <c r="C1849" s="142"/>
      <c r="D1849" s="143"/>
      <c r="E1849" s="142"/>
      <c r="F1849" s="144"/>
      <c r="G1849" s="120"/>
      <c r="H1849" s="145"/>
      <c r="I1849" s="123"/>
    </row>
    <row r="1850" spans="1:9" s="36" customFormat="1" x14ac:dyDescent="0.25">
      <c r="A1850" s="59"/>
      <c r="B1850" s="59"/>
      <c r="C1850" s="142"/>
      <c r="D1850" s="143"/>
      <c r="E1850" s="142"/>
      <c r="F1850" s="144"/>
      <c r="G1850" s="120"/>
      <c r="H1850" s="145"/>
      <c r="I1850" s="123"/>
    </row>
    <row r="1851" spans="1:9" x14ac:dyDescent="0.25">
      <c r="C1851" s="142"/>
      <c r="D1851" s="143"/>
      <c r="E1851" s="142"/>
      <c r="F1851" s="144"/>
      <c r="G1851" s="120"/>
      <c r="H1851" s="145"/>
      <c r="I1851" s="123"/>
    </row>
    <row r="1852" spans="1:9" x14ac:dyDescent="0.25">
      <c r="C1852" s="142"/>
      <c r="D1852" s="143"/>
      <c r="E1852" s="142"/>
      <c r="F1852" s="144"/>
      <c r="G1852" s="120"/>
      <c r="H1852" s="145"/>
      <c r="I1852" s="123"/>
    </row>
    <row r="1853" spans="1:9" x14ac:dyDescent="0.25">
      <c r="C1853" s="142"/>
      <c r="D1853" s="143"/>
      <c r="E1853" s="142"/>
      <c r="F1853" s="144"/>
      <c r="G1853" s="120"/>
      <c r="H1853" s="145"/>
      <c r="I1853" s="123"/>
    </row>
    <row r="1854" spans="1:9" x14ac:dyDescent="0.25">
      <c r="C1854" s="142"/>
      <c r="D1854" s="143"/>
      <c r="E1854" s="142"/>
      <c r="F1854" s="144"/>
      <c r="G1854" s="120"/>
      <c r="H1854" s="145"/>
      <c r="I1854" s="123"/>
    </row>
    <row r="1855" spans="1:9" x14ac:dyDescent="0.25">
      <c r="C1855" s="142"/>
      <c r="D1855" s="143"/>
      <c r="E1855" s="142"/>
      <c r="F1855" s="144"/>
      <c r="G1855" s="120"/>
      <c r="H1855" s="145"/>
      <c r="I1855" s="123"/>
    </row>
    <row r="1856" spans="1:9" x14ac:dyDescent="0.25">
      <c r="C1856" s="142"/>
      <c r="D1856" s="143"/>
      <c r="E1856" s="142"/>
      <c r="F1856" s="144"/>
      <c r="G1856" s="120"/>
      <c r="H1856" s="145"/>
      <c r="I1856" s="123"/>
    </row>
    <row r="1857" spans="3:9" x14ac:dyDescent="0.25">
      <c r="C1857" s="142"/>
      <c r="D1857" s="143"/>
      <c r="E1857" s="142"/>
      <c r="F1857" s="144"/>
      <c r="G1857" s="120"/>
      <c r="H1857" s="145"/>
      <c r="I1857" s="123"/>
    </row>
    <row r="1858" spans="3:9" x14ac:dyDescent="0.25">
      <c r="C1858" s="142"/>
      <c r="D1858" s="143"/>
      <c r="E1858" s="142"/>
      <c r="F1858" s="144"/>
      <c r="G1858" s="120"/>
      <c r="H1858" s="145"/>
      <c r="I1858" s="123"/>
    </row>
    <row r="1859" spans="3:9" x14ac:dyDescent="0.25">
      <c r="C1859" s="142"/>
      <c r="D1859" s="143"/>
      <c r="E1859" s="142"/>
      <c r="F1859" s="144"/>
      <c r="G1859" s="120"/>
      <c r="H1859" s="145"/>
      <c r="I1859" s="123"/>
    </row>
    <row r="1860" spans="3:9" x14ac:dyDescent="0.25">
      <c r="C1860" s="142"/>
      <c r="D1860" s="143"/>
      <c r="E1860" s="142"/>
      <c r="F1860" s="144"/>
      <c r="G1860" s="120"/>
      <c r="H1860" s="145"/>
      <c r="I1860" s="123"/>
    </row>
    <row r="1861" spans="3:9" x14ac:dyDescent="0.25">
      <c r="C1861" s="142"/>
      <c r="D1861" s="143"/>
      <c r="E1861" s="142"/>
      <c r="F1861" s="144"/>
      <c r="G1861" s="120"/>
      <c r="H1861" s="145"/>
      <c r="I1861" s="123"/>
    </row>
    <row r="1862" spans="3:9" x14ac:dyDescent="0.25">
      <c r="C1862" s="142"/>
      <c r="D1862" s="143"/>
      <c r="E1862" s="142"/>
      <c r="F1862" s="144"/>
      <c r="G1862" s="120"/>
      <c r="H1862" s="145"/>
      <c r="I1862" s="123"/>
    </row>
    <row r="1863" spans="3:9" x14ac:dyDescent="0.25">
      <c r="C1863" s="142"/>
      <c r="D1863" s="143"/>
      <c r="E1863" s="142"/>
      <c r="F1863" s="144"/>
      <c r="G1863" s="120"/>
      <c r="H1863" s="145"/>
      <c r="I1863" s="123"/>
    </row>
    <row r="1864" spans="3:9" x14ac:dyDescent="0.25">
      <c r="C1864" s="142"/>
      <c r="D1864" s="143"/>
      <c r="E1864" s="142"/>
      <c r="F1864" s="144"/>
      <c r="G1864" s="120"/>
      <c r="H1864" s="145"/>
      <c r="I1864" s="123"/>
    </row>
    <row r="1865" spans="3:9" x14ac:dyDescent="0.25">
      <c r="C1865" s="142"/>
      <c r="D1865" s="143"/>
      <c r="E1865" s="142"/>
      <c r="F1865" s="144"/>
      <c r="G1865" s="120"/>
      <c r="H1865" s="145"/>
      <c r="I1865" s="123"/>
    </row>
    <row r="1866" spans="3:9" x14ac:dyDescent="0.25">
      <c r="C1866" s="142"/>
      <c r="D1866" s="143"/>
      <c r="E1866" s="142"/>
      <c r="F1866" s="144"/>
      <c r="G1866" s="120"/>
      <c r="H1866" s="145"/>
      <c r="I1866" s="123"/>
    </row>
    <row r="1867" spans="3:9" x14ac:dyDescent="0.25">
      <c r="C1867" s="142"/>
      <c r="D1867" s="143"/>
      <c r="E1867" s="142"/>
      <c r="F1867" s="144"/>
      <c r="G1867" s="120"/>
      <c r="H1867" s="145"/>
      <c r="I1867" s="123"/>
    </row>
    <row r="1868" spans="3:9" x14ac:dyDescent="0.25">
      <c r="C1868" s="142"/>
      <c r="D1868" s="143"/>
      <c r="E1868" s="142"/>
      <c r="F1868" s="144"/>
      <c r="G1868" s="120"/>
      <c r="H1868" s="145"/>
      <c r="I1868" s="123"/>
    </row>
    <row r="1869" spans="3:9" x14ac:dyDescent="0.25">
      <c r="C1869" s="142"/>
      <c r="D1869" s="143"/>
      <c r="E1869" s="142"/>
      <c r="F1869" s="144"/>
      <c r="G1869" s="120"/>
      <c r="H1869" s="145"/>
      <c r="I1869" s="123"/>
    </row>
    <row r="1870" spans="3:9" x14ac:dyDescent="0.25">
      <c r="C1870" s="142"/>
      <c r="D1870" s="143"/>
      <c r="E1870" s="142"/>
      <c r="F1870" s="144"/>
      <c r="G1870" s="120"/>
      <c r="H1870" s="145"/>
      <c r="I1870" s="123"/>
    </row>
    <row r="1871" spans="3:9" x14ac:dyDescent="0.25">
      <c r="C1871" s="142"/>
      <c r="D1871" s="143"/>
      <c r="E1871" s="142"/>
      <c r="F1871" s="144"/>
      <c r="G1871" s="120"/>
      <c r="H1871" s="145"/>
      <c r="I1871" s="123"/>
    </row>
    <row r="1872" spans="3:9" x14ac:dyDescent="0.25">
      <c r="C1872" s="142"/>
      <c r="D1872" s="143"/>
      <c r="E1872" s="142"/>
      <c r="F1872" s="144"/>
      <c r="G1872" s="120"/>
      <c r="H1872" s="145"/>
      <c r="I1872" s="123"/>
    </row>
    <row r="1873" spans="3:9" x14ac:dyDescent="0.25">
      <c r="C1873" s="142"/>
      <c r="D1873" s="143"/>
      <c r="E1873" s="142"/>
      <c r="F1873" s="144"/>
      <c r="G1873" s="120"/>
      <c r="H1873" s="145"/>
      <c r="I1873" s="123"/>
    </row>
    <row r="1874" spans="3:9" x14ac:dyDescent="0.25">
      <c r="C1874" s="142"/>
      <c r="D1874" s="143"/>
      <c r="E1874" s="142"/>
      <c r="F1874" s="144"/>
      <c r="G1874" s="120"/>
      <c r="H1874" s="145"/>
      <c r="I1874" s="123"/>
    </row>
    <row r="1875" spans="3:9" x14ac:dyDescent="0.25">
      <c r="C1875" s="142"/>
      <c r="D1875" s="143"/>
      <c r="E1875" s="142"/>
      <c r="F1875" s="144"/>
      <c r="G1875" s="120"/>
      <c r="H1875" s="145"/>
      <c r="I1875" s="123"/>
    </row>
    <row r="1876" spans="3:9" x14ac:dyDescent="0.25">
      <c r="C1876" s="142"/>
      <c r="D1876" s="143"/>
      <c r="E1876" s="142"/>
      <c r="F1876" s="144"/>
      <c r="G1876" s="120"/>
      <c r="H1876" s="145"/>
      <c r="I1876" s="123"/>
    </row>
    <row r="1877" spans="3:9" x14ac:dyDescent="0.25">
      <c r="C1877" s="142"/>
      <c r="D1877" s="143"/>
      <c r="E1877" s="142"/>
      <c r="F1877" s="144"/>
      <c r="G1877" s="120"/>
      <c r="H1877" s="145"/>
      <c r="I1877" s="123"/>
    </row>
    <row r="1878" spans="3:9" x14ac:dyDescent="0.25">
      <c r="C1878" s="142"/>
      <c r="D1878" s="143"/>
      <c r="E1878" s="142"/>
      <c r="F1878" s="144"/>
      <c r="G1878" s="120"/>
      <c r="H1878" s="145"/>
      <c r="I1878" s="123"/>
    </row>
    <row r="1879" spans="3:9" x14ac:dyDescent="0.25">
      <c r="C1879" s="142"/>
      <c r="D1879" s="143"/>
      <c r="E1879" s="142"/>
      <c r="F1879" s="144"/>
      <c r="G1879" s="120"/>
      <c r="H1879" s="145"/>
      <c r="I1879" s="123"/>
    </row>
    <row r="1880" spans="3:9" x14ac:dyDescent="0.25">
      <c r="C1880" s="142"/>
      <c r="D1880" s="143"/>
      <c r="E1880" s="142"/>
      <c r="F1880" s="144"/>
      <c r="G1880" s="120"/>
      <c r="H1880" s="145"/>
      <c r="I1880" s="123"/>
    </row>
    <row r="1881" spans="3:9" x14ac:dyDescent="0.25">
      <c r="C1881" s="142"/>
      <c r="D1881" s="143"/>
      <c r="E1881" s="142"/>
      <c r="F1881" s="144"/>
      <c r="G1881" s="120"/>
      <c r="H1881" s="145"/>
      <c r="I1881" s="123"/>
    </row>
    <row r="1882" spans="3:9" x14ac:dyDescent="0.25">
      <c r="C1882" s="142"/>
      <c r="D1882" s="143"/>
      <c r="E1882" s="142"/>
      <c r="F1882" s="144"/>
      <c r="G1882" s="120"/>
      <c r="H1882" s="145"/>
      <c r="I1882" s="123"/>
    </row>
    <row r="1883" spans="3:9" x14ac:dyDescent="0.25">
      <c r="C1883" s="142"/>
      <c r="D1883" s="143"/>
      <c r="E1883" s="142"/>
      <c r="F1883" s="144"/>
      <c r="G1883" s="120"/>
      <c r="H1883" s="145"/>
      <c r="I1883" s="123"/>
    </row>
    <row r="1884" spans="3:9" x14ac:dyDescent="0.25">
      <c r="C1884" s="142"/>
      <c r="D1884" s="143"/>
      <c r="E1884" s="142"/>
      <c r="F1884" s="144"/>
      <c r="G1884" s="120"/>
      <c r="H1884" s="145"/>
      <c r="I1884" s="123"/>
    </row>
    <row r="1885" spans="3:9" x14ac:dyDescent="0.25">
      <c r="C1885" s="142"/>
      <c r="D1885" s="143"/>
      <c r="E1885" s="142"/>
      <c r="F1885" s="144"/>
      <c r="G1885" s="120"/>
      <c r="H1885" s="145"/>
      <c r="I1885" s="123"/>
    </row>
    <row r="1886" spans="3:9" x14ac:dyDescent="0.25">
      <c r="C1886" s="142"/>
      <c r="D1886" s="143"/>
      <c r="E1886" s="142"/>
      <c r="F1886" s="144"/>
      <c r="G1886" s="120"/>
      <c r="H1886" s="145"/>
      <c r="I1886" s="123"/>
    </row>
    <row r="1887" spans="3:9" x14ac:dyDescent="0.25">
      <c r="C1887" s="142"/>
      <c r="D1887" s="143"/>
      <c r="E1887" s="142"/>
      <c r="F1887" s="144"/>
      <c r="G1887" s="120"/>
      <c r="H1887" s="145"/>
      <c r="I1887" s="123"/>
    </row>
    <row r="1888" spans="3:9" x14ac:dyDescent="0.25">
      <c r="C1888" s="142"/>
      <c r="D1888" s="143"/>
      <c r="E1888" s="142"/>
      <c r="F1888" s="144"/>
      <c r="G1888" s="120"/>
      <c r="H1888" s="145"/>
      <c r="I1888" s="123"/>
    </row>
    <row r="1889" spans="3:9" x14ac:dyDescent="0.25">
      <c r="C1889" s="142"/>
      <c r="D1889" s="143"/>
      <c r="E1889" s="142"/>
      <c r="F1889" s="144"/>
      <c r="G1889" s="120"/>
      <c r="H1889" s="145"/>
      <c r="I1889" s="123"/>
    </row>
    <row r="1890" spans="3:9" x14ac:dyDescent="0.25">
      <c r="C1890" s="142"/>
      <c r="D1890" s="143"/>
      <c r="E1890" s="142"/>
      <c r="F1890" s="144"/>
      <c r="G1890" s="120"/>
      <c r="H1890" s="145"/>
      <c r="I1890" s="123"/>
    </row>
    <row r="1891" spans="3:9" x14ac:dyDescent="0.25">
      <c r="C1891" s="142"/>
      <c r="D1891" s="143"/>
      <c r="E1891" s="142"/>
      <c r="F1891" s="144"/>
      <c r="G1891" s="120"/>
      <c r="H1891" s="145"/>
      <c r="I1891" s="123"/>
    </row>
    <row r="1892" spans="3:9" x14ac:dyDescent="0.25">
      <c r="C1892" s="142"/>
      <c r="D1892" s="143"/>
      <c r="E1892" s="142"/>
      <c r="F1892" s="144"/>
      <c r="G1892" s="120"/>
      <c r="H1892" s="145"/>
      <c r="I1892" s="123"/>
    </row>
    <row r="1893" spans="3:9" x14ac:dyDescent="0.25">
      <c r="C1893" s="142"/>
      <c r="D1893" s="143"/>
      <c r="E1893" s="142"/>
      <c r="F1893" s="144"/>
      <c r="G1893" s="120"/>
      <c r="H1893" s="145"/>
      <c r="I1893" s="123"/>
    </row>
    <row r="1894" spans="3:9" x14ac:dyDescent="0.25">
      <c r="C1894" s="142"/>
      <c r="D1894" s="143"/>
      <c r="E1894" s="142"/>
      <c r="F1894" s="144"/>
      <c r="G1894" s="120"/>
      <c r="H1894" s="145"/>
      <c r="I1894" s="123"/>
    </row>
    <row r="1895" spans="3:9" x14ac:dyDescent="0.25">
      <c r="C1895" s="142"/>
      <c r="D1895" s="143"/>
      <c r="E1895" s="142"/>
      <c r="F1895" s="144"/>
      <c r="G1895" s="120"/>
      <c r="H1895" s="145"/>
      <c r="I1895" s="123"/>
    </row>
    <row r="1896" spans="3:9" x14ac:dyDescent="0.25">
      <c r="C1896" s="142"/>
      <c r="D1896" s="143"/>
      <c r="E1896" s="142"/>
      <c r="F1896" s="144"/>
      <c r="G1896" s="120"/>
      <c r="H1896" s="145"/>
      <c r="I1896" s="123"/>
    </row>
    <row r="1897" spans="3:9" x14ac:dyDescent="0.25">
      <c r="C1897" s="142"/>
      <c r="D1897" s="143"/>
      <c r="E1897" s="142"/>
      <c r="F1897" s="144"/>
      <c r="G1897" s="120"/>
      <c r="H1897" s="145"/>
      <c r="I1897" s="123"/>
    </row>
    <row r="1898" spans="3:9" x14ac:dyDescent="0.25">
      <c r="C1898" s="142"/>
      <c r="D1898" s="143"/>
      <c r="E1898" s="142"/>
      <c r="F1898" s="144"/>
      <c r="G1898" s="120"/>
      <c r="H1898" s="145"/>
      <c r="I1898" s="123"/>
    </row>
    <row r="1899" spans="3:9" x14ac:dyDescent="0.25">
      <c r="C1899" s="142"/>
      <c r="D1899" s="143"/>
      <c r="E1899" s="142"/>
      <c r="F1899" s="144"/>
      <c r="G1899" s="120"/>
      <c r="H1899" s="145"/>
      <c r="I1899" s="123"/>
    </row>
    <row r="1900" spans="3:9" x14ac:dyDescent="0.25">
      <c r="C1900" s="142"/>
      <c r="D1900" s="143"/>
      <c r="E1900" s="142"/>
      <c r="F1900" s="144"/>
      <c r="G1900" s="120"/>
      <c r="H1900" s="145"/>
      <c r="I1900" s="123"/>
    </row>
    <row r="1901" spans="3:9" x14ac:dyDescent="0.25">
      <c r="C1901" s="142"/>
      <c r="D1901" s="143"/>
      <c r="E1901" s="142"/>
      <c r="F1901" s="144"/>
      <c r="G1901" s="120"/>
      <c r="H1901" s="145"/>
      <c r="I1901" s="123"/>
    </row>
    <row r="1902" spans="3:9" x14ac:dyDescent="0.25">
      <c r="C1902" s="142"/>
      <c r="D1902" s="143"/>
      <c r="E1902" s="142"/>
      <c r="F1902" s="144"/>
      <c r="G1902" s="120"/>
      <c r="H1902" s="145"/>
      <c r="I1902" s="123"/>
    </row>
    <row r="1903" spans="3:9" x14ac:dyDescent="0.25">
      <c r="C1903" s="142"/>
      <c r="D1903" s="143"/>
      <c r="E1903" s="142"/>
      <c r="F1903" s="144"/>
      <c r="G1903" s="120"/>
      <c r="H1903" s="145"/>
      <c r="I1903" s="123"/>
    </row>
    <row r="1904" spans="3:9" x14ac:dyDescent="0.25">
      <c r="C1904" s="142"/>
      <c r="D1904" s="143"/>
      <c r="E1904" s="142"/>
      <c r="F1904" s="144"/>
      <c r="G1904" s="120"/>
      <c r="H1904" s="145"/>
      <c r="I1904" s="123"/>
    </row>
    <row r="1905" spans="3:9" x14ac:dyDescent="0.25">
      <c r="C1905" s="142"/>
      <c r="D1905" s="143"/>
      <c r="E1905" s="142"/>
      <c r="F1905" s="144"/>
      <c r="G1905" s="120"/>
      <c r="H1905" s="145"/>
      <c r="I1905" s="123"/>
    </row>
    <row r="1906" spans="3:9" x14ac:dyDescent="0.25">
      <c r="C1906" s="142"/>
      <c r="D1906" s="143"/>
      <c r="E1906" s="142"/>
      <c r="F1906" s="144"/>
      <c r="G1906" s="120"/>
      <c r="H1906" s="145"/>
      <c r="I1906" s="123"/>
    </row>
    <row r="1907" spans="3:9" x14ac:dyDescent="0.25">
      <c r="C1907" s="142"/>
      <c r="D1907" s="143"/>
      <c r="E1907" s="142"/>
      <c r="F1907" s="144"/>
      <c r="G1907" s="120"/>
      <c r="H1907" s="145"/>
      <c r="I1907" s="123"/>
    </row>
    <row r="1908" spans="3:9" x14ac:dyDescent="0.25">
      <c r="C1908" s="142"/>
      <c r="D1908" s="143"/>
      <c r="E1908" s="142"/>
      <c r="F1908" s="144"/>
      <c r="G1908" s="120"/>
      <c r="H1908" s="145"/>
      <c r="I1908" s="123"/>
    </row>
    <row r="1909" spans="3:9" x14ac:dyDescent="0.25">
      <c r="C1909" s="142"/>
      <c r="D1909" s="143"/>
      <c r="E1909" s="142"/>
      <c r="F1909" s="144"/>
      <c r="G1909" s="120"/>
      <c r="H1909" s="145"/>
      <c r="I1909" s="123"/>
    </row>
    <row r="1910" spans="3:9" x14ac:dyDescent="0.25">
      <c r="C1910" s="142"/>
      <c r="D1910" s="143"/>
      <c r="E1910" s="142"/>
      <c r="F1910" s="144"/>
      <c r="G1910" s="120"/>
      <c r="H1910" s="145"/>
      <c r="I1910" s="123"/>
    </row>
    <row r="1911" spans="3:9" x14ac:dyDescent="0.25">
      <c r="C1911" s="142"/>
      <c r="D1911" s="143"/>
      <c r="E1911" s="142"/>
      <c r="F1911" s="144"/>
      <c r="G1911" s="120"/>
      <c r="H1911" s="145"/>
      <c r="I1911" s="123"/>
    </row>
    <row r="1912" spans="3:9" x14ac:dyDescent="0.25">
      <c r="C1912" s="142"/>
      <c r="D1912" s="143"/>
      <c r="E1912" s="142"/>
      <c r="F1912" s="144"/>
      <c r="G1912" s="120"/>
      <c r="H1912" s="145"/>
      <c r="I1912" s="123"/>
    </row>
    <row r="1913" spans="3:9" x14ac:dyDescent="0.25">
      <c r="C1913" s="142"/>
      <c r="D1913" s="143"/>
      <c r="E1913" s="142"/>
      <c r="F1913" s="144"/>
      <c r="G1913" s="120"/>
      <c r="H1913" s="145"/>
      <c r="I1913" s="123"/>
    </row>
    <row r="1914" spans="3:9" x14ac:dyDescent="0.25">
      <c r="C1914" s="142"/>
      <c r="D1914" s="143"/>
      <c r="E1914" s="142"/>
      <c r="F1914" s="144"/>
      <c r="G1914" s="120"/>
      <c r="H1914" s="145"/>
      <c r="I1914" s="123"/>
    </row>
    <row r="1915" spans="3:9" x14ac:dyDescent="0.25">
      <c r="C1915" s="142"/>
      <c r="D1915" s="143"/>
      <c r="E1915" s="142"/>
      <c r="F1915" s="144"/>
      <c r="G1915" s="120"/>
      <c r="H1915" s="145"/>
      <c r="I1915" s="123"/>
    </row>
    <row r="1916" spans="3:9" x14ac:dyDescent="0.25">
      <c r="C1916" s="142"/>
      <c r="D1916" s="143"/>
      <c r="E1916" s="142"/>
      <c r="F1916" s="144"/>
      <c r="G1916" s="120"/>
      <c r="H1916" s="145"/>
      <c r="I1916" s="123"/>
    </row>
    <row r="1917" spans="3:9" x14ac:dyDescent="0.25">
      <c r="C1917" s="142"/>
      <c r="D1917" s="143"/>
      <c r="E1917" s="142"/>
      <c r="F1917" s="144"/>
      <c r="G1917" s="120"/>
      <c r="H1917" s="145"/>
      <c r="I1917" s="123"/>
    </row>
    <row r="1918" spans="3:9" x14ac:dyDescent="0.25">
      <c r="C1918" s="142"/>
      <c r="D1918" s="143"/>
      <c r="E1918" s="142"/>
      <c r="F1918" s="144"/>
      <c r="G1918" s="120"/>
      <c r="H1918" s="145"/>
      <c r="I1918" s="123"/>
    </row>
    <row r="1919" spans="3:9" x14ac:dyDescent="0.25">
      <c r="C1919" s="142"/>
      <c r="D1919" s="143"/>
      <c r="E1919" s="142"/>
      <c r="F1919" s="144"/>
      <c r="G1919" s="120"/>
      <c r="H1919" s="145"/>
      <c r="I1919" s="123"/>
    </row>
    <row r="1920" spans="3:9" x14ac:dyDescent="0.25">
      <c r="C1920" s="142"/>
      <c r="D1920" s="143"/>
      <c r="E1920" s="142"/>
      <c r="F1920" s="144"/>
      <c r="G1920" s="120"/>
      <c r="H1920" s="145"/>
      <c r="I1920" s="123"/>
    </row>
    <row r="1921" spans="3:9" x14ac:dyDescent="0.25">
      <c r="C1921" s="142"/>
      <c r="D1921" s="143"/>
      <c r="E1921" s="142"/>
      <c r="F1921" s="144"/>
      <c r="G1921" s="120"/>
      <c r="H1921" s="145"/>
      <c r="I1921" s="123"/>
    </row>
    <row r="1922" spans="3:9" x14ac:dyDescent="0.25">
      <c r="C1922" s="142"/>
      <c r="D1922" s="143"/>
      <c r="E1922" s="142"/>
      <c r="F1922" s="144"/>
      <c r="G1922" s="120"/>
      <c r="H1922" s="145"/>
      <c r="I1922" s="123"/>
    </row>
    <row r="1923" spans="3:9" x14ac:dyDescent="0.25">
      <c r="C1923" s="142"/>
      <c r="D1923" s="143"/>
      <c r="E1923" s="142"/>
      <c r="F1923" s="144"/>
      <c r="G1923" s="120"/>
      <c r="H1923" s="145"/>
      <c r="I1923" s="123"/>
    </row>
    <row r="1924" spans="3:9" x14ac:dyDescent="0.25">
      <c r="C1924" s="142"/>
      <c r="D1924" s="143"/>
      <c r="E1924" s="142"/>
      <c r="F1924" s="144"/>
      <c r="G1924" s="120"/>
      <c r="H1924" s="145"/>
      <c r="I1924" s="123"/>
    </row>
    <row r="1925" spans="3:9" x14ac:dyDescent="0.25">
      <c r="C1925" s="142"/>
      <c r="D1925" s="143"/>
      <c r="E1925" s="142"/>
      <c r="F1925" s="144"/>
      <c r="G1925" s="120"/>
      <c r="H1925" s="145"/>
      <c r="I1925" s="123"/>
    </row>
    <row r="1926" spans="3:9" x14ac:dyDescent="0.25">
      <c r="C1926" s="142"/>
      <c r="D1926" s="143"/>
      <c r="E1926" s="142"/>
      <c r="F1926" s="144"/>
      <c r="G1926" s="120"/>
      <c r="H1926" s="145"/>
      <c r="I1926" s="123"/>
    </row>
    <row r="1927" spans="3:9" x14ac:dyDescent="0.25">
      <c r="C1927" s="142"/>
      <c r="D1927" s="143"/>
      <c r="E1927" s="142"/>
      <c r="F1927" s="144"/>
      <c r="G1927" s="120"/>
      <c r="H1927" s="145"/>
      <c r="I1927" s="123"/>
    </row>
    <row r="1928" spans="3:9" x14ac:dyDescent="0.25">
      <c r="C1928" s="142"/>
      <c r="D1928" s="143"/>
      <c r="E1928" s="142"/>
      <c r="F1928" s="144"/>
      <c r="G1928" s="120"/>
      <c r="H1928" s="145"/>
      <c r="I1928" s="123"/>
    </row>
    <row r="1929" spans="3:9" x14ac:dyDescent="0.25">
      <c r="C1929" s="142"/>
      <c r="D1929" s="143"/>
      <c r="E1929" s="142"/>
      <c r="F1929" s="144"/>
      <c r="G1929" s="120"/>
      <c r="H1929" s="145"/>
      <c r="I1929" s="123"/>
    </row>
    <row r="1930" spans="3:9" x14ac:dyDescent="0.25">
      <c r="C1930" s="142"/>
      <c r="D1930" s="143"/>
      <c r="E1930" s="142"/>
      <c r="F1930" s="144"/>
      <c r="G1930" s="120"/>
      <c r="H1930" s="145"/>
      <c r="I1930" s="123"/>
    </row>
    <row r="1931" spans="3:9" x14ac:dyDescent="0.25">
      <c r="C1931" s="142"/>
      <c r="D1931" s="143"/>
      <c r="E1931" s="142"/>
      <c r="F1931" s="144"/>
      <c r="G1931" s="120"/>
      <c r="H1931" s="145"/>
      <c r="I1931" s="123"/>
    </row>
    <row r="1932" spans="3:9" x14ac:dyDescent="0.25">
      <c r="C1932" s="142"/>
      <c r="D1932" s="143"/>
      <c r="E1932" s="142"/>
      <c r="F1932" s="144"/>
      <c r="G1932" s="120"/>
      <c r="H1932" s="145"/>
      <c r="I1932" s="123"/>
    </row>
    <row r="1933" spans="3:9" x14ac:dyDescent="0.25">
      <c r="C1933" s="142"/>
      <c r="D1933" s="143"/>
      <c r="E1933" s="142"/>
      <c r="F1933" s="144"/>
      <c r="G1933" s="120"/>
      <c r="H1933" s="145"/>
      <c r="I1933" s="123"/>
    </row>
    <row r="1934" spans="3:9" x14ac:dyDescent="0.25">
      <c r="C1934" s="142"/>
      <c r="D1934" s="143"/>
      <c r="E1934" s="142"/>
      <c r="F1934" s="144"/>
      <c r="G1934" s="120"/>
      <c r="H1934" s="145"/>
      <c r="I1934" s="123"/>
    </row>
    <row r="1935" spans="3:9" x14ac:dyDescent="0.25">
      <c r="C1935" s="142"/>
      <c r="D1935" s="143"/>
      <c r="E1935" s="142"/>
      <c r="F1935" s="144"/>
      <c r="G1935" s="120"/>
      <c r="H1935" s="145"/>
      <c r="I1935" s="123"/>
    </row>
    <row r="1936" spans="3:9" x14ac:dyDescent="0.25">
      <c r="C1936" s="142"/>
      <c r="D1936" s="143"/>
      <c r="E1936" s="142"/>
      <c r="F1936" s="144"/>
      <c r="G1936" s="120"/>
      <c r="H1936" s="145"/>
      <c r="I1936" s="123"/>
    </row>
    <row r="1937" spans="3:9" x14ac:dyDescent="0.25">
      <c r="C1937" s="142"/>
      <c r="D1937" s="143"/>
      <c r="E1937" s="142"/>
      <c r="F1937" s="144"/>
      <c r="G1937" s="120"/>
      <c r="H1937" s="145"/>
      <c r="I1937" s="123"/>
    </row>
    <row r="1938" spans="3:9" x14ac:dyDescent="0.25">
      <c r="C1938" s="142"/>
      <c r="D1938" s="143"/>
      <c r="E1938" s="142"/>
      <c r="F1938" s="144"/>
      <c r="G1938" s="120"/>
      <c r="H1938" s="145"/>
      <c r="I1938" s="123"/>
    </row>
    <row r="1939" spans="3:9" x14ac:dyDescent="0.25">
      <c r="C1939" s="142"/>
      <c r="D1939" s="143"/>
      <c r="E1939" s="142"/>
      <c r="F1939" s="144"/>
      <c r="G1939" s="120"/>
      <c r="H1939" s="145"/>
      <c r="I1939" s="123"/>
    </row>
    <row r="1940" spans="3:9" x14ac:dyDescent="0.25">
      <c r="C1940" s="142"/>
      <c r="D1940" s="143"/>
      <c r="E1940" s="142"/>
      <c r="F1940" s="144"/>
      <c r="G1940" s="120"/>
      <c r="H1940" s="145"/>
      <c r="I1940" s="123"/>
    </row>
    <row r="1941" spans="3:9" x14ac:dyDescent="0.25">
      <c r="C1941" s="142"/>
      <c r="D1941" s="143"/>
      <c r="E1941" s="142"/>
      <c r="F1941" s="144"/>
      <c r="G1941" s="120"/>
      <c r="H1941" s="145"/>
      <c r="I1941" s="123"/>
    </row>
    <row r="1942" spans="3:9" x14ac:dyDescent="0.25">
      <c r="C1942" s="142"/>
      <c r="D1942" s="143"/>
      <c r="E1942" s="142"/>
      <c r="F1942" s="144"/>
      <c r="G1942" s="120"/>
      <c r="H1942" s="145"/>
      <c r="I1942" s="123"/>
    </row>
    <row r="1943" spans="3:9" x14ac:dyDescent="0.25">
      <c r="C1943" s="142"/>
      <c r="D1943" s="143"/>
      <c r="E1943" s="142"/>
      <c r="F1943" s="144"/>
      <c r="G1943" s="120"/>
      <c r="H1943" s="145"/>
      <c r="I1943" s="123"/>
    </row>
    <row r="1944" spans="3:9" x14ac:dyDescent="0.25">
      <c r="C1944" s="142"/>
      <c r="D1944" s="143"/>
      <c r="E1944" s="142"/>
      <c r="F1944" s="144"/>
      <c r="G1944" s="120"/>
      <c r="H1944" s="145"/>
      <c r="I1944" s="123"/>
    </row>
    <row r="1945" spans="3:9" x14ac:dyDescent="0.25">
      <c r="C1945" s="142"/>
      <c r="D1945" s="143"/>
      <c r="E1945" s="142"/>
      <c r="F1945" s="144"/>
      <c r="G1945" s="120"/>
      <c r="H1945" s="145"/>
      <c r="I1945" s="123"/>
    </row>
    <row r="1946" spans="3:9" x14ac:dyDescent="0.25">
      <c r="C1946" s="142"/>
      <c r="D1946" s="143"/>
      <c r="E1946" s="142"/>
      <c r="F1946" s="144"/>
      <c r="G1946" s="120"/>
      <c r="H1946" s="145"/>
      <c r="I1946" s="123"/>
    </row>
    <row r="1947" spans="3:9" x14ac:dyDescent="0.25">
      <c r="C1947" s="142"/>
      <c r="D1947" s="143"/>
      <c r="E1947" s="142"/>
      <c r="F1947" s="144"/>
      <c r="G1947" s="120"/>
      <c r="H1947" s="145"/>
      <c r="I1947" s="123"/>
    </row>
    <row r="1948" spans="3:9" x14ac:dyDescent="0.25">
      <c r="C1948" s="142"/>
      <c r="D1948" s="143"/>
      <c r="E1948" s="142"/>
      <c r="F1948" s="144"/>
      <c r="G1948" s="120"/>
      <c r="H1948" s="145"/>
      <c r="I1948" s="123"/>
    </row>
    <row r="1949" spans="3:9" x14ac:dyDescent="0.25">
      <c r="C1949" s="142"/>
      <c r="D1949" s="143"/>
      <c r="E1949" s="142"/>
      <c r="F1949" s="144"/>
      <c r="G1949" s="120"/>
      <c r="H1949" s="145"/>
      <c r="I1949" s="123"/>
    </row>
    <row r="1950" spans="3:9" x14ac:dyDescent="0.25">
      <c r="C1950" s="142"/>
      <c r="D1950" s="143"/>
      <c r="E1950" s="142"/>
      <c r="F1950" s="144"/>
      <c r="G1950" s="120"/>
      <c r="H1950" s="145"/>
      <c r="I1950" s="123"/>
    </row>
    <row r="1951" spans="3:9" x14ac:dyDescent="0.25">
      <c r="C1951" s="142"/>
      <c r="D1951" s="143"/>
      <c r="E1951" s="142"/>
      <c r="F1951" s="144"/>
      <c r="G1951" s="120"/>
      <c r="H1951" s="145"/>
      <c r="I1951" s="123"/>
    </row>
    <row r="1952" spans="3:9" x14ac:dyDescent="0.25">
      <c r="C1952" s="142"/>
      <c r="D1952" s="143"/>
      <c r="E1952" s="142"/>
      <c r="F1952" s="144"/>
      <c r="G1952" s="120"/>
      <c r="H1952" s="145"/>
      <c r="I1952" s="123"/>
    </row>
    <row r="1953" spans="3:9" x14ac:dyDescent="0.25">
      <c r="C1953" s="142"/>
      <c r="D1953" s="143"/>
      <c r="E1953" s="142"/>
      <c r="F1953" s="144"/>
      <c r="G1953" s="120"/>
      <c r="H1953" s="145"/>
      <c r="I1953" s="123"/>
    </row>
    <row r="1954" spans="3:9" x14ac:dyDescent="0.25">
      <c r="C1954" s="142"/>
      <c r="D1954" s="143"/>
      <c r="E1954" s="142"/>
      <c r="F1954" s="144"/>
      <c r="G1954" s="120"/>
      <c r="H1954" s="145"/>
      <c r="I1954" s="123"/>
    </row>
    <row r="1955" spans="3:9" x14ac:dyDescent="0.25">
      <c r="C1955" s="142"/>
      <c r="D1955" s="143"/>
      <c r="E1955" s="142"/>
      <c r="F1955" s="144"/>
      <c r="G1955" s="120"/>
      <c r="H1955" s="145"/>
      <c r="I1955" s="123"/>
    </row>
    <row r="1956" spans="3:9" x14ac:dyDescent="0.25">
      <c r="C1956" s="142"/>
      <c r="D1956" s="143"/>
      <c r="E1956" s="142"/>
      <c r="F1956" s="144"/>
      <c r="G1956" s="120"/>
      <c r="H1956" s="145"/>
      <c r="I1956" s="123"/>
    </row>
    <row r="1957" spans="3:9" x14ac:dyDescent="0.25">
      <c r="C1957" s="142"/>
      <c r="D1957" s="143"/>
      <c r="E1957" s="142"/>
      <c r="F1957" s="144"/>
      <c r="G1957" s="120"/>
      <c r="H1957" s="145"/>
      <c r="I1957" s="123"/>
    </row>
    <row r="1958" spans="3:9" x14ac:dyDescent="0.25">
      <c r="C1958" s="142"/>
      <c r="D1958" s="143"/>
      <c r="E1958" s="142"/>
      <c r="F1958" s="144"/>
      <c r="G1958" s="120"/>
      <c r="H1958" s="145"/>
      <c r="I1958" s="123"/>
    </row>
    <row r="1959" spans="3:9" x14ac:dyDescent="0.25">
      <c r="C1959" s="142"/>
      <c r="D1959" s="143"/>
      <c r="E1959" s="142"/>
      <c r="F1959" s="144"/>
      <c r="G1959" s="120"/>
      <c r="H1959" s="145"/>
      <c r="I1959" s="123"/>
    </row>
    <row r="1960" spans="3:9" x14ac:dyDescent="0.25">
      <c r="C1960" s="142"/>
      <c r="D1960" s="143"/>
      <c r="E1960" s="142"/>
      <c r="F1960" s="144"/>
      <c r="G1960" s="120"/>
      <c r="H1960" s="145"/>
      <c r="I1960" s="123"/>
    </row>
    <row r="1961" spans="3:9" x14ac:dyDescent="0.25">
      <c r="C1961" s="142"/>
      <c r="D1961" s="143"/>
      <c r="E1961" s="142"/>
      <c r="F1961" s="144"/>
      <c r="G1961" s="120"/>
      <c r="H1961" s="145"/>
      <c r="I1961" s="123"/>
    </row>
    <row r="1962" spans="3:9" x14ac:dyDescent="0.25">
      <c r="C1962" s="142"/>
      <c r="D1962" s="143"/>
      <c r="E1962" s="142"/>
      <c r="F1962" s="144"/>
      <c r="G1962" s="120"/>
      <c r="H1962" s="145"/>
      <c r="I1962" s="123"/>
    </row>
    <row r="1963" spans="3:9" x14ac:dyDescent="0.25">
      <c r="C1963" s="142"/>
      <c r="D1963" s="143"/>
      <c r="E1963" s="142"/>
      <c r="F1963" s="144"/>
      <c r="G1963" s="120"/>
      <c r="H1963" s="145"/>
      <c r="I1963" s="123"/>
    </row>
    <row r="1964" spans="3:9" x14ac:dyDescent="0.25">
      <c r="C1964" s="142"/>
      <c r="D1964" s="143"/>
      <c r="E1964" s="142"/>
      <c r="F1964" s="144"/>
      <c r="G1964" s="120"/>
      <c r="H1964" s="145"/>
      <c r="I1964" s="123"/>
    </row>
    <row r="1965" spans="3:9" x14ac:dyDescent="0.25">
      <c r="C1965" s="142"/>
      <c r="D1965" s="143"/>
      <c r="E1965" s="142"/>
      <c r="F1965" s="144"/>
      <c r="G1965" s="120"/>
      <c r="H1965" s="145"/>
      <c r="I1965" s="123"/>
    </row>
    <row r="1966" spans="3:9" x14ac:dyDescent="0.25">
      <c r="C1966" s="142"/>
      <c r="D1966" s="143"/>
      <c r="E1966" s="142"/>
      <c r="F1966" s="144"/>
      <c r="G1966" s="120"/>
      <c r="H1966" s="145"/>
      <c r="I1966" s="123"/>
    </row>
    <row r="1967" spans="3:9" x14ac:dyDescent="0.25">
      <c r="C1967" s="142"/>
      <c r="D1967" s="143"/>
      <c r="E1967" s="142"/>
      <c r="F1967" s="144"/>
      <c r="G1967" s="120"/>
      <c r="H1967" s="145"/>
      <c r="I1967" s="123"/>
    </row>
    <row r="1968" spans="3:9" x14ac:dyDescent="0.25">
      <c r="C1968" s="142"/>
      <c r="D1968" s="143"/>
      <c r="E1968" s="142"/>
      <c r="F1968" s="144"/>
      <c r="G1968" s="120"/>
      <c r="H1968" s="145"/>
      <c r="I1968" s="123"/>
    </row>
    <row r="1969" spans="3:9" x14ac:dyDescent="0.25">
      <c r="C1969" s="142"/>
      <c r="D1969" s="143"/>
      <c r="E1969" s="142"/>
      <c r="F1969" s="144"/>
      <c r="G1969" s="120"/>
      <c r="H1969" s="145"/>
      <c r="I1969" s="123"/>
    </row>
    <row r="1970" spans="3:9" x14ac:dyDescent="0.25">
      <c r="C1970" s="142"/>
      <c r="D1970" s="143"/>
      <c r="E1970" s="142"/>
      <c r="F1970" s="144"/>
      <c r="G1970" s="120"/>
      <c r="H1970" s="145"/>
      <c r="I1970" s="123"/>
    </row>
    <row r="1971" spans="3:9" x14ac:dyDescent="0.25">
      <c r="C1971" s="142"/>
      <c r="D1971" s="143"/>
      <c r="E1971" s="142"/>
      <c r="F1971" s="144"/>
      <c r="G1971" s="120"/>
      <c r="H1971" s="145"/>
      <c r="I1971" s="123"/>
    </row>
    <row r="1972" spans="3:9" x14ac:dyDescent="0.25">
      <c r="C1972" s="142"/>
      <c r="D1972" s="143"/>
      <c r="E1972" s="142"/>
      <c r="F1972" s="144"/>
      <c r="G1972" s="120"/>
      <c r="H1972" s="145"/>
      <c r="I1972" s="123"/>
    </row>
    <row r="1973" spans="3:9" x14ac:dyDescent="0.25">
      <c r="C1973" s="142"/>
      <c r="D1973" s="143"/>
      <c r="E1973" s="142"/>
      <c r="F1973" s="144"/>
      <c r="G1973" s="120"/>
      <c r="H1973" s="145"/>
      <c r="I1973" s="123"/>
    </row>
    <row r="1974" spans="3:9" x14ac:dyDescent="0.25">
      <c r="C1974" s="142"/>
      <c r="D1974" s="143"/>
      <c r="E1974" s="142"/>
      <c r="F1974" s="144"/>
      <c r="G1974" s="120"/>
      <c r="H1974" s="145"/>
      <c r="I1974" s="123"/>
    </row>
    <row r="1975" spans="3:9" x14ac:dyDescent="0.25">
      <c r="C1975" s="142"/>
      <c r="D1975" s="143"/>
      <c r="E1975" s="142"/>
      <c r="F1975" s="144"/>
      <c r="G1975" s="120"/>
      <c r="H1975" s="145"/>
      <c r="I1975" s="123"/>
    </row>
    <row r="1976" spans="3:9" x14ac:dyDescent="0.25">
      <c r="C1976" s="142"/>
      <c r="D1976" s="143"/>
      <c r="E1976" s="142"/>
      <c r="F1976" s="144"/>
      <c r="G1976" s="120"/>
      <c r="H1976" s="145"/>
      <c r="I1976" s="123"/>
    </row>
    <row r="1977" spans="3:9" x14ac:dyDescent="0.25">
      <c r="C1977" s="142"/>
      <c r="D1977" s="143"/>
      <c r="E1977" s="142"/>
      <c r="F1977" s="144"/>
      <c r="G1977" s="120"/>
      <c r="H1977" s="145"/>
      <c r="I1977" s="123"/>
    </row>
    <row r="1978" spans="3:9" x14ac:dyDescent="0.25">
      <c r="C1978" s="142"/>
      <c r="D1978" s="143"/>
      <c r="E1978" s="142"/>
      <c r="F1978" s="144"/>
      <c r="G1978" s="120"/>
      <c r="H1978" s="145"/>
      <c r="I1978" s="123"/>
    </row>
    <row r="1979" spans="3:9" x14ac:dyDescent="0.25">
      <c r="C1979" s="142"/>
      <c r="D1979" s="143"/>
      <c r="E1979" s="142"/>
      <c r="F1979" s="144"/>
      <c r="G1979" s="120"/>
      <c r="H1979" s="145"/>
      <c r="I1979" s="123"/>
    </row>
    <row r="1980" spans="3:9" x14ac:dyDescent="0.25">
      <c r="C1980" s="142"/>
      <c r="D1980" s="143"/>
      <c r="E1980" s="142"/>
      <c r="F1980" s="144"/>
      <c r="G1980" s="120"/>
      <c r="H1980" s="145"/>
      <c r="I1980" s="123"/>
    </row>
    <row r="1981" spans="3:9" x14ac:dyDescent="0.25">
      <c r="C1981" s="142"/>
      <c r="D1981" s="143"/>
      <c r="E1981" s="142"/>
      <c r="F1981" s="144"/>
      <c r="G1981" s="120"/>
      <c r="H1981" s="145"/>
      <c r="I1981" s="123"/>
    </row>
    <row r="1982" spans="3:9" x14ac:dyDescent="0.25">
      <c r="C1982" s="142"/>
      <c r="D1982" s="143"/>
      <c r="E1982" s="142"/>
      <c r="F1982" s="144"/>
      <c r="G1982" s="120"/>
      <c r="H1982" s="145"/>
      <c r="I1982" s="123"/>
    </row>
    <row r="1983" spans="3:9" x14ac:dyDescent="0.25">
      <c r="C1983" s="142"/>
      <c r="D1983" s="143"/>
      <c r="E1983" s="142"/>
      <c r="F1983" s="144"/>
      <c r="G1983" s="120"/>
      <c r="H1983" s="145"/>
      <c r="I1983" s="123"/>
    </row>
    <row r="1984" spans="3:9" x14ac:dyDescent="0.25">
      <c r="C1984" s="142"/>
      <c r="D1984" s="143"/>
      <c r="E1984" s="142"/>
      <c r="F1984" s="144"/>
      <c r="G1984" s="120"/>
      <c r="H1984" s="145"/>
      <c r="I1984" s="123"/>
    </row>
    <row r="1985" spans="3:9" x14ac:dyDescent="0.25">
      <c r="C1985" s="142"/>
      <c r="D1985" s="143"/>
      <c r="E1985" s="142"/>
      <c r="F1985" s="144"/>
      <c r="G1985" s="120"/>
      <c r="H1985" s="145"/>
      <c r="I1985" s="123"/>
    </row>
    <row r="1986" spans="3:9" x14ac:dyDescent="0.25">
      <c r="C1986" s="142"/>
      <c r="D1986" s="143"/>
      <c r="E1986" s="142"/>
      <c r="F1986" s="144"/>
      <c r="G1986" s="120"/>
      <c r="H1986" s="145"/>
      <c r="I1986" s="123"/>
    </row>
    <row r="1987" spans="3:9" x14ac:dyDescent="0.25">
      <c r="C1987" s="142"/>
      <c r="D1987" s="143"/>
      <c r="E1987" s="142"/>
      <c r="F1987" s="144"/>
      <c r="G1987" s="120"/>
      <c r="H1987" s="145"/>
      <c r="I1987" s="123"/>
    </row>
    <row r="1988" spans="3:9" x14ac:dyDescent="0.25">
      <c r="C1988" s="142"/>
      <c r="D1988" s="143"/>
      <c r="E1988" s="142"/>
      <c r="F1988" s="144"/>
      <c r="G1988" s="120"/>
      <c r="H1988" s="145"/>
      <c r="I1988" s="123"/>
    </row>
    <row r="1989" spans="3:9" x14ac:dyDescent="0.25">
      <c r="C1989" s="142"/>
      <c r="D1989" s="143"/>
      <c r="E1989" s="142"/>
      <c r="F1989" s="144"/>
      <c r="G1989" s="120"/>
      <c r="H1989" s="145"/>
      <c r="I1989" s="123"/>
    </row>
    <row r="1990" spans="3:9" x14ac:dyDescent="0.25">
      <c r="C1990" s="142"/>
      <c r="D1990" s="143"/>
      <c r="E1990" s="142"/>
      <c r="F1990" s="144"/>
      <c r="G1990" s="120"/>
      <c r="H1990" s="145"/>
      <c r="I1990" s="123"/>
    </row>
    <row r="1991" spans="3:9" x14ac:dyDescent="0.25">
      <c r="C1991" s="142"/>
      <c r="D1991" s="143"/>
      <c r="E1991" s="142"/>
      <c r="F1991" s="144"/>
      <c r="G1991" s="120"/>
      <c r="H1991" s="145"/>
      <c r="I1991" s="123"/>
    </row>
    <row r="1992" spans="3:9" x14ac:dyDescent="0.25">
      <c r="C1992" s="142"/>
      <c r="D1992" s="143"/>
      <c r="E1992" s="142"/>
      <c r="F1992" s="144"/>
      <c r="G1992" s="120"/>
      <c r="H1992" s="145"/>
      <c r="I1992" s="123"/>
    </row>
    <row r="1993" spans="3:9" x14ac:dyDescent="0.25">
      <c r="C1993" s="142"/>
      <c r="D1993" s="143"/>
      <c r="E1993" s="142"/>
      <c r="F1993" s="144"/>
      <c r="G1993" s="120"/>
      <c r="H1993" s="145"/>
      <c r="I1993" s="123"/>
    </row>
    <row r="1994" spans="3:9" x14ac:dyDescent="0.25">
      <c r="C1994" s="142"/>
      <c r="D1994" s="143"/>
      <c r="E1994" s="142"/>
      <c r="F1994" s="144"/>
      <c r="G1994" s="120"/>
      <c r="H1994" s="145"/>
      <c r="I1994" s="123"/>
    </row>
    <row r="1995" spans="3:9" x14ac:dyDescent="0.25">
      <c r="C1995" s="142"/>
      <c r="D1995" s="143"/>
      <c r="E1995" s="142"/>
      <c r="F1995" s="144"/>
      <c r="G1995" s="120"/>
      <c r="H1995" s="145"/>
      <c r="I1995" s="123"/>
    </row>
    <row r="1996" spans="3:9" x14ac:dyDescent="0.25">
      <c r="C1996" s="142"/>
      <c r="D1996" s="143"/>
      <c r="E1996" s="142"/>
      <c r="F1996" s="144"/>
      <c r="G1996" s="120"/>
      <c r="H1996" s="145"/>
      <c r="I1996" s="123"/>
    </row>
    <row r="1997" spans="3:9" x14ac:dyDescent="0.25">
      <c r="C1997" s="142"/>
      <c r="D1997" s="143"/>
      <c r="E1997" s="142"/>
      <c r="F1997" s="144"/>
      <c r="G1997" s="120"/>
      <c r="H1997" s="145"/>
      <c r="I1997" s="123"/>
    </row>
    <row r="1998" spans="3:9" x14ac:dyDescent="0.25">
      <c r="C1998" s="142"/>
      <c r="D1998" s="143"/>
      <c r="E1998" s="142"/>
      <c r="F1998" s="144"/>
      <c r="G1998" s="120"/>
      <c r="H1998" s="145"/>
      <c r="I1998" s="123"/>
    </row>
    <row r="1999" spans="3:9" x14ac:dyDescent="0.25">
      <c r="C1999" s="142"/>
      <c r="D1999" s="143"/>
      <c r="E1999" s="142"/>
      <c r="F1999" s="144"/>
      <c r="G1999" s="120"/>
      <c r="H1999" s="145"/>
      <c r="I1999" s="123"/>
    </row>
    <row r="2000" spans="3:9" x14ac:dyDescent="0.25">
      <c r="C2000" s="142"/>
      <c r="D2000" s="143"/>
      <c r="E2000" s="142"/>
      <c r="F2000" s="144"/>
      <c r="G2000" s="120"/>
      <c r="H2000" s="145"/>
      <c r="I2000" s="123"/>
    </row>
    <row r="2001" spans="3:9" x14ac:dyDescent="0.25">
      <c r="C2001" s="142"/>
      <c r="D2001" s="143"/>
      <c r="E2001" s="142"/>
      <c r="F2001" s="144"/>
      <c r="G2001" s="120"/>
      <c r="H2001" s="145"/>
      <c r="I2001" s="123"/>
    </row>
    <row r="2002" spans="3:9" x14ac:dyDescent="0.25">
      <c r="C2002" s="142"/>
      <c r="D2002" s="143"/>
      <c r="E2002" s="142"/>
      <c r="F2002" s="144"/>
      <c r="G2002" s="120"/>
      <c r="H2002" s="145"/>
      <c r="I2002" s="123"/>
    </row>
    <row r="2003" spans="3:9" x14ac:dyDescent="0.25">
      <c r="C2003" s="142"/>
      <c r="D2003" s="143"/>
      <c r="E2003" s="142"/>
      <c r="F2003" s="144"/>
      <c r="G2003" s="120"/>
      <c r="H2003" s="145"/>
      <c r="I2003" s="123"/>
    </row>
    <row r="2004" spans="3:9" x14ac:dyDescent="0.25">
      <c r="C2004" s="142"/>
      <c r="D2004" s="143"/>
      <c r="E2004" s="142"/>
      <c r="F2004" s="144"/>
      <c r="G2004" s="120"/>
      <c r="H2004" s="145"/>
      <c r="I2004" s="123"/>
    </row>
    <row r="2005" spans="3:9" x14ac:dyDescent="0.25">
      <c r="C2005" s="142"/>
      <c r="D2005" s="143"/>
      <c r="E2005" s="142"/>
      <c r="F2005" s="144"/>
      <c r="G2005" s="120"/>
      <c r="H2005" s="145"/>
      <c r="I2005" s="123"/>
    </row>
    <row r="2006" spans="3:9" x14ac:dyDescent="0.25">
      <c r="C2006" s="142"/>
      <c r="D2006" s="143"/>
      <c r="E2006" s="142"/>
      <c r="F2006" s="144"/>
      <c r="G2006" s="120"/>
      <c r="H2006" s="145"/>
      <c r="I2006" s="123"/>
    </row>
    <row r="2007" spans="3:9" x14ac:dyDescent="0.25">
      <c r="C2007" s="142"/>
      <c r="D2007" s="143"/>
      <c r="E2007" s="142"/>
      <c r="F2007" s="144"/>
      <c r="G2007" s="120"/>
      <c r="H2007" s="145"/>
      <c r="I2007" s="123"/>
    </row>
    <row r="2008" spans="3:9" x14ac:dyDescent="0.25">
      <c r="C2008" s="142"/>
      <c r="D2008" s="143"/>
      <c r="E2008" s="142"/>
      <c r="F2008" s="144"/>
      <c r="G2008" s="120"/>
      <c r="H2008" s="145"/>
      <c r="I2008" s="123"/>
    </row>
    <row r="2009" spans="3:9" x14ac:dyDescent="0.25">
      <c r="C2009" s="142"/>
      <c r="D2009" s="143"/>
      <c r="E2009" s="142"/>
      <c r="F2009" s="144"/>
      <c r="G2009" s="120"/>
      <c r="H2009" s="145"/>
      <c r="I2009" s="123"/>
    </row>
    <row r="2010" spans="3:9" x14ac:dyDescent="0.25">
      <c r="C2010" s="142"/>
      <c r="D2010" s="143"/>
      <c r="E2010" s="142"/>
      <c r="F2010" s="144"/>
      <c r="G2010" s="120"/>
      <c r="H2010" s="145"/>
      <c r="I2010" s="123"/>
    </row>
    <row r="2011" spans="3:9" x14ac:dyDescent="0.25">
      <c r="C2011" s="142"/>
      <c r="D2011" s="143"/>
      <c r="E2011" s="142"/>
      <c r="F2011" s="144"/>
      <c r="G2011" s="120"/>
      <c r="H2011" s="145"/>
      <c r="I2011" s="123"/>
    </row>
    <row r="2012" spans="3:9" x14ac:dyDescent="0.25">
      <c r="C2012" s="142"/>
      <c r="D2012" s="143"/>
      <c r="E2012" s="142"/>
      <c r="F2012" s="144"/>
      <c r="G2012" s="120"/>
      <c r="H2012" s="145"/>
      <c r="I2012" s="123"/>
    </row>
    <row r="2013" spans="3:9" x14ac:dyDescent="0.25">
      <c r="C2013" s="142"/>
      <c r="D2013" s="143"/>
      <c r="E2013" s="142"/>
      <c r="F2013" s="144"/>
      <c r="G2013" s="120"/>
      <c r="H2013" s="145"/>
      <c r="I2013" s="123"/>
    </row>
    <row r="2014" spans="3:9" x14ac:dyDescent="0.25">
      <c r="C2014" s="142"/>
      <c r="D2014" s="143"/>
      <c r="E2014" s="142"/>
      <c r="F2014" s="144"/>
      <c r="G2014" s="120"/>
      <c r="H2014" s="145"/>
      <c r="I2014" s="123"/>
    </row>
    <row r="2015" spans="3:9" x14ac:dyDescent="0.25">
      <c r="C2015" s="142"/>
      <c r="D2015" s="143"/>
      <c r="E2015" s="142"/>
      <c r="F2015" s="144"/>
      <c r="G2015" s="120"/>
      <c r="H2015" s="145"/>
      <c r="I2015" s="123"/>
    </row>
    <row r="2016" spans="3:9" x14ac:dyDescent="0.25">
      <c r="C2016" s="142"/>
      <c r="D2016" s="143"/>
      <c r="E2016" s="142"/>
      <c r="F2016" s="144"/>
      <c r="G2016" s="120"/>
      <c r="H2016" s="145"/>
      <c r="I2016" s="123"/>
    </row>
    <row r="2017" spans="3:9" x14ac:dyDescent="0.25">
      <c r="C2017" s="142"/>
      <c r="D2017" s="143"/>
      <c r="E2017" s="142"/>
      <c r="F2017" s="144"/>
      <c r="G2017" s="120"/>
      <c r="H2017" s="145"/>
      <c r="I2017" s="123"/>
    </row>
    <row r="2018" spans="3:9" x14ac:dyDescent="0.25">
      <c r="C2018" s="142"/>
      <c r="D2018" s="143"/>
      <c r="E2018" s="142"/>
      <c r="F2018" s="144"/>
      <c r="G2018" s="120"/>
      <c r="H2018" s="145"/>
      <c r="I2018" s="123"/>
    </row>
    <row r="2019" spans="3:9" x14ac:dyDescent="0.25">
      <c r="C2019" s="142"/>
      <c r="D2019" s="143"/>
      <c r="E2019" s="142"/>
      <c r="F2019" s="144"/>
      <c r="G2019" s="120"/>
      <c r="H2019" s="145"/>
      <c r="I2019" s="123"/>
    </row>
    <row r="2020" spans="3:9" x14ac:dyDescent="0.25">
      <c r="C2020" s="142"/>
      <c r="D2020" s="143"/>
      <c r="E2020" s="142"/>
      <c r="F2020" s="144"/>
      <c r="G2020" s="120"/>
      <c r="H2020" s="145"/>
      <c r="I2020" s="123"/>
    </row>
    <row r="2021" spans="3:9" x14ac:dyDescent="0.25">
      <c r="C2021" s="142"/>
      <c r="D2021" s="143"/>
      <c r="E2021" s="142"/>
      <c r="F2021" s="144"/>
      <c r="G2021" s="120"/>
      <c r="H2021" s="145"/>
      <c r="I2021" s="123"/>
    </row>
    <row r="2022" spans="3:9" x14ac:dyDescent="0.25">
      <c r="C2022" s="142"/>
      <c r="D2022" s="143"/>
      <c r="E2022" s="142"/>
      <c r="F2022" s="144"/>
      <c r="G2022" s="120"/>
      <c r="H2022" s="145"/>
      <c r="I2022" s="123"/>
    </row>
    <row r="2023" spans="3:9" x14ac:dyDescent="0.25">
      <c r="C2023" s="142"/>
      <c r="D2023" s="143"/>
      <c r="E2023" s="142"/>
      <c r="F2023" s="144"/>
      <c r="G2023" s="120"/>
      <c r="H2023" s="145"/>
      <c r="I2023" s="123"/>
    </row>
    <row r="2024" spans="3:9" x14ac:dyDescent="0.25">
      <c r="C2024" s="142"/>
      <c r="D2024" s="143"/>
      <c r="E2024" s="142"/>
      <c r="F2024" s="144"/>
      <c r="G2024" s="120"/>
      <c r="H2024" s="145"/>
      <c r="I2024" s="123"/>
    </row>
    <row r="2025" spans="3:9" x14ac:dyDescent="0.25">
      <c r="C2025" s="142"/>
      <c r="D2025" s="143"/>
      <c r="E2025" s="142"/>
      <c r="F2025" s="144"/>
      <c r="G2025" s="120"/>
      <c r="H2025" s="145"/>
      <c r="I2025" s="123"/>
    </row>
    <row r="2026" spans="3:9" x14ac:dyDescent="0.25">
      <c r="C2026" s="142"/>
      <c r="D2026" s="143"/>
      <c r="E2026" s="142"/>
      <c r="F2026" s="144"/>
      <c r="G2026" s="120"/>
      <c r="H2026" s="145"/>
      <c r="I2026" s="123"/>
    </row>
    <row r="2027" spans="3:9" x14ac:dyDescent="0.25">
      <c r="C2027" s="142"/>
      <c r="D2027" s="143"/>
      <c r="E2027" s="142"/>
      <c r="F2027" s="144"/>
      <c r="G2027" s="120"/>
      <c r="H2027" s="145"/>
      <c r="I2027" s="123"/>
    </row>
    <row r="2028" spans="3:9" x14ac:dyDescent="0.25">
      <c r="C2028" s="142"/>
      <c r="D2028" s="143"/>
      <c r="E2028" s="142"/>
      <c r="F2028" s="144"/>
      <c r="G2028" s="120"/>
      <c r="H2028" s="145"/>
      <c r="I2028" s="123"/>
    </row>
    <row r="2029" spans="3:9" x14ac:dyDescent="0.25">
      <c r="C2029" s="142"/>
      <c r="D2029" s="143"/>
      <c r="E2029" s="142"/>
      <c r="F2029" s="144"/>
      <c r="G2029" s="120"/>
      <c r="H2029" s="145"/>
      <c r="I2029" s="123"/>
    </row>
    <row r="2030" spans="3:9" x14ac:dyDescent="0.25">
      <c r="C2030" s="142"/>
      <c r="D2030" s="143"/>
      <c r="E2030" s="142"/>
      <c r="F2030" s="144"/>
      <c r="G2030" s="120"/>
      <c r="H2030" s="145"/>
      <c r="I2030" s="123"/>
    </row>
    <row r="2031" spans="3:9" x14ac:dyDescent="0.25">
      <c r="C2031" s="142"/>
      <c r="D2031" s="143"/>
      <c r="E2031" s="142"/>
      <c r="F2031" s="144"/>
      <c r="G2031" s="120"/>
      <c r="H2031" s="145"/>
      <c r="I2031" s="123"/>
    </row>
    <row r="2032" spans="3:9" x14ac:dyDescent="0.25">
      <c r="C2032" s="142"/>
      <c r="D2032" s="143"/>
      <c r="E2032" s="142"/>
      <c r="F2032" s="144"/>
      <c r="G2032" s="120"/>
      <c r="H2032" s="145"/>
      <c r="I2032" s="123"/>
    </row>
    <row r="2033" spans="3:9" x14ac:dyDescent="0.25">
      <c r="C2033" s="142"/>
      <c r="D2033" s="143"/>
      <c r="E2033" s="142"/>
      <c r="F2033" s="144"/>
      <c r="G2033" s="120"/>
      <c r="H2033" s="145"/>
      <c r="I2033" s="123"/>
    </row>
    <row r="2034" spans="3:9" x14ac:dyDescent="0.25">
      <c r="C2034" s="142"/>
      <c r="D2034" s="143"/>
      <c r="E2034" s="142"/>
      <c r="F2034" s="144"/>
      <c r="G2034" s="120"/>
      <c r="H2034" s="145"/>
      <c r="I2034" s="123"/>
    </row>
    <row r="2035" spans="3:9" x14ac:dyDescent="0.25">
      <c r="C2035" s="142"/>
      <c r="D2035" s="143"/>
      <c r="E2035" s="142"/>
      <c r="F2035" s="144"/>
      <c r="G2035" s="120"/>
      <c r="H2035" s="145"/>
      <c r="I2035" s="123"/>
    </row>
    <row r="2036" spans="3:9" x14ac:dyDescent="0.25">
      <c r="C2036" s="142"/>
      <c r="D2036" s="143"/>
      <c r="E2036" s="142"/>
      <c r="F2036" s="144"/>
      <c r="G2036" s="120"/>
      <c r="H2036" s="145"/>
      <c r="I2036" s="123"/>
    </row>
    <row r="2037" spans="3:9" x14ac:dyDescent="0.25">
      <c r="C2037" s="142"/>
      <c r="D2037" s="143"/>
      <c r="E2037" s="142"/>
      <c r="F2037" s="144"/>
      <c r="G2037" s="120"/>
      <c r="H2037" s="145"/>
      <c r="I2037" s="123"/>
    </row>
    <row r="2038" spans="3:9" x14ac:dyDescent="0.25">
      <c r="C2038" s="142"/>
      <c r="D2038" s="143"/>
      <c r="E2038" s="142"/>
      <c r="F2038" s="144"/>
      <c r="G2038" s="120"/>
      <c r="H2038" s="145"/>
      <c r="I2038" s="123"/>
    </row>
    <row r="2039" spans="3:9" x14ac:dyDescent="0.25">
      <c r="C2039" s="142"/>
      <c r="D2039" s="143"/>
      <c r="E2039" s="142"/>
      <c r="F2039" s="144"/>
      <c r="G2039" s="120"/>
      <c r="H2039" s="145"/>
      <c r="I2039" s="123"/>
    </row>
    <row r="2040" spans="3:9" x14ac:dyDescent="0.25">
      <c r="C2040" s="142"/>
      <c r="D2040" s="143"/>
      <c r="E2040" s="142"/>
      <c r="F2040" s="144"/>
      <c r="G2040" s="120"/>
      <c r="H2040" s="145"/>
      <c r="I2040" s="123"/>
    </row>
    <row r="2041" spans="3:9" x14ac:dyDescent="0.25">
      <c r="C2041" s="142"/>
      <c r="D2041" s="143"/>
      <c r="E2041" s="142"/>
      <c r="F2041" s="144"/>
      <c r="G2041" s="120"/>
      <c r="H2041" s="145"/>
      <c r="I2041" s="123"/>
    </row>
    <row r="2042" spans="3:9" x14ac:dyDescent="0.25">
      <c r="C2042" s="142"/>
      <c r="D2042" s="143"/>
      <c r="E2042" s="142"/>
      <c r="F2042" s="144"/>
      <c r="G2042" s="120"/>
      <c r="H2042" s="145"/>
      <c r="I2042" s="123"/>
    </row>
    <row r="2043" spans="3:9" x14ac:dyDescent="0.25">
      <c r="C2043" s="142"/>
      <c r="D2043" s="143"/>
      <c r="E2043" s="142"/>
      <c r="F2043" s="144"/>
      <c r="G2043" s="120"/>
      <c r="H2043" s="145"/>
      <c r="I2043" s="123"/>
    </row>
    <row r="2044" spans="3:9" x14ac:dyDescent="0.25">
      <c r="C2044" s="142"/>
      <c r="D2044" s="143"/>
      <c r="E2044" s="142"/>
      <c r="F2044" s="144"/>
      <c r="G2044" s="120"/>
      <c r="H2044" s="145"/>
      <c r="I2044" s="123"/>
    </row>
    <row r="2045" spans="3:9" x14ac:dyDescent="0.25">
      <c r="C2045" s="142"/>
      <c r="D2045" s="143"/>
      <c r="E2045" s="142"/>
      <c r="F2045" s="144"/>
      <c r="G2045" s="120"/>
      <c r="H2045" s="145"/>
      <c r="I2045" s="123"/>
    </row>
    <row r="2046" spans="3:9" x14ac:dyDescent="0.25">
      <c r="C2046" s="142"/>
      <c r="D2046" s="143"/>
      <c r="E2046" s="142"/>
      <c r="F2046" s="144"/>
      <c r="G2046" s="120"/>
      <c r="H2046" s="145"/>
      <c r="I2046" s="123"/>
    </row>
    <row r="2047" spans="3:9" x14ac:dyDescent="0.25">
      <c r="C2047" s="142"/>
      <c r="D2047" s="143"/>
      <c r="E2047" s="142"/>
      <c r="F2047" s="144"/>
      <c r="G2047" s="120"/>
      <c r="H2047" s="145"/>
      <c r="I2047" s="123"/>
    </row>
    <row r="2048" spans="3:9" x14ac:dyDescent="0.25">
      <c r="C2048" s="142"/>
      <c r="D2048" s="143"/>
      <c r="E2048" s="142"/>
      <c r="F2048" s="144"/>
      <c r="G2048" s="120"/>
      <c r="H2048" s="145"/>
      <c r="I2048" s="123"/>
    </row>
    <row r="2049" spans="3:9" x14ac:dyDescent="0.25">
      <c r="C2049" s="142"/>
      <c r="D2049" s="143"/>
      <c r="E2049" s="142"/>
      <c r="F2049" s="144"/>
      <c r="G2049" s="120"/>
      <c r="H2049" s="145"/>
      <c r="I2049" s="123"/>
    </row>
    <row r="2050" spans="3:9" x14ac:dyDescent="0.25">
      <c r="C2050" s="142"/>
      <c r="D2050" s="143"/>
      <c r="E2050" s="142"/>
      <c r="F2050" s="144"/>
      <c r="G2050" s="120"/>
      <c r="H2050" s="145"/>
      <c r="I2050" s="123"/>
    </row>
    <row r="2051" spans="3:9" x14ac:dyDescent="0.25">
      <c r="C2051" s="142"/>
      <c r="D2051" s="143"/>
      <c r="E2051" s="142"/>
      <c r="F2051" s="144"/>
      <c r="G2051" s="120"/>
      <c r="H2051" s="145"/>
      <c r="I2051" s="123"/>
    </row>
    <row r="2052" spans="3:9" x14ac:dyDescent="0.25">
      <c r="C2052" s="142"/>
      <c r="D2052" s="143"/>
      <c r="E2052" s="142"/>
      <c r="F2052" s="144"/>
      <c r="G2052" s="120"/>
      <c r="H2052" s="145"/>
      <c r="I2052" s="123"/>
    </row>
    <row r="2053" spans="3:9" x14ac:dyDescent="0.25">
      <c r="C2053" s="142"/>
      <c r="D2053" s="143"/>
      <c r="E2053" s="142"/>
      <c r="F2053" s="144"/>
      <c r="G2053" s="120"/>
      <c r="H2053" s="145"/>
      <c r="I2053" s="123"/>
    </row>
    <row r="2054" spans="3:9" x14ac:dyDescent="0.25">
      <c r="C2054" s="142"/>
      <c r="D2054" s="143"/>
      <c r="E2054" s="142"/>
      <c r="F2054" s="144"/>
      <c r="G2054" s="120"/>
      <c r="H2054" s="145"/>
      <c r="I2054" s="123"/>
    </row>
    <row r="2055" spans="3:9" x14ac:dyDescent="0.25">
      <c r="C2055" s="142"/>
      <c r="D2055" s="143"/>
      <c r="E2055" s="142"/>
      <c r="F2055" s="144"/>
      <c r="G2055" s="120"/>
      <c r="H2055" s="145"/>
      <c r="I2055" s="123"/>
    </row>
    <row r="2056" spans="3:9" x14ac:dyDescent="0.25">
      <c r="C2056" s="142"/>
      <c r="D2056" s="143"/>
      <c r="E2056" s="142"/>
      <c r="F2056" s="144"/>
      <c r="G2056" s="120"/>
      <c r="H2056" s="145"/>
      <c r="I2056" s="123"/>
    </row>
    <row r="2057" spans="3:9" x14ac:dyDescent="0.25">
      <c r="C2057" s="142"/>
      <c r="D2057" s="143"/>
      <c r="E2057" s="142"/>
      <c r="F2057" s="144"/>
      <c r="G2057" s="120"/>
      <c r="H2057" s="145"/>
      <c r="I2057" s="123"/>
    </row>
    <row r="2058" spans="3:9" x14ac:dyDescent="0.25">
      <c r="C2058" s="142"/>
      <c r="D2058" s="143"/>
      <c r="E2058" s="142"/>
      <c r="F2058" s="144"/>
      <c r="G2058" s="120"/>
      <c r="H2058" s="145"/>
      <c r="I2058" s="123"/>
    </row>
    <row r="2059" spans="3:9" x14ac:dyDescent="0.25">
      <c r="C2059" s="142"/>
      <c r="D2059" s="143"/>
      <c r="E2059" s="142"/>
      <c r="F2059" s="144"/>
      <c r="G2059" s="120"/>
      <c r="H2059" s="145"/>
      <c r="I2059" s="123"/>
    </row>
    <row r="2060" spans="3:9" x14ac:dyDescent="0.25">
      <c r="C2060" s="142"/>
      <c r="D2060" s="143"/>
      <c r="E2060" s="142"/>
      <c r="F2060" s="144"/>
      <c r="G2060" s="120"/>
      <c r="H2060" s="145"/>
      <c r="I2060" s="123"/>
    </row>
    <row r="2061" spans="3:9" x14ac:dyDescent="0.25">
      <c r="C2061" s="142"/>
      <c r="D2061" s="143"/>
      <c r="E2061" s="142"/>
      <c r="F2061" s="144"/>
      <c r="G2061" s="120"/>
      <c r="H2061" s="145"/>
      <c r="I2061" s="123"/>
    </row>
    <row r="2062" spans="3:9" x14ac:dyDescent="0.25">
      <c r="C2062" s="142"/>
      <c r="D2062" s="143"/>
      <c r="E2062" s="142"/>
      <c r="F2062" s="144"/>
      <c r="G2062" s="120"/>
      <c r="H2062" s="145"/>
      <c r="I2062" s="123"/>
    </row>
    <row r="2063" spans="3:9" x14ac:dyDescent="0.25">
      <c r="C2063" s="142"/>
      <c r="D2063" s="143"/>
      <c r="E2063" s="142"/>
      <c r="F2063" s="144"/>
      <c r="G2063" s="120"/>
      <c r="H2063" s="145"/>
      <c r="I2063" s="123"/>
    </row>
    <row r="2064" spans="3:9" x14ac:dyDescent="0.25">
      <c r="C2064" s="142"/>
      <c r="D2064" s="143"/>
      <c r="E2064" s="142"/>
      <c r="F2064" s="144"/>
      <c r="G2064" s="120"/>
      <c r="H2064" s="145"/>
      <c r="I2064" s="123"/>
    </row>
    <row r="2065" spans="1:9" x14ac:dyDescent="0.25">
      <c r="C2065" s="142"/>
      <c r="D2065" s="143"/>
      <c r="E2065" s="142"/>
      <c r="F2065" s="144"/>
      <c r="G2065" s="120"/>
      <c r="H2065" s="145"/>
      <c r="I2065" s="123"/>
    </row>
    <row r="2066" spans="1:9" x14ac:dyDescent="0.25">
      <c r="C2066" s="142"/>
      <c r="D2066" s="143"/>
      <c r="E2066" s="142"/>
      <c r="F2066" s="144"/>
      <c r="G2066" s="120"/>
      <c r="H2066" s="145"/>
      <c r="I2066" s="123"/>
    </row>
    <row r="2067" spans="1:9" x14ac:dyDescent="0.25">
      <c r="C2067" s="142"/>
      <c r="D2067" s="143"/>
      <c r="E2067" s="142"/>
      <c r="F2067" s="144"/>
      <c r="G2067" s="120"/>
      <c r="H2067" s="145"/>
      <c r="I2067" s="123"/>
    </row>
    <row r="2068" spans="1:9" x14ac:dyDescent="0.25">
      <c r="C2068" s="142"/>
      <c r="D2068" s="143"/>
      <c r="E2068" s="142"/>
      <c r="F2068" s="144"/>
      <c r="G2068" s="120"/>
      <c r="H2068" s="145"/>
      <c r="I2068" s="123"/>
    </row>
    <row r="2069" spans="1:9" x14ac:dyDescent="0.25">
      <c r="C2069" s="142"/>
      <c r="D2069" s="143"/>
      <c r="E2069" s="142"/>
      <c r="F2069" s="144"/>
      <c r="G2069" s="120"/>
      <c r="H2069" s="145"/>
      <c r="I2069" s="123"/>
    </row>
    <row r="2070" spans="1:9" x14ac:dyDescent="0.25">
      <c r="C2070" s="142"/>
      <c r="D2070" s="143"/>
      <c r="E2070" s="142"/>
      <c r="F2070" s="144"/>
      <c r="G2070" s="120"/>
      <c r="H2070" s="145"/>
      <c r="I2070" s="123"/>
    </row>
    <row r="2071" spans="1:9" x14ac:dyDescent="0.25">
      <c r="C2071" s="142"/>
      <c r="D2071" s="143"/>
      <c r="E2071" s="142"/>
      <c r="F2071" s="144"/>
      <c r="G2071" s="120"/>
      <c r="H2071" s="145"/>
      <c r="I2071" s="123"/>
    </row>
    <row r="2072" spans="1:9" x14ac:dyDescent="0.25">
      <c r="C2072" s="142"/>
      <c r="D2072" s="143"/>
      <c r="E2072" s="142"/>
      <c r="F2072" s="144"/>
      <c r="G2072" s="120"/>
      <c r="H2072" s="145"/>
      <c r="I2072" s="123"/>
    </row>
    <row r="2073" spans="1:9" x14ac:dyDescent="0.25">
      <c r="C2073" s="142"/>
      <c r="D2073" s="143"/>
      <c r="E2073" s="142"/>
      <c r="F2073" s="144"/>
      <c r="G2073" s="120"/>
      <c r="H2073" s="145"/>
      <c r="I2073" s="123"/>
    </row>
    <row r="2074" spans="1:9" s="36" customFormat="1" x14ac:dyDescent="0.25">
      <c r="A2074" s="59"/>
      <c r="B2074" s="59"/>
      <c r="C2074" s="142"/>
      <c r="D2074" s="143"/>
      <c r="E2074" s="142"/>
      <c r="F2074" s="144"/>
      <c r="G2074" s="120"/>
      <c r="H2074" s="145"/>
      <c r="I2074" s="123"/>
    </row>
    <row r="2075" spans="1:9" x14ac:dyDescent="0.25">
      <c r="C2075" s="142"/>
      <c r="D2075" s="143"/>
      <c r="E2075" s="142"/>
      <c r="F2075" s="144"/>
      <c r="G2075" s="120"/>
      <c r="H2075" s="145"/>
      <c r="I2075" s="123"/>
    </row>
    <row r="2076" spans="1:9" x14ac:dyDescent="0.25">
      <c r="C2076" s="142"/>
      <c r="D2076" s="143"/>
      <c r="E2076" s="142"/>
      <c r="F2076" s="144"/>
      <c r="G2076" s="120"/>
      <c r="H2076" s="145"/>
      <c r="I2076" s="123"/>
    </row>
    <row r="2077" spans="1:9" x14ac:dyDescent="0.25">
      <c r="C2077" s="142"/>
      <c r="D2077" s="143"/>
      <c r="E2077" s="142"/>
      <c r="F2077" s="144"/>
      <c r="G2077" s="120"/>
      <c r="H2077" s="145"/>
      <c r="I2077" s="123"/>
    </row>
    <row r="2078" spans="1:9" x14ac:dyDescent="0.25">
      <c r="C2078" s="142"/>
      <c r="D2078" s="143"/>
      <c r="E2078" s="142"/>
      <c r="F2078" s="144"/>
      <c r="G2078" s="120"/>
      <c r="H2078" s="145"/>
      <c r="I2078" s="123"/>
    </row>
    <row r="2079" spans="1:9" x14ac:dyDescent="0.25">
      <c r="C2079" s="142"/>
      <c r="D2079" s="143"/>
      <c r="E2079" s="142"/>
      <c r="F2079" s="144"/>
      <c r="G2079" s="120"/>
      <c r="H2079" s="145"/>
      <c r="I2079" s="123"/>
    </row>
    <row r="2080" spans="1:9" x14ac:dyDescent="0.25">
      <c r="C2080" s="142"/>
      <c r="D2080" s="143"/>
      <c r="E2080" s="142"/>
      <c r="F2080" s="144"/>
      <c r="G2080" s="120"/>
      <c r="H2080" s="145"/>
      <c r="I2080" s="123"/>
    </row>
    <row r="2081" spans="3:9" x14ac:dyDescent="0.25">
      <c r="C2081" s="142"/>
      <c r="D2081" s="143"/>
      <c r="E2081" s="142"/>
      <c r="F2081" s="144"/>
      <c r="G2081" s="120"/>
      <c r="H2081" s="145"/>
      <c r="I2081" s="123"/>
    </row>
    <row r="2082" spans="3:9" x14ac:dyDescent="0.25">
      <c r="C2082" s="142"/>
      <c r="D2082" s="143"/>
      <c r="E2082" s="142"/>
      <c r="F2082" s="144"/>
      <c r="G2082" s="120"/>
      <c r="H2082" s="145"/>
      <c r="I2082" s="123"/>
    </row>
    <row r="2083" spans="3:9" x14ac:dyDescent="0.25">
      <c r="C2083" s="142"/>
      <c r="D2083" s="143"/>
      <c r="E2083" s="142"/>
      <c r="F2083" s="144"/>
      <c r="G2083" s="120"/>
      <c r="H2083" s="145"/>
      <c r="I2083" s="123"/>
    </row>
    <row r="2084" spans="3:9" x14ac:dyDescent="0.25">
      <c r="C2084" s="142"/>
      <c r="D2084" s="143"/>
      <c r="E2084" s="142"/>
      <c r="F2084" s="144"/>
      <c r="G2084" s="120"/>
      <c r="H2084" s="145"/>
      <c r="I2084" s="123"/>
    </row>
    <row r="2085" spans="3:9" x14ac:dyDescent="0.25">
      <c r="C2085" s="142"/>
      <c r="D2085" s="143"/>
      <c r="E2085" s="142"/>
      <c r="F2085" s="144"/>
      <c r="G2085" s="120"/>
      <c r="H2085" s="145"/>
      <c r="I2085" s="123"/>
    </row>
    <row r="2086" spans="3:9" x14ac:dyDescent="0.25">
      <c r="C2086" s="142"/>
      <c r="D2086" s="143"/>
      <c r="E2086" s="142"/>
      <c r="F2086" s="144"/>
      <c r="G2086" s="120"/>
      <c r="H2086" s="145"/>
      <c r="I2086" s="123"/>
    </row>
    <row r="2087" spans="3:9" x14ac:dyDescent="0.25">
      <c r="C2087" s="142"/>
      <c r="D2087" s="143"/>
      <c r="E2087" s="142"/>
      <c r="F2087" s="144"/>
      <c r="G2087" s="120"/>
      <c r="H2087" s="145"/>
      <c r="I2087" s="123"/>
    </row>
    <row r="2088" spans="3:9" x14ac:dyDescent="0.25">
      <c r="C2088" s="142"/>
      <c r="D2088" s="143"/>
      <c r="E2088" s="142"/>
      <c r="F2088" s="144"/>
      <c r="G2088" s="120"/>
      <c r="H2088" s="145"/>
      <c r="I2088" s="123"/>
    </row>
    <row r="2089" spans="3:9" x14ac:dyDescent="0.25">
      <c r="C2089" s="142"/>
      <c r="D2089" s="143"/>
      <c r="E2089" s="142"/>
      <c r="F2089" s="144"/>
      <c r="G2089" s="120"/>
      <c r="H2089" s="145"/>
      <c r="I2089" s="123"/>
    </row>
    <row r="2090" spans="3:9" x14ac:dyDescent="0.25">
      <c r="C2090" s="142"/>
      <c r="D2090" s="143"/>
      <c r="E2090" s="142"/>
      <c r="F2090" s="144"/>
      <c r="G2090" s="120"/>
      <c r="H2090" s="145"/>
      <c r="I2090" s="123"/>
    </row>
    <row r="2091" spans="3:9" x14ac:dyDescent="0.25">
      <c r="C2091" s="142"/>
      <c r="D2091" s="143"/>
      <c r="E2091" s="142"/>
      <c r="F2091" s="144"/>
      <c r="G2091" s="120"/>
      <c r="H2091" s="145"/>
      <c r="I2091" s="123"/>
    </row>
    <row r="2092" spans="3:9" x14ac:dyDescent="0.25">
      <c r="C2092" s="142"/>
      <c r="D2092" s="143"/>
      <c r="E2092" s="142"/>
      <c r="F2092" s="144"/>
      <c r="G2092" s="120"/>
      <c r="H2092" s="145"/>
      <c r="I2092" s="123"/>
    </row>
    <row r="2093" spans="3:9" x14ac:dyDescent="0.25">
      <c r="C2093" s="142"/>
      <c r="D2093" s="143"/>
      <c r="E2093" s="142"/>
      <c r="F2093" s="144"/>
      <c r="G2093" s="120"/>
      <c r="H2093" s="145"/>
      <c r="I2093" s="123"/>
    </row>
    <row r="2094" spans="3:9" x14ac:dyDescent="0.25">
      <c r="C2094" s="142"/>
      <c r="D2094" s="143"/>
      <c r="E2094" s="142"/>
      <c r="F2094" s="144"/>
      <c r="G2094" s="120"/>
      <c r="H2094" s="145"/>
      <c r="I2094" s="123"/>
    </row>
    <row r="2095" spans="3:9" x14ac:dyDescent="0.25">
      <c r="C2095" s="142"/>
      <c r="D2095" s="143"/>
      <c r="E2095" s="142"/>
      <c r="F2095" s="144"/>
      <c r="G2095" s="120"/>
      <c r="H2095" s="145"/>
      <c r="I2095" s="123"/>
    </row>
    <row r="2096" spans="3:9" x14ac:dyDescent="0.25">
      <c r="C2096" s="142"/>
      <c r="D2096" s="143"/>
      <c r="E2096" s="142"/>
      <c r="F2096" s="144"/>
      <c r="G2096" s="120"/>
      <c r="H2096" s="145"/>
      <c r="I2096" s="123"/>
    </row>
    <row r="2097" spans="1:9" x14ac:dyDescent="0.25">
      <c r="C2097" s="142"/>
      <c r="D2097" s="143"/>
      <c r="E2097" s="142"/>
      <c r="F2097" s="144"/>
      <c r="G2097" s="120"/>
      <c r="H2097" s="145"/>
      <c r="I2097" s="123"/>
    </row>
    <row r="2098" spans="1:9" x14ac:dyDescent="0.25">
      <c r="C2098" s="142"/>
      <c r="D2098" s="143"/>
      <c r="E2098" s="142"/>
      <c r="F2098" s="144"/>
      <c r="G2098" s="120"/>
      <c r="H2098" s="145"/>
      <c r="I2098" s="123"/>
    </row>
    <row r="2099" spans="1:9" x14ac:dyDescent="0.25">
      <c r="C2099" s="142"/>
      <c r="D2099" s="143"/>
      <c r="E2099" s="142"/>
      <c r="F2099" s="144"/>
      <c r="G2099" s="120"/>
      <c r="H2099" s="145"/>
      <c r="I2099" s="123"/>
    </row>
    <row r="2100" spans="1:9" x14ac:dyDescent="0.25">
      <c r="C2100" s="142"/>
      <c r="D2100" s="143"/>
      <c r="E2100" s="142"/>
      <c r="F2100" s="144"/>
      <c r="G2100" s="120"/>
      <c r="H2100" s="145"/>
      <c r="I2100" s="123"/>
    </row>
    <row r="2101" spans="1:9" x14ac:dyDescent="0.25">
      <c r="C2101" s="142"/>
      <c r="D2101" s="143"/>
      <c r="E2101" s="142"/>
      <c r="F2101" s="144"/>
      <c r="G2101" s="120"/>
      <c r="H2101" s="145"/>
      <c r="I2101" s="123"/>
    </row>
    <row r="2102" spans="1:9" x14ac:dyDescent="0.25">
      <c r="C2102" s="142"/>
      <c r="D2102" s="143"/>
      <c r="E2102" s="142"/>
      <c r="F2102" s="144"/>
      <c r="G2102" s="120"/>
      <c r="H2102" s="145"/>
      <c r="I2102" s="123"/>
    </row>
    <row r="2103" spans="1:9" x14ac:dyDescent="0.25">
      <c r="C2103" s="142"/>
      <c r="D2103" s="143"/>
      <c r="E2103" s="142"/>
      <c r="F2103" s="144"/>
      <c r="G2103" s="120"/>
      <c r="H2103" s="145"/>
      <c r="I2103" s="123"/>
    </row>
    <row r="2104" spans="1:9" x14ac:dyDescent="0.25">
      <c r="C2104" s="142"/>
      <c r="D2104" s="143"/>
      <c r="E2104" s="142"/>
      <c r="F2104" s="144"/>
      <c r="G2104" s="120"/>
      <c r="H2104" s="145"/>
      <c r="I2104" s="123"/>
    </row>
    <row r="2105" spans="1:9" x14ac:dyDescent="0.25">
      <c r="C2105" s="142"/>
      <c r="D2105" s="143"/>
      <c r="E2105" s="142"/>
      <c r="F2105" s="144"/>
      <c r="G2105" s="120"/>
      <c r="H2105" s="145"/>
      <c r="I2105" s="123"/>
    </row>
    <row r="2106" spans="1:9" x14ac:dyDescent="0.25">
      <c r="C2106" s="142"/>
      <c r="D2106" s="143"/>
      <c r="E2106" s="142"/>
      <c r="F2106" s="144"/>
      <c r="G2106" s="120"/>
      <c r="H2106" s="145"/>
      <c r="I2106" s="123"/>
    </row>
    <row r="2107" spans="1:9" x14ac:dyDescent="0.25">
      <c r="C2107" s="142"/>
      <c r="D2107" s="143"/>
      <c r="E2107" s="142"/>
      <c r="F2107" s="144"/>
      <c r="G2107" s="120"/>
      <c r="H2107" s="145"/>
      <c r="I2107" s="123"/>
    </row>
    <row r="2108" spans="1:9" x14ac:dyDescent="0.25">
      <c r="C2108" s="142"/>
      <c r="D2108" s="143"/>
      <c r="E2108" s="142"/>
      <c r="F2108" s="144"/>
      <c r="G2108" s="120"/>
      <c r="H2108" s="145"/>
      <c r="I2108" s="123"/>
    </row>
    <row r="2109" spans="1:9" x14ac:dyDescent="0.25">
      <c r="C2109" s="142"/>
      <c r="D2109" s="143"/>
      <c r="E2109" s="142"/>
      <c r="F2109" s="144"/>
      <c r="G2109" s="120"/>
      <c r="H2109" s="145"/>
      <c r="I2109" s="123"/>
    </row>
    <row r="2110" spans="1:9" x14ac:dyDescent="0.25">
      <c r="C2110" s="142"/>
      <c r="D2110" s="143"/>
      <c r="E2110" s="142"/>
      <c r="F2110" s="144"/>
      <c r="G2110" s="120"/>
      <c r="H2110" s="145"/>
      <c r="I2110" s="123"/>
    </row>
    <row r="2111" spans="1:9" s="37" customFormat="1" x14ac:dyDescent="0.25">
      <c r="A2111" s="59"/>
      <c r="B2111" s="59"/>
      <c r="C2111" s="142"/>
      <c r="D2111" s="143"/>
      <c r="E2111" s="142"/>
      <c r="F2111" s="144"/>
      <c r="G2111" s="120"/>
      <c r="H2111" s="145"/>
      <c r="I2111" s="123"/>
    </row>
    <row r="2112" spans="1:9" x14ac:dyDescent="0.25">
      <c r="C2112" s="142"/>
      <c r="D2112" s="143"/>
      <c r="E2112" s="142"/>
      <c r="F2112" s="144"/>
      <c r="G2112" s="120"/>
      <c r="H2112" s="145"/>
      <c r="I2112" s="123"/>
    </row>
    <row r="2113" spans="1:9" s="38" customFormat="1" x14ac:dyDescent="0.25">
      <c r="A2113" s="59"/>
      <c r="B2113" s="59"/>
      <c r="C2113" s="142"/>
      <c r="D2113" s="143"/>
      <c r="E2113" s="142"/>
      <c r="F2113" s="144"/>
      <c r="G2113" s="120"/>
      <c r="H2113" s="145"/>
      <c r="I2113" s="123"/>
    </row>
    <row r="2114" spans="1:9" x14ac:dyDescent="0.25">
      <c r="C2114" s="142"/>
      <c r="D2114" s="143"/>
      <c r="E2114" s="142"/>
      <c r="F2114" s="144"/>
      <c r="G2114" s="120"/>
      <c r="H2114" s="145"/>
      <c r="I2114" s="123"/>
    </row>
    <row r="2115" spans="1:9" x14ac:dyDescent="0.25">
      <c r="C2115" s="142"/>
      <c r="D2115" s="143"/>
      <c r="E2115" s="142"/>
      <c r="F2115" s="144"/>
      <c r="G2115" s="120"/>
      <c r="H2115" s="145"/>
      <c r="I2115" s="123"/>
    </row>
    <row r="2116" spans="1:9" x14ac:dyDescent="0.25">
      <c r="C2116" s="142"/>
      <c r="D2116" s="143"/>
      <c r="E2116" s="142"/>
      <c r="F2116" s="144"/>
      <c r="G2116" s="120"/>
      <c r="H2116" s="145"/>
      <c r="I2116" s="123"/>
    </row>
    <row r="2117" spans="1:9" x14ac:dyDescent="0.25">
      <c r="C2117" s="142"/>
      <c r="D2117" s="143"/>
      <c r="E2117" s="142"/>
      <c r="F2117" s="144"/>
      <c r="G2117" s="120"/>
      <c r="H2117" s="145"/>
      <c r="I2117" s="123"/>
    </row>
    <row r="2118" spans="1:9" x14ac:dyDescent="0.25">
      <c r="C2118" s="142"/>
      <c r="D2118" s="143"/>
      <c r="E2118" s="142"/>
      <c r="F2118" s="144"/>
      <c r="G2118" s="120"/>
      <c r="H2118" s="145"/>
      <c r="I2118" s="123"/>
    </row>
    <row r="2119" spans="1:9" x14ac:dyDescent="0.25">
      <c r="C2119" s="142"/>
      <c r="D2119" s="143"/>
      <c r="E2119" s="142"/>
      <c r="F2119" s="144"/>
      <c r="G2119" s="120"/>
      <c r="H2119" s="145"/>
      <c r="I2119" s="123"/>
    </row>
    <row r="2120" spans="1:9" x14ac:dyDescent="0.25">
      <c r="C2120" s="142"/>
      <c r="D2120" s="143"/>
      <c r="E2120" s="142"/>
      <c r="F2120" s="144"/>
      <c r="G2120" s="120"/>
      <c r="H2120" s="145"/>
      <c r="I2120" s="123"/>
    </row>
    <row r="2121" spans="1:9" x14ac:dyDescent="0.25">
      <c r="C2121" s="142"/>
      <c r="D2121" s="143"/>
      <c r="E2121" s="142"/>
      <c r="F2121" s="144"/>
      <c r="G2121" s="120"/>
      <c r="H2121" s="145"/>
      <c r="I2121" s="123"/>
    </row>
    <row r="2122" spans="1:9" x14ac:dyDescent="0.25">
      <c r="C2122" s="142"/>
      <c r="D2122" s="143"/>
      <c r="E2122" s="142"/>
      <c r="F2122" s="144"/>
      <c r="G2122" s="120"/>
      <c r="H2122" s="145"/>
      <c r="I2122" s="123"/>
    </row>
    <row r="2123" spans="1:9" x14ac:dyDescent="0.25">
      <c r="C2123" s="142"/>
      <c r="D2123" s="143"/>
      <c r="E2123" s="142"/>
      <c r="F2123" s="144"/>
      <c r="G2123" s="120"/>
      <c r="H2123" s="145"/>
      <c r="I2123" s="123"/>
    </row>
    <row r="2124" spans="1:9" x14ac:dyDescent="0.25">
      <c r="C2124" s="142"/>
      <c r="D2124" s="143"/>
      <c r="E2124" s="142"/>
      <c r="F2124" s="144"/>
      <c r="G2124" s="120"/>
      <c r="H2124" s="145"/>
      <c r="I2124" s="123"/>
    </row>
    <row r="2125" spans="1:9" x14ac:dyDescent="0.25">
      <c r="C2125" s="142"/>
      <c r="D2125" s="143"/>
      <c r="E2125" s="142"/>
      <c r="F2125" s="144"/>
      <c r="G2125" s="120"/>
      <c r="H2125" s="145"/>
      <c r="I2125" s="123"/>
    </row>
    <row r="2126" spans="1:9" x14ac:dyDescent="0.25">
      <c r="C2126" s="142"/>
      <c r="D2126" s="143"/>
      <c r="E2126" s="142"/>
      <c r="F2126" s="144"/>
      <c r="G2126" s="120"/>
      <c r="H2126" s="145"/>
      <c r="I2126" s="123"/>
    </row>
    <row r="2127" spans="1:9" x14ac:dyDescent="0.25">
      <c r="C2127" s="142"/>
      <c r="D2127" s="143"/>
      <c r="E2127" s="142"/>
      <c r="F2127" s="144"/>
      <c r="G2127" s="120"/>
      <c r="H2127" s="145"/>
      <c r="I2127" s="123"/>
    </row>
    <row r="2128" spans="1:9" x14ac:dyDescent="0.25">
      <c r="C2128" s="142"/>
      <c r="D2128" s="143"/>
      <c r="E2128" s="142"/>
      <c r="F2128" s="144"/>
      <c r="G2128" s="120"/>
      <c r="H2128" s="145"/>
      <c r="I2128" s="123"/>
    </row>
    <row r="2129" spans="3:9" x14ac:dyDescent="0.25">
      <c r="C2129" s="142"/>
      <c r="D2129" s="143"/>
      <c r="E2129" s="142"/>
      <c r="F2129" s="144"/>
      <c r="G2129" s="120"/>
      <c r="H2129" s="145"/>
      <c r="I2129" s="123"/>
    </row>
    <row r="2130" spans="3:9" x14ac:dyDescent="0.25">
      <c r="C2130" s="142"/>
      <c r="D2130" s="143"/>
      <c r="E2130" s="142"/>
      <c r="F2130" s="144"/>
      <c r="G2130" s="120"/>
      <c r="H2130" s="145"/>
      <c r="I2130" s="123"/>
    </row>
    <row r="2131" spans="3:9" x14ac:dyDescent="0.25">
      <c r="C2131" s="142"/>
      <c r="D2131" s="143"/>
      <c r="E2131" s="142"/>
      <c r="F2131" s="144"/>
      <c r="G2131" s="120"/>
      <c r="H2131" s="145"/>
      <c r="I2131" s="123"/>
    </row>
    <row r="2132" spans="3:9" x14ac:dyDescent="0.25">
      <c r="C2132" s="142"/>
      <c r="D2132" s="143"/>
      <c r="E2132" s="142"/>
      <c r="F2132" s="144"/>
      <c r="G2132" s="120"/>
      <c r="H2132" s="145"/>
      <c r="I2132" s="123"/>
    </row>
    <row r="2133" spans="3:9" x14ac:dyDescent="0.25">
      <c r="C2133" s="142"/>
      <c r="D2133" s="143"/>
      <c r="E2133" s="142"/>
      <c r="F2133" s="144"/>
      <c r="G2133" s="120"/>
      <c r="H2133" s="145"/>
      <c r="I2133" s="123"/>
    </row>
    <row r="2134" spans="3:9" x14ac:dyDescent="0.25">
      <c r="C2134" s="142"/>
      <c r="D2134" s="143"/>
      <c r="E2134" s="142"/>
      <c r="F2134" s="144"/>
      <c r="G2134" s="120"/>
      <c r="H2134" s="145"/>
      <c r="I2134" s="123"/>
    </row>
    <row r="2135" spans="3:9" x14ac:dyDescent="0.25">
      <c r="C2135" s="142"/>
      <c r="D2135" s="143"/>
      <c r="E2135" s="142"/>
      <c r="F2135" s="144"/>
      <c r="G2135" s="120"/>
      <c r="H2135" s="145"/>
      <c r="I2135" s="123"/>
    </row>
    <row r="2136" spans="3:9" x14ac:dyDescent="0.25">
      <c r="C2136" s="142"/>
      <c r="D2136" s="143"/>
      <c r="E2136" s="142"/>
      <c r="F2136" s="144"/>
      <c r="G2136" s="120"/>
      <c r="H2136" s="145"/>
      <c r="I2136" s="123"/>
    </row>
    <row r="2137" spans="3:9" x14ac:dyDescent="0.25">
      <c r="C2137" s="142"/>
      <c r="D2137" s="143"/>
      <c r="E2137" s="142"/>
      <c r="F2137" s="144"/>
      <c r="G2137" s="120"/>
      <c r="H2137" s="145"/>
      <c r="I2137" s="123"/>
    </row>
    <row r="2138" spans="3:9" x14ac:dyDescent="0.25">
      <c r="C2138" s="142"/>
      <c r="D2138" s="143"/>
      <c r="E2138" s="142"/>
      <c r="F2138" s="144"/>
      <c r="G2138" s="120"/>
      <c r="H2138" s="145"/>
      <c r="I2138" s="123"/>
    </row>
    <row r="2139" spans="3:9" x14ac:dyDescent="0.25">
      <c r="C2139" s="142"/>
      <c r="D2139" s="143"/>
      <c r="E2139" s="142"/>
      <c r="F2139" s="144"/>
      <c r="G2139" s="120"/>
      <c r="H2139" s="145"/>
      <c r="I2139" s="123"/>
    </row>
    <row r="2140" spans="3:9" x14ac:dyDescent="0.25">
      <c r="C2140" s="142"/>
      <c r="D2140" s="143"/>
      <c r="E2140" s="142"/>
      <c r="F2140" s="144"/>
      <c r="G2140" s="120"/>
      <c r="H2140" s="145"/>
      <c r="I2140" s="123"/>
    </row>
    <row r="2141" spans="3:9" x14ac:dyDescent="0.25">
      <c r="C2141" s="142"/>
      <c r="D2141" s="143"/>
      <c r="E2141" s="142"/>
      <c r="F2141" s="144"/>
      <c r="G2141" s="120"/>
      <c r="H2141" s="145"/>
      <c r="I2141" s="123"/>
    </row>
    <row r="2142" spans="3:9" x14ac:dyDescent="0.25">
      <c r="C2142" s="142"/>
      <c r="D2142" s="143"/>
      <c r="E2142" s="142"/>
      <c r="F2142" s="144"/>
      <c r="G2142" s="120"/>
      <c r="H2142" s="145"/>
      <c r="I2142" s="123"/>
    </row>
    <row r="2143" spans="3:9" x14ac:dyDescent="0.25">
      <c r="C2143" s="142"/>
      <c r="D2143" s="143"/>
      <c r="E2143" s="142"/>
      <c r="F2143" s="144"/>
      <c r="G2143" s="120"/>
      <c r="H2143" s="145"/>
      <c r="I2143" s="123"/>
    </row>
    <row r="2144" spans="3:9" x14ac:dyDescent="0.25">
      <c r="C2144" s="142"/>
      <c r="D2144" s="143"/>
      <c r="E2144" s="142"/>
      <c r="F2144" s="144"/>
      <c r="G2144" s="120"/>
      <c r="H2144" s="145"/>
      <c r="I2144" s="123"/>
    </row>
    <row r="2145" spans="3:9" x14ac:dyDescent="0.25">
      <c r="C2145" s="142"/>
      <c r="D2145" s="143"/>
      <c r="E2145" s="142"/>
      <c r="F2145" s="144"/>
      <c r="G2145" s="120"/>
      <c r="H2145" s="145"/>
      <c r="I2145" s="123"/>
    </row>
    <row r="2146" spans="3:9" x14ac:dyDescent="0.25">
      <c r="C2146" s="142"/>
      <c r="D2146" s="143"/>
      <c r="E2146" s="142"/>
      <c r="F2146" s="144"/>
      <c r="G2146" s="120"/>
      <c r="H2146" s="145"/>
      <c r="I2146" s="123"/>
    </row>
    <row r="2147" spans="3:9" x14ac:dyDescent="0.25">
      <c r="C2147" s="142"/>
      <c r="D2147" s="143"/>
      <c r="E2147" s="142"/>
      <c r="F2147" s="144"/>
      <c r="G2147" s="120"/>
      <c r="H2147" s="145"/>
      <c r="I2147" s="123"/>
    </row>
    <row r="2148" spans="3:9" x14ac:dyDescent="0.25">
      <c r="C2148" s="142"/>
      <c r="D2148" s="143"/>
      <c r="E2148" s="142"/>
      <c r="F2148" s="144"/>
      <c r="G2148" s="120"/>
      <c r="H2148" s="145"/>
      <c r="I2148" s="123"/>
    </row>
    <row r="2149" spans="3:9" x14ac:dyDescent="0.25">
      <c r="C2149" s="142"/>
      <c r="D2149" s="143"/>
      <c r="E2149" s="142"/>
      <c r="F2149" s="144"/>
      <c r="G2149" s="120"/>
      <c r="H2149" s="145"/>
      <c r="I2149" s="123"/>
    </row>
    <row r="2150" spans="3:9" x14ac:dyDescent="0.25">
      <c r="C2150" s="142"/>
      <c r="D2150" s="143"/>
      <c r="E2150" s="142"/>
      <c r="F2150" s="144"/>
      <c r="G2150" s="120"/>
      <c r="H2150" s="145"/>
      <c r="I2150" s="123"/>
    </row>
    <row r="2151" spans="3:9" x14ac:dyDescent="0.25">
      <c r="C2151" s="142"/>
      <c r="D2151" s="143"/>
      <c r="E2151" s="142"/>
      <c r="F2151" s="144"/>
      <c r="G2151" s="120"/>
      <c r="H2151" s="145"/>
      <c r="I2151" s="123"/>
    </row>
    <row r="2152" spans="3:9" x14ac:dyDescent="0.25">
      <c r="C2152" s="142"/>
      <c r="D2152" s="143"/>
      <c r="E2152" s="142"/>
      <c r="F2152" s="144"/>
      <c r="G2152" s="120"/>
      <c r="H2152" s="145"/>
      <c r="I2152" s="123"/>
    </row>
    <row r="2153" spans="3:9" x14ac:dyDescent="0.25">
      <c r="C2153" s="142"/>
      <c r="D2153" s="143"/>
      <c r="E2153" s="142"/>
      <c r="F2153" s="144"/>
      <c r="G2153" s="120"/>
      <c r="H2153" s="145"/>
      <c r="I2153" s="123"/>
    </row>
    <row r="2154" spans="3:9" x14ac:dyDescent="0.25">
      <c r="C2154" s="142"/>
      <c r="D2154" s="143"/>
      <c r="E2154" s="142"/>
      <c r="F2154" s="144"/>
      <c r="G2154" s="120"/>
      <c r="H2154" s="145"/>
      <c r="I2154" s="123"/>
    </row>
    <row r="2155" spans="3:9" x14ac:dyDescent="0.25">
      <c r="C2155" s="142"/>
      <c r="D2155" s="143"/>
      <c r="E2155" s="142"/>
      <c r="F2155" s="144"/>
      <c r="G2155" s="120"/>
      <c r="H2155" s="145"/>
      <c r="I2155" s="123"/>
    </row>
    <row r="2156" spans="3:9" x14ac:dyDescent="0.25">
      <c r="C2156" s="142"/>
      <c r="D2156" s="143"/>
      <c r="E2156" s="142"/>
      <c r="F2156" s="144"/>
      <c r="G2156" s="120"/>
      <c r="H2156" s="145"/>
      <c r="I2156" s="123"/>
    </row>
    <row r="2157" spans="3:9" x14ac:dyDescent="0.25">
      <c r="C2157" s="142"/>
      <c r="D2157" s="143"/>
      <c r="E2157" s="142"/>
      <c r="F2157" s="144"/>
      <c r="G2157" s="120"/>
      <c r="H2157" s="145"/>
      <c r="I2157" s="123"/>
    </row>
    <row r="2158" spans="3:9" x14ac:dyDescent="0.25">
      <c r="C2158" s="142"/>
      <c r="D2158" s="143"/>
      <c r="E2158" s="142"/>
      <c r="F2158" s="144"/>
      <c r="G2158" s="120"/>
      <c r="H2158" s="145"/>
      <c r="I2158" s="123"/>
    </row>
    <row r="2159" spans="3:9" x14ac:dyDescent="0.25">
      <c r="C2159" s="142"/>
      <c r="D2159" s="143"/>
      <c r="E2159" s="142"/>
      <c r="F2159" s="144"/>
      <c r="G2159" s="120"/>
      <c r="H2159" s="145"/>
      <c r="I2159" s="123"/>
    </row>
    <row r="2160" spans="3:9" x14ac:dyDescent="0.25">
      <c r="C2160" s="142"/>
      <c r="D2160" s="143"/>
      <c r="E2160" s="142"/>
      <c r="F2160" s="144"/>
      <c r="G2160" s="120"/>
      <c r="H2160" s="145"/>
      <c r="I2160" s="123"/>
    </row>
    <row r="2161" spans="3:9" x14ac:dyDescent="0.25">
      <c r="C2161" s="142"/>
      <c r="D2161" s="143"/>
      <c r="E2161" s="142"/>
      <c r="F2161" s="144"/>
      <c r="G2161" s="120"/>
      <c r="H2161" s="145"/>
      <c r="I2161" s="123"/>
    </row>
    <row r="2162" spans="3:9" x14ac:dyDescent="0.25">
      <c r="C2162" s="142"/>
      <c r="D2162" s="143"/>
      <c r="E2162" s="142"/>
      <c r="F2162" s="144"/>
      <c r="G2162" s="120"/>
      <c r="H2162" s="145"/>
      <c r="I2162" s="123"/>
    </row>
    <row r="2163" spans="3:9" x14ac:dyDescent="0.25">
      <c r="C2163" s="142"/>
      <c r="D2163" s="143"/>
      <c r="E2163" s="142"/>
      <c r="F2163" s="144"/>
      <c r="G2163" s="120"/>
      <c r="H2163" s="145"/>
      <c r="I2163" s="123"/>
    </row>
    <row r="2164" spans="3:9" x14ac:dyDescent="0.25">
      <c r="C2164" s="142"/>
      <c r="D2164" s="143"/>
      <c r="E2164" s="142"/>
      <c r="F2164" s="144"/>
      <c r="G2164" s="120"/>
      <c r="H2164" s="145"/>
      <c r="I2164" s="123"/>
    </row>
    <row r="2165" spans="3:9" x14ac:dyDescent="0.25">
      <c r="C2165" s="142"/>
      <c r="D2165" s="143"/>
      <c r="E2165" s="142"/>
      <c r="F2165" s="144"/>
      <c r="G2165" s="120"/>
      <c r="H2165" s="145"/>
      <c r="I2165" s="123"/>
    </row>
    <row r="2166" spans="3:9" x14ac:dyDescent="0.25">
      <c r="C2166" s="142"/>
      <c r="D2166" s="143"/>
      <c r="E2166" s="142"/>
      <c r="F2166" s="144"/>
      <c r="G2166" s="120"/>
      <c r="H2166" s="145"/>
      <c r="I2166" s="123"/>
    </row>
    <row r="2167" spans="3:9" x14ac:dyDescent="0.25">
      <c r="C2167" s="142"/>
      <c r="D2167" s="143"/>
      <c r="E2167" s="142"/>
      <c r="F2167" s="144"/>
      <c r="G2167" s="120"/>
      <c r="H2167" s="145"/>
      <c r="I2167" s="123"/>
    </row>
    <row r="2168" spans="3:9" x14ac:dyDescent="0.25">
      <c r="C2168" s="142"/>
      <c r="D2168" s="143"/>
      <c r="E2168" s="142"/>
      <c r="F2168" s="144"/>
      <c r="G2168" s="120"/>
      <c r="H2168" s="145"/>
      <c r="I2168" s="123"/>
    </row>
    <row r="2169" spans="3:9" x14ac:dyDescent="0.25">
      <c r="C2169" s="142"/>
      <c r="D2169" s="143"/>
      <c r="E2169" s="142"/>
      <c r="F2169" s="144"/>
      <c r="G2169" s="120"/>
      <c r="H2169" s="145"/>
      <c r="I2169" s="123"/>
    </row>
    <row r="2170" spans="3:9" x14ac:dyDescent="0.25">
      <c r="C2170" s="142"/>
      <c r="D2170" s="143"/>
      <c r="E2170" s="142"/>
      <c r="F2170" s="144"/>
      <c r="G2170" s="120"/>
      <c r="H2170" s="145"/>
      <c r="I2170" s="123"/>
    </row>
    <row r="2171" spans="3:9" x14ac:dyDescent="0.25">
      <c r="C2171" s="142"/>
      <c r="D2171" s="143"/>
      <c r="E2171" s="142"/>
      <c r="F2171" s="144"/>
      <c r="G2171" s="120"/>
      <c r="H2171" s="145"/>
      <c r="I2171" s="123"/>
    </row>
    <row r="2172" spans="3:9" x14ac:dyDescent="0.25">
      <c r="C2172" s="142"/>
      <c r="D2172" s="143"/>
      <c r="E2172" s="142"/>
      <c r="F2172" s="144"/>
      <c r="G2172" s="120"/>
      <c r="H2172" s="145"/>
      <c r="I2172" s="123"/>
    </row>
    <row r="2173" spans="3:9" x14ac:dyDescent="0.25">
      <c r="C2173" s="142"/>
      <c r="D2173" s="143"/>
      <c r="E2173" s="142"/>
      <c r="F2173" s="144"/>
      <c r="G2173" s="120"/>
      <c r="H2173" s="145"/>
      <c r="I2173" s="123"/>
    </row>
    <row r="2174" spans="3:9" x14ac:dyDescent="0.25">
      <c r="C2174" s="142"/>
      <c r="D2174" s="143"/>
      <c r="E2174" s="142"/>
      <c r="F2174" s="144"/>
      <c r="G2174" s="120"/>
      <c r="H2174" s="145"/>
      <c r="I2174" s="123"/>
    </row>
    <row r="2175" spans="3:9" x14ac:dyDescent="0.25">
      <c r="C2175" s="142"/>
      <c r="D2175" s="143"/>
      <c r="E2175" s="142"/>
      <c r="F2175" s="144"/>
      <c r="G2175" s="120"/>
      <c r="H2175" s="145"/>
      <c r="I2175" s="123"/>
    </row>
    <row r="2176" spans="3:9" x14ac:dyDescent="0.25">
      <c r="C2176" s="142"/>
      <c r="D2176" s="143"/>
      <c r="E2176" s="142"/>
      <c r="F2176" s="144"/>
      <c r="G2176" s="120"/>
      <c r="H2176" s="145"/>
      <c r="I2176" s="123"/>
    </row>
    <row r="2177" spans="1:9" x14ac:dyDescent="0.25">
      <c r="C2177" s="142"/>
      <c r="D2177" s="143"/>
      <c r="E2177" s="142"/>
      <c r="F2177" s="144"/>
      <c r="G2177" s="120"/>
      <c r="H2177" s="145"/>
      <c r="I2177" s="123"/>
    </row>
    <row r="2178" spans="1:9" x14ac:dyDescent="0.25">
      <c r="C2178" s="142"/>
      <c r="D2178" s="143"/>
      <c r="E2178" s="142"/>
      <c r="F2178" s="144"/>
      <c r="G2178" s="120"/>
      <c r="H2178" s="145"/>
      <c r="I2178" s="123"/>
    </row>
    <row r="2179" spans="1:9" x14ac:dyDescent="0.25">
      <c r="C2179" s="142"/>
      <c r="D2179" s="143"/>
      <c r="E2179" s="142"/>
      <c r="F2179" s="144"/>
      <c r="G2179" s="120"/>
      <c r="H2179" s="145"/>
      <c r="I2179" s="123"/>
    </row>
    <row r="2180" spans="1:9" s="12" customFormat="1" x14ac:dyDescent="0.25">
      <c r="A2180" s="59"/>
      <c r="B2180" s="59"/>
      <c r="C2180" s="142"/>
      <c r="D2180" s="143"/>
      <c r="E2180" s="142"/>
      <c r="F2180" s="144"/>
      <c r="G2180" s="120"/>
      <c r="H2180" s="145"/>
      <c r="I2180" s="123"/>
    </row>
    <row r="2181" spans="1:9" x14ac:dyDescent="0.25">
      <c r="C2181" s="142"/>
      <c r="D2181" s="143"/>
      <c r="E2181" s="142"/>
      <c r="F2181" s="144"/>
      <c r="G2181" s="120"/>
      <c r="H2181" s="145"/>
      <c r="I2181" s="123"/>
    </row>
    <row r="2182" spans="1:9" x14ac:dyDescent="0.25">
      <c r="C2182" s="142"/>
      <c r="D2182" s="143"/>
      <c r="E2182" s="142"/>
      <c r="F2182" s="144"/>
      <c r="G2182" s="120"/>
      <c r="H2182" s="145"/>
      <c r="I2182" s="123"/>
    </row>
    <row r="2183" spans="1:9" x14ac:dyDescent="0.25">
      <c r="C2183" s="142"/>
      <c r="D2183" s="143"/>
      <c r="E2183" s="142"/>
      <c r="F2183" s="144"/>
      <c r="G2183" s="120"/>
      <c r="H2183" s="145"/>
      <c r="I2183" s="123"/>
    </row>
    <row r="2184" spans="1:9" x14ac:dyDescent="0.25">
      <c r="C2184" s="142"/>
      <c r="D2184" s="143"/>
      <c r="E2184" s="142"/>
      <c r="F2184" s="144"/>
      <c r="G2184" s="120"/>
      <c r="H2184" s="145"/>
      <c r="I2184" s="123"/>
    </row>
    <row r="2185" spans="1:9" x14ac:dyDescent="0.25">
      <c r="C2185" s="142"/>
      <c r="D2185" s="143"/>
      <c r="E2185" s="142"/>
      <c r="F2185" s="144"/>
      <c r="G2185" s="120"/>
      <c r="H2185" s="145"/>
      <c r="I2185" s="123"/>
    </row>
    <row r="2186" spans="1:9" x14ac:dyDescent="0.25">
      <c r="C2186" s="142"/>
      <c r="D2186" s="143"/>
      <c r="E2186" s="142"/>
      <c r="F2186" s="144"/>
      <c r="G2186" s="120"/>
      <c r="H2186" s="145"/>
      <c r="I2186" s="123"/>
    </row>
    <row r="2187" spans="1:9" x14ac:dyDescent="0.25">
      <c r="C2187" s="142"/>
      <c r="D2187" s="143"/>
      <c r="E2187" s="142"/>
      <c r="F2187" s="144"/>
      <c r="G2187" s="120"/>
      <c r="H2187" s="145"/>
      <c r="I2187" s="123"/>
    </row>
    <row r="2188" spans="1:9" x14ac:dyDescent="0.25">
      <c r="C2188" s="142"/>
      <c r="D2188" s="143"/>
      <c r="E2188" s="142"/>
      <c r="F2188" s="144"/>
      <c r="G2188" s="120"/>
      <c r="H2188" s="145"/>
      <c r="I2188" s="123"/>
    </row>
    <row r="2189" spans="1:9" x14ac:dyDescent="0.25">
      <c r="C2189" s="142"/>
      <c r="D2189" s="143"/>
      <c r="E2189" s="142"/>
      <c r="F2189" s="144"/>
      <c r="G2189" s="120"/>
      <c r="H2189" s="145"/>
      <c r="I2189" s="123"/>
    </row>
    <row r="2190" spans="1:9" x14ac:dyDescent="0.25">
      <c r="C2190" s="142"/>
      <c r="D2190" s="143"/>
      <c r="E2190" s="142"/>
      <c r="F2190" s="144"/>
      <c r="G2190" s="120"/>
      <c r="H2190" s="145"/>
      <c r="I2190" s="123"/>
    </row>
    <row r="2191" spans="1:9" x14ac:dyDescent="0.25">
      <c r="C2191" s="142"/>
      <c r="D2191" s="143"/>
      <c r="E2191" s="142"/>
      <c r="F2191" s="144"/>
      <c r="G2191" s="120"/>
      <c r="H2191" s="145"/>
      <c r="I2191" s="123"/>
    </row>
    <row r="2192" spans="1:9" x14ac:dyDescent="0.25">
      <c r="C2192" s="142"/>
      <c r="D2192" s="143"/>
      <c r="E2192" s="142"/>
      <c r="F2192" s="144"/>
      <c r="G2192" s="120"/>
      <c r="H2192" s="145"/>
      <c r="I2192" s="123"/>
    </row>
    <row r="2193" spans="1:9" x14ac:dyDescent="0.25">
      <c r="C2193" s="142"/>
      <c r="D2193" s="143"/>
      <c r="E2193" s="142"/>
      <c r="F2193" s="144"/>
      <c r="G2193" s="120"/>
      <c r="H2193" s="145"/>
      <c r="I2193" s="123"/>
    </row>
    <row r="2194" spans="1:9" x14ac:dyDescent="0.25">
      <c r="C2194" s="142"/>
      <c r="D2194" s="143"/>
      <c r="E2194" s="142"/>
      <c r="F2194" s="144"/>
      <c r="G2194" s="120"/>
      <c r="H2194" s="145"/>
      <c r="I2194" s="123"/>
    </row>
    <row r="2195" spans="1:9" x14ac:dyDescent="0.25">
      <c r="C2195" s="142"/>
      <c r="D2195" s="143"/>
      <c r="E2195" s="142"/>
      <c r="F2195" s="144"/>
      <c r="G2195" s="120"/>
      <c r="H2195" s="145"/>
      <c r="I2195" s="123"/>
    </row>
    <row r="2196" spans="1:9" x14ac:dyDescent="0.25">
      <c r="C2196" s="142"/>
      <c r="D2196" s="143"/>
      <c r="E2196" s="142"/>
      <c r="F2196" s="144"/>
      <c r="G2196" s="120"/>
      <c r="H2196" s="145"/>
      <c r="I2196" s="123"/>
    </row>
    <row r="2197" spans="1:9" x14ac:dyDescent="0.25">
      <c r="C2197" s="142"/>
      <c r="D2197" s="143"/>
      <c r="E2197" s="142"/>
      <c r="F2197" s="144"/>
      <c r="G2197" s="120"/>
      <c r="H2197" s="145"/>
      <c r="I2197" s="123"/>
    </row>
    <row r="2198" spans="1:9" x14ac:dyDescent="0.25">
      <c r="C2198" s="142"/>
      <c r="D2198" s="143"/>
      <c r="E2198" s="142"/>
      <c r="F2198" s="144"/>
      <c r="G2198" s="120"/>
      <c r="H2198" s="145"/>
      <c r="I2198" s="123"/>
    </row>
    <row r="2199" spans="1:9" x14ac:dyDescent="0.25">
      <c r="C2199" s="142"/>
      <c r="D2199" s="143"/>
      <c r="E2199" s="142"/>
      <c r="F2199" s="144"/>
      <c r="G2199" s="120"/>
      <c r="H2199" s="145"/>
      <c r="I2199" s="123"/>
    </row>
    <row r="2200" spans="1:9" x14ac:dyDescent="0.25">
      <c r="C2200" s="142"/>
      <c r="D2200" s="143"/>
      <c r="E2200" s="142"/>
      <c r="F2200" s="144"/>
      <c r="G2200" s="120"/>
      <c r="H2200" s="145"/>
      <c r="I2200" s="123"/>
    </row>
    <row r="2201" spans="1:9" x14ac:dyDescent="0.25">
      <c r="C2201" s="142"/>
      <c r="D2201" s="143"/>
      <c r="E2201" s="142"/>
      <c r="F2201" s="144"/>
      <c r="G2201" s="120"/>
      <c r="H2201" s="145"/>
      <c r="I2201" s="123"/>
    </row>
    <row r="2202" spans="1:9" x14ac:dyDescent="0.25">
      <c r="C2202" s="142"/>
      <c r="D2202" s="143"/>
      <c r="E2202" s="142"/>
      <c r="F2202" s="144"/>
      <c r="G2202" s="120"/>
      <c r="H2202" s="145"/>
      <c r="I2202" s="123"/>
    </row>
    <row r="2203" spans="1:9" x14ac:dyDescent="0.25">
      <c r="C2203" s="142"/>
      <c r="D2203" s="143"/>
      <c r="E2203" s="142"/>
      <c r="F2203" s="144"/>
      <c r="G2203" s="120"/>
      <c r="H2203" s="145"/>
      <c r="I2203" s="123"/>
    </row>
    <row r="2204" spans="1:9" x14ac:dyDescent="0.25">
      <c r="C2204" s="142"/>
      <c r="D2204" s="143"/>
      <c r="E2204" s="142"/>
      <c r="F2204" s="144"/>
      <c r="G2204" s="120"/>
      <c r="H2204" s="145"/>
      <c r="I2204" s="123"/>
    </row>
    <row r="2205" spans="1:9" s="42" customFormat="1" x14ac:dyDescent="0.25">
      <c r="A2205" s="59"/>
      <c r="B2205" s="59"/>
      <c r="C2205" s="142"/>
      <c r="D2205" s="143"/>
      <c r="E2205" s="142"/>
      <c r="F2205" s="144"/>
      <c r="G2205" s="120"/>
      <c r="H2205" s="145"/>
      <c r="I2205" s="123"/>
    </row>
    <row r="2206" spans="1:9" x14ac:dyDescent="0.25">
      <c r="C2206" s="142"/>
      <c r="D2206" s="143"/>
      <c r="E2206" s="142"/>
      <c r="F2206" s="144"/>
      <c r="G2206" s="120"/>
      <c r="H2206" s="145"/>
      <c r="I2206" s="123"/>
    </row>
    <row r="2207" spans="1:9" x14ac:dyDescent="0.25">
      <c r="C2207" s="142"/>
      <c r="D2207" s="143"/>
      <c r="E2207" s="142"/>
      <c r="F2207" s="144"/>
      <c r="G2207" s="120"/>
      <c r="H2207" s="145"/>
      <c r="I2207" s="123"/>
    </row>
    <row r="2208" spans="1:9" x14ac:dyDescent="0.25">
      <c r="C2208" s="142"/>
      <c r="D2208" s="143"/>
      <c r="E2208" s="142"/>
      <c r="F2208" s="144"/>
      <c r="G2208" s="120"/>
      <c r="H2208" s="145"/>
      <c r="I2208" s="123"/>
    </row>
    <row r="2209" spans="1:9" x14ac:dyDescent="0.25">
      <c r="C2209" s="142"/>
      <c r="D2209" s="143"/>
      <c r="E2209" s="142"/>
      <c r="F2209" s="144"/>
      <c r="G2209" s="120"/>
      <c r="H2209" s="145"/>
      <c r="I2209" s="123"/>
    </row>
    <row r="2210" spans="1:9" s="49" customFormat="1" x14ac:dyDescent="0.25">
      <c r="A2210" s="59"/>
      <c r="B2210" s="59"/>
      <c r="C2210" s="142"/>
      <c r="D2210" s="143"/>
      <c r="E2210" s="142"/>
      <c r="F2210" s="144"/>
      <c r="G2210" s="120"/>
      <c r="H2210" s="145"/>
      <c r="I2210" s="123"/>
    </row>
    <row r="2211" spans="1:9" x14ac:dyDescent="0.25">
      <c r="C2211" s="142"/>
      <c r="D2211" s="143"/>
      <c r="E2211" s="142"/>
      <c r="F2211" s="144"/>
      <c r="G2211" s="120"/>
      <c r="H2211" s="145"/>
      <c r="I2211" s="123"/>
    </row>
    <row r="2212" spans="1:9" x14ac:dyDescent="0.25">
      <c r="C2212" s="142"/>
      <c r="D2212" s="143"/>
      <c r="E2212" s="142"/>
      <c r="F2212" s="144"/>
      <c r="G2212" s="120"/>
      <c r="H2212" s="145"/>
      <c r="I2212" s="123"/>
    </row>
    <row r="2213" spans="1:9" x14ac:dyDescent="0.25">
      <c r="C2213" s="142"/>
      <c r="D2213" s="143"/>
      <c r="E2213" s="142"/>
      <c r="F2213" s="144"/>
      <c r="G2213" s="120"/>
      <c r="H2213" s="145"/>
      <c r="I2213" s="123"/>
    </row>
    <row r="2214" spans="1:9" x14ac:dyDescent="0.25">
      <c r="C2214" s="142"/>
      <c r="D2214" s="143"/>
      <c r="E2214" s="142"/>
      <c r="F2214" s="144"/>
      <c r="G2214" s="120"/>
      <c r="H2214" s="145"/>
      <c r="I2214" s="123"/>
    </row>
    <row r="2215" spans="1:9" x14ac:dyDescent="0.25">
      <c r="C2215" s="142"/>
      <c r="D2215" s="143"/>
      <c r="E2215" s="142"/>
      <c r="F2215" s="144"/>
      <c r="G2215" s="120"/>
      <c r="H2215" s="145"/>
      <c r="I2215" s="123"/>
    </row>
    <row r="2216" spans="1:9" x14ac:dyDescent="0.25">
      <c r="C2216" s="142"/>
      <c r="D2216" s="143"/>
      <c r="E2216" s="142"/>
      <c r="F2216" s="144"/>
      <c r="G2216" s="120"/>
      <c r="H2216" s="145"/>
      <c r="I2216" s="123"/>
    </row>
    <row r="2217" spans="1:9" x14ac:dyDescent="0.25">
      <c r="C2217" s="142"/>
      <c r="D2217" s="143"/>
      <c r="E2217" s="142"/>
      <c r="F2217" s="144"/>
      <c r="G2217" s="120"/>
      <c r="H2217" s="145"/>
      <c r="I2217" s="123"/>
    </row>
    <row r="2218" spans="1:9" x14ac:dyDescent="0.25">
      <c r="C2218" s="142"/>
      <c r="D2218" s="143"/>
      <c r="E2218" s="142"/>
      <c r="F2218" s="144"/>
      <c r="G2218" s="120"/>
      <c r="H2218" s="145"/>
      <c r="I2218" s="123"/>
    </row>
    <row r="2219" spans="1:9" x14ac:dyDescent="0.25">
      <c r="C2219" s="142"/>
      <c r="D2219" s="143"/>
      <c r="E2219" s="142"/>
      <c r="F2219" s="144"/>
      <c r="G2219" s="120"/>
      <c r="H2219" s="145"/>
      <c r="I2219" s="123"/>
    </row>
    <row r="2220" spans="1:9" x14ac:dyDescent="0.25">
      <c r="C2220" s="142"/>
      <c r="D2220" s="143"/>
      <c r="E2220" s="142"/>
      <c r="F2220" s="144"/>
      <c r="G2220" s="120"/>
      <c r="H2220" s="145"/>
      <c r="I2220" s="123"/>
    </row>
    <row r="2221" spans="1:9" x14ac:dyDescent="0.25">
      <c r="C2221" s="142"/>
      <c r="D2221" s="143"/>
      <c r="E2221" s="142"/>
      <c r="F2221" s="144"/>
      <c r="G2221" s="120"/>
      <c r="H2221" s="145"/>
      <c r="I2221" s="123"/>
    </row>
    <row r="2222" spans="1:9" x14ac:dyDescent="0.25">
      <c r="C2222" s="132"/>
      <c r="D2222" s="135"/>
      <c r="E2222" s="136"/>
      <c r="F2222" s="122"/>
      <c r="G2222" s="122"/>
      <c r="I2222" s="123"/>
    </row>
    <row r="2223" spans="1:9" x14ac:dyDescent="0.25">
      <c r="C2223" s="133"/>
      <c r="D2223" s="135"/>
      <c r="E2223" s="136"/>
      <c r="F2223" s="122"/>
      <c r="G2223" s="122"/>
      <c r="I2223" s="123"/>
    </row>
    <row r="2224" spans="1:9" x14ac:dyDescent="0.25">
      <c r="C2224" s="133"/>
      <c r="D2224" s="135"/>
      <c r="E2224" s="136"/>
      <c r="F2224" s="122"/>
      <c r="G2224" s="122"/>
      <c r="I2224" s="123"/>
    </row>
    <row r="2225" spans="3:9" x14ac:dyDescent="0.25">
      <c r="C2225" s="134"/>
      <c r="D2225" s="137"/>
      <c r="E2225" s="138"/>
      <c r="F2225" s="118"/>
      <c r="G2225" s="118"/>
      <c r="I2225" s="123"/>
    </row>
    <row r="2226" spans="3:9" x14ac:dyDescent="0.25">
      <c r="C2226" s="134"/>
      <c r="D2226" s="137"/>
      <c r="E2226" s="139"/>
      <c r="F2226" s="118"/>
      <c r="G2226" s="118"/>
      <c r="I2226" s="123"/>
    </row>
    <row r="2227" spans="3:9" x14ac:dyDescent="0.25">
      <c r="F2227" s="79"/>
      <c r="I2227" s="123"/>
    </row>
    <row r="2228" spans="3:9" x14ac:dyDescent="0.25">
      <c r="F2228" s="79"/>
      <c r="I2228" s="123"/>
    </row>
    <row r="2229" spans="3:9" x14ac:dyDescent="0.25">
      <c r="F2229" s="79"/>
      <c r="I2229" s="123"/>
    </row>
    <row r="2230" spans="3:9" x14ac:dyDescent="0.25">
      <c r="F2230" s="79"/>
      <c r="I2230" s="123"/>
    </row>
    <row r="2231" spans="3:9" x14ac:dyDescent="0.25">
      <c r="F2231" s="79"/>
      <c r="I2231" s="123"/>
    </row>
    <row r="2232" spans="3:9" x14ac:dyDescent="0.25">
      <c r="F2232" s="79"/>
      <c r="I2232" s="123"/>
    </row>
    <row r="2233" spans="3:9" x14ac:dyDescent="0.25">
      <c r="F2233" s="79"/>
      <c r="I2233" s="123"/>
    </row>
    <row r="2234" spans="3:9" x14ac:dyDescent="0.25">
      <c r="C2234" s="41"/>
      <c r="D2234" s="39"/>
      <c r="E2234" s="40"/>
      <c r="F2234" s="87"/>
      <c r="G2234" s="40"/>
      <c r="H2234" s="40"/>
      <c r="I2234" s="123"/>
    </row>
    <row r="2235" spans="3:9" x14ac:dyDescent="0.25">
      <c r="F2235" s="79"/>
      <c r="I2235" s="123"/>
    </row>
    <row r="2236" spans="3:9" x14ac:dyDescent="0.25">
      <c r="C2236" s="45"/>
      <c r="D2236" s="43"/>
      <c r="E2236" s="44"/>
      <c r="F2236" s="80"/>
      <c r="G2236" s="44"/>
      <c r="H2236" s="44"/>
      <c r="I2236" s="123"/>
    </row>
    <row r="2237" spans="3:9" x14ac:dyDescent="0.25">
      <c r="F2237" s="79"/>
      <c r="I2237" s="123"/>
    </row>
    <row r="2238" spans="3:9" x14ac:dyDescent="0.25">
      <c r="F2238" s="79"/>
      <c r="I2238" s="123"/>
    </row>
    <row r="2239" spans="3:9" x14ac:dyDescent="0.25">
      <c r="F2239" s="79"/>
      <c r="I2239" s="123"/>
    </row>
    <row r="2240" spans="3:9" x14ac:dyDescent="0.25">
      <c r="F2240" s="79"/>
      <c r="I2240" s="123"/>
    </row>
    <row r="2241" spans="6:9" x14ac:dyDescent="0.25">
      <c r="F2241" s="79"/>
      <c r="I2241" s="123"/>
    </row>
    <row r="2242" spans="6:9" x14ac:dyDescent="0.25">
      <c r="F2242" s="79"/>
      <c r="I2242" s="123"/>
    </row>
    <row r="2243" spans="6:9" x14ac:dyDescent="0.25">
      <c r="F2243" s="79"/>
      <c r="I2243" s="123"/>
    </row>
    <row r="2244" spans="6:9" x14ac:dyDescent="0.25">
      <c r="F2244" s="79"/>
      <c r="I2244" s="123"/>
    </row>
    <row r="2245" spans="6:9" x14ac:dyDescent="0.25">
      <c r="F2245" s="79"/>
      <c r="I2245" s="123"/>
    </row>
    <row r="2246" spans="6:9" x14ac:dyDescent="0.25">
      <c r="F2246" s="79"/>
      <c r="I2246" s="123"/>
    </row>
    <row r="2247" spans="6:9" x14ac:dyDescent="0.25">
      <c r="F2247" s="79"/>
      <c r="I2247" s="123"/>
    </row>
    <row r="2248" spans="6:9" x14ac:dyDescent="0.25">
      <c r="F2248" s="79"/>
      <c r="I2248" s="123"/>
    </row>
    <row r="2249" spans="6:9" x14ac:dyDescent="0.25">
      <c r="F2249" s="79"/>
      <c r="I2249" s="123"/>
    </row>
    <row r="2250" spans="6:9" x14ac:dyDescent="0.25">
      <c r="F2250" s="79"/>
      <c r="I2250" s="123"/>
    </row>
    <row r="2251" spans="6:9" x14ac:dyDescent="0.25">
      <c r="F2251" s="79"/>
      <c r="I2251" s="123"/>
    </row>
    <row r="2252" spans="6:9" x14ac:dyDescent="0.25">
      <c r="F2252" s="79"/>
      <c r="I2252" s="123"/>
    </row>
    <row r="2253" spans="6:9" x14ac:dyDescent="0.25">
      <c r="F2253" s="79"/>
      <c r="I2253" s="123"/>
    </row>
    <row r="2254" spans="6:9" x14ac:dyDescent="0.25">
      <c r="F2254" s="79"/>
      <c r="I2254" s="123"/>
    </row>
    <row r="2255" spans="6:9" x14ac:dyDescent="0.25">
      <c r="F2255" s="79"/>
      <c r="I2255" s="123"/>
    </row>
    <row r="2256" spans="6:9" x14ac:dyDescent="0.25">
      <c r="F2256" s="79"/>
      <c r="I2256" s="123"/>
    </row>
    <row r="2257" spans="3:9" x14ac:dyDescent="0.25">
      <c r="F2257" s="79"/>
      <c r="I2257" s="123"/>
    </row>
    <row r="2258" spans="3:9" x14ac:dyDescent="0.25">
      <c r="F2258" s="79"/>
      <c r="I2258" s="123"/>
    </row>
    <row r="2259" spans="3:9" x14ac:dyDescent="0.25">
      <c r="F2259" s="79"/>
      <c r="I2259" s="123"/>
    </row>
    <row r="2260" spans="3:9" x14ac:dyDescent="0.25">
      <c r="F2260" s="79"/>
      <c r="I2260" s="123"/>
    </row>
    <row r="2261" spans="3:9" x14ac:dyDescent="0.25">
      <c r="D2261" s="62"/>
      <c r="F2261" s="79"/>
      <c r="I2261" s="123"/>
    </row>
    <row r="2262" spans="3:9" x14ac:dyDescent="0.25">
      <c r="F2262" s="79"/>
      <c r="I2262" s="123"/>
    </row>
    <row r="2263" spans="3:9" x14ac:dyDescent="0.25">
      <c r="F2263" s="79"/>
      <c r="I2263" s="123"/>
    </row>
    <row r="2264" spans="3:9" x14ac:dyDescent="0.25">
      <c r="F2264" s="79"/>
      <c r="I2264" s="123"/>
    </row>
    <row r="2265" spans="3:9" x14ac:dyDescent="0.25">
      <c r="F2265" s="79"/>
      <c r="I2265" s="123"/>
    </row>
    <row r="2266" spans="3:9" x14ac:dyDescent="0.25">
      <c r="F2266" s="79"/>
      <c r="I2266" s="123"/>
    </row>
    <row r="2267" spans="3:9" x14ac:dyDescent="0.25">
      <c r="C2267" s="123"/>
      <c r="E2267" s="123"/>
      <c r="F2267" s="79"/>
      <c r="G2267" s="123"/>
      <c r="H2267" s="123"/>
      <c r="I2267" s="123"/>
    </row>
    <row r="2268" spans="3:9" x14ac:dyDescent="0.25">
      <c r="F2268" s="79"/>
      <c r="I2268" s="123"/>
    </row>
    <row r="2269" spans="3:9" x14ac:dyDescent="0.25">
      <c r="F2269" s="79"/>
      <c r="I2269" s="123"/>
    </row>
    <row r="2270" spans="3:9" x14ac:dyDescent="0.25">
      <c r="F2270" s="79"/>
      <c r="I2270" s="123"/>
    </row>
    <row r="2271" spans="3:9" x14ac:dyDescent="0.25">
      <c r="F2271" s="79"/>
      <c r="I2271" s="123"/>
    </row>
    <row r="2272" spans="3:9" x14ac:dyDescent="0.25">
      <c r="F2272" s="79"/>
      <c r="I2272" s="123"/>
    </row>
    <row r="2273" spans="1:9" s="8" customFormat="1" x14ac:dyDescent="0.25">
      <c r="A2273" s="59"/>
      <c r="B2273" s="59"/>
      <c r="C2273" s="59"/>
      <c r="D2273" s="60"/>
      <c r="E2273" s="59"/>
      <c r="F2273" s="79"/>
      <c r="G2273" s="59"/>
      <c r="H2273" s="59"/>
      <c r="I2273" s="123"/>
    </row>
    <row r="2274" spans="1:9" s="8" customFormat="1" x14ac:dyDescent="0.25">
      <c r="A2274" s="59"/>
      <c r="B2274" s="59"/>
      <c r="C2274" s="59"/>
      <c r="D2274" s="60"/>
      <c r="E2274" s="59"/>
      <c r="F2274" s="79"/>
      <c r="G2274" s="59"/>
      <c r="H2274" s="59"/>
      <c r="I2274" s="123"/>
    </row>
    <row r="2275" spans="1:9" s="8" customFormat="1" x14ac:dyDescent="0.25">
      <c r="A2275" s="59"/>
      <c r="B2275" s="59"/>
      <c r="C2275" s="59"/>
      <c r="D2275" s="60"/>
      <c r="E2275" s="59"/>
      <c r="F2275" s="79"/>
      <c r="G2275" s="59"/>
      <c r="H2275" s="59"/>
      <c r="I2275" s="123"/>
    </row>
    <row r="2276" spans="1:9" s="8" customFormat="1" x14ac:dyDescent="0.25">
      <c r="A2276" s="59"/>
      <c r="B2276" s="59"/>
      <c r="C2276" s="59"/>
      <c r="D2276" s="60"/>
      <c r="E2276" s="59"/>
      <c r="F2276" s="79"/>
      <c r="G2276" s="59"/>
      <c r="H2276" s="59"/>
      <c r="I2276" s="123"/>
    </row>
    <row r="2277" spans="1:9" s="8" customFormat="1" x14ac:dyDescent="0.25">
      <c r="A2277" s="59"/>
      <c r="B2277" s="59"/>
      <c r="C2277" s="123"/>
      <c r="D2277" s="60"/>
      <c r="E2277" s="123"/>
      <c r="F2277" s="79"/>
      <c r="G2277" s="123"/>
      <c r="H2277" s="123"/>
      <c r="I2277" s="123"/>
    </row>
    <row r="2278" spans="1:9" s="8" customFormat="1" x14ac:dyDescent="0.25">
      <c r="A2278" s="59"/>
      <c r="B2278" s="59"/>
      <c r="C2278" s="123"/>
      <c r="D2278" s="60"/>
      <c r="E2278" s="123"/>
      <c r="F2278" s="79"/>
      <c r="G2278" s="123"/>
      <c r="H2278" s="123"/>
      <c r="I2278" s="123"/>
    </row>
    <row r="2279" spans="1:9" x14ac:dyDescent="0.25">
      <c r="C2279" s="123"/>
      <c r="E2279" s="123"/>
      <c r="F2279" s="79"/>
      <c r="G2279" s="123"/>
      <c r="H2279" s="123"/>
      <c r="I2279" s="123"/>
    </row>
    <row r="2280" spans="1:9" x14ac:dyDescent="0.25">
      <c r="C2280" s="123"/>
      <c r="E2280" s="123"/>
      <c r="F2280" s="79"/>
      <c r="G2280" s="123"/>
      <c r="H2280" s="123"/>
      <c r="I2280" s="123"/>
    </row>
    <row r="2281" spans="1:9" x14ac:dyDescent="0.25">
      <c r="C2281" s="123"/>
      <c r="E2281" s="123"/>
      <c r="F2281" s="79"/>
      <c r="G2281" s="123"/>
      <c r="H2281" s="123"/>
      <c r="I2281" s="123"/>
    </row>
    <row r="2282" spans="1:9" x14ac:dyDescent="0.25">
      <c r="C2282" s="123"/>
      <c r="E2282" s="123"/>
      <c r="F2282" s="79"/>
      <c r="G2282" s="123"/>
      <c r="H2282" s="123"/>
      <c r="I2282" s="123"/>
    </row>
    <row r="2283" spans="1:9" x14ac:dyDescent="0.25">
      <c r="C2283" s="123"/>
      <c r="E2283" s="123"/>
      <c r="F2283" s="79"/>
      <c r="G2283" s="123"/>
      <c r="H2283" s="123"/>
      <c r="I2283" s="123"/>
    </row>
    <row r="2284" spans="1:9" x14ac:dyDescent="0.25">
      <c r="C2284" s="123"/>
      <c r="E2284" s="123"/>
      <c r="F2284" s="79"/>
      <c r="G2284" s="123"/>
      <c r="H2284" s="123"/>
      <c r="I2284" s="123"/>
    </row>
    <row r="2285" spans="1:9" x14ac:dyDescent="0.25">
      <c r="C2285" s="123"/>
      <c r="E2285" s="123"/>
      <c r="F2285" s="79"/>
      <c r="G2285" s="123"/>
      <c r="H2285" s="123"/>
      <c r="I2285" s="123"/>
    </row>
    <row r="2286" spans="1:9" x14ac:dyDescent="0.25">
      <c r="C2286" s="123"/>
      <c r="E2286" s="123"/>
      <c r="F2286" s="79"/>
      <c r="G2286" s="123"/>
      <c r="H2286" s="123"/>
      <c r="I2286" s="123"/>
    </row>
    <row r="2287" spans="1:9" x14ac:dyDescent="0.25">
      <c r="C2287" s="123"/>
      <c r="E2287" s="123"/>
      <c r="F2287" s="79"/>
      <c r="G2287" s="123"/>
      <c r="H2287" s="123"/>
      <c r="I2287" s="123"/>
    </row>
    <row r="2288" spans="1:9" x14ac:dyDescent="0.25">
      <c r="C2288" s="123"/>
      <c r="E2288" s="123"/>
      <c r="F2288" s="79"/>
      <c r="G2288" s="123"/>
      <c r="H2288" s="123"/>
      <c r="I2288" s="123"/>
    </row>
    <row r="2289" spans="3:9" x14ac:dyDescent="0.25">
      <c r="C2289" s="123"/>
      <c r="E2289" s="123"/>
      <c r="F2289" s="79"/>
      <c r="G2289" s="123"/>
      <c r="H2289" s="123"/>
      <c r="I2289" s="123"/>
    </row>
    <row r="2290" spans="3:9" x14ac:dyDescent="0.25">
      <c r="C2290" s="123"/>
      <c r="E2290" s="123"/>
      <c r="F2290" s="79"/>
      <c r="G2290" s="123"/>
      <c r="H2290" s="123"/>
      <c r="I2290" s="123"/>
    </row>
    <row r="2291" spans="3:9" x14ac:dyDescent="0.25">
      <c r="C2291" s="123"/>
      <c r="E2291" s="123"/>
      <c r="F2291" s="79"/>
      <c r="G2291" s="123"/>
      <c r="H2291" s="123"/>
      <c r="I2291" s="123"/>
    </row>
    <row r="2292" spans="3:9" x14ac:dyDescent="0.25">
      <c r="C2292" s="123"/>
      <c r="E2292" s="123"/>
      <c r="F2292" s="79"/>
      <c r="G2292" s="123"/>
      <c r="H2292" s="123"/>
      <c r="I2292" s="123"/>
    </row>
    <row r="2293" spans="3:9" x14ac:dyDescent="0.25">
      <c r="C2293" s="123"/>
      <c r="E2293" s="123"/>
      <c r="F2293" s="79"/>
      <c r="G2293" s="123"/>
      <c r="H2293" s="123"/>
      <c r="I2293" s="123"/>
    </row>
    <row r="2294" spans="3:9" x14ac:dyDescent="0.25">
      <c r="C2294" s="123"/>
      <c r="E2294" s="123"/>
      <c r="F2294" s="79"/>
      <c r="G2294" s="123"/>
      <c r="H2294" s="123"/>
      <c r="I2294" s="123"/>
    </row>
    <row r="2295" spans="3:9" x14ac:dyDescent="0.25">
      <c r="C2295" s="123"/>
      <c r="E2295" s="123"/>
      <c r="F2295" s="79"/>
      <c r="G2295" s="123"/>
      <c r="H2295" s="123"/>
      <c r="I2295" s="123"/>
    </row>
    <row r="2296" spans="3:9" x14ac:dyDescent="0.25">
      <c r="C2296" s="123"/>
      <c r="E2296" s="123"/>
      <c r="F2296" s="79"/>
      <c r="G2296" s="123"/>
      <c r="H2296" s="123"/>
      <c r="I2296" s="123"/>
    </row>
    <row r="2297" spans="3:9" x14ac:dyDescent="0.25">
      <c r="C2297" s="123"/>
      <c r="E2297" s="123"/>
      <c r="F2297" s="79"/>
      <c r="G2297" s="123"/>
      <c r="H2297" s="123"/>
      <c r="I2297" s="123"/>
    </row>
    <row r="2298" spans="3:9" x14ac:dyDescent="0.25">
      <c r="C2298" s="123"/>
      <c r="E2298" s="123"/>
      <c r="F2298" s="79"/>
      <c r="G2298" s="123"/>
      <c r="H2298" s="123"/>
      <c r="I2298" s="123"/>
    </row>
    <row r="2299" spans="3:9" x14ac:dyDescent="0.25">
      <c r="C2299" s="123"/>
      <c r="E2299" s="123"/>
      <c r="F2299" s="79"/>
      <c r="G2299" s="123"/>
      <c r="H2299" s="123"/>
      <c r="I2299" s="123"/>
    </row>
    <row r="2300" spans="3:9" x14ac:dyDescent="0.25">
      <c r="C2300" s="123"/>
      <c r="E2300" s="123"/>
      <c r="F2300" s="79"/>
      <c r="G2300" s="123"/>
      <c r="H2300" s="123"/>
      <c r="I2300" s="123"/>
    </row>
    <row r="2301" spans="3:9" x14ac:dyDescent="0.25">
      <c r="C2301" s="123"/>
      <c r="E2301" s="123"/>
      <c r="F2301" s="79"/>
      <c r="G2301" s="123"/>
      <c r="H2301" s="123"/>
      <c r="I2301" s="123"/>
    </row>
    <row r="2302" spans="3:9" x14ac:dyDescent="0.25">
      <c r="C2302" s="123"/>
      <c r="E2302" s="123"/>
      <c r="F2302" s="79"/>
      <c r="G2302" s="123"/>
      <c r="H2302" s="123"/>
      <c r="I2302" s="123"/>
    </row>
    <row r="2303" spans="3:9" x14ac:dyDescent="0.25">
      <c r="C2303" s="69"/>
      <c r="D2303" s="70"/>
      <c r="E2303" s="71"/>
      <c r="F2303" s="69"/>
      <c r="G2303" s="71"/>
      <c r="H2303" s="71"/>
      <c r="I2303" s="123"/>
    </row>
    <row r="2304" spans="3:9" x14ac:dyDescent="0.25">
      <c r="C2304" s="123"/>
      <c r="D2304" s="62"/>
      <c r="E2304" s="123"/>
      <c r="F2304" s="79"/>
      <c r="G2304" s="123"/>
      <c r="H2304" s="123"/>
      <c r="I2304" s="123"/>
    </row>
    <row r="2305" spans="3:9" x14ac:dyDescent="0.25">
      <c r="C2305" s="123"/>
      <c r="E2305" s="123"/>
      <c r="F2305" s="79"/>
      <c r="G2305" s="123"/>
      <c r="H2305" s="123"/>
      <c r="I2305" s="123"/>
    </row>
    <row r="2306" spans="3:9" x14ac:dyDescent="0.25">
      <c r="C2306" s="123"/>
      <c r="E2306" s="123"/>
      <c r="F2306" s="79"/>
      <c r="G2306" s="123"/>
      <c r="H2306" s="123"/>
      <c r="I2306" s="123"/>
    </row>
    <row r="2307" spans="3:9" x14ac:dyDescent="0.25">
      <c r="C2307" s="123"/>
      <c r="E2307" s="123"/>
      <c r="F2307" s="79"/>
      <c r="G2307" s="123"/>
      <c r="H2307" s="123"/>
      <c r="I2307" s="123"/>
    </row>
    <row r="2308" spans="3:9" x14ac:dyDescent="0.25">
      <c r="C2308" s="123"/>
      <c r="E2308" s="123"/>
      <c r="F2308" s="79"/>
      <c r="G2308" s="123"/>
      <c r="H2308" s="123"/>
      <c r="I2308" s="123"/>
    </row>
    <row r="2309" spans="3:9" x14ac:dyDescent="0.25">
      <c r="C2309" s="123"/>
      <c r="E2309" s="123"/>
      <c r="F2309" s="79"/>
      <c r="G2309" s="123"/>
      <c r="H2309" s="123"/>
      <c r="I2309" s="123"/>
    </row>
    <row r="2310" spans="3:9" x14ac:dyDescent="0.25">
      <c r="C2310" s="123"/>
      <c r="E2310" s="123"/>
      <c r="F2310" s="79"/>
      <c r="G2310" s="123"/>
      <c r="H2310" s="123"/>
      <c r="I2310" s="123"/>
    </row>
    <row r="2311" spans="3:9" x14ac:dyDescent="0.25">
      <c r="C2311" s="123"/>
      <c r="E2311" s="123"/>
      <c r="F2311" s="79"/>
      <c r="G2311" s="123"/>
      <c r="H2311" s="123"/>
      <c r="I2311" s="123"/>
    </row>
    <row r="2312" spans="3:9" x14ac:dyDescent="0.25">
      <c r="C2312" s="123"/>
      <c r="E2312" s="123"/>
      <c r="F2312" s="79"/>
      <c r="G2312" s="123"/>
      <c r="H2312" s="123"/>
      <c r="I2312" s="123"/>
    </row>
    <row r="2313" spans="3:9" x14ac:dyDescent="0.25">
      <c r="C2313" s="123"/>
      <c r="E2313" s="123"/>
      <c r="F2313" s="79"/>
      <c r="G2313" s="123"/>
      <c r="H2313" s="123"/>
      <c r="I2313" s="123"/>
    </row>
    <row r="2314" spans="3:9" x14ac:dyDescent="0.25">
      <c r="C2314" s="123"/>
      <c r="E2314" s="123"/>
      <c r="F2314" s="79"/>
      <c r="G2314" s="123"/>
      <c r="H2314" s="123"/>
      <c r="I2314" s="123"/>
    </row>
    <row r="2315" spans="3:9" x14ac:dyDescent="0.25">
      <c r="C2315" s="123"/>
      <c r="E2315" s="123"/>
      <c r="F2315" s="79"/>
      <c r="G2315" s="123"/>
      <c r="H2315" s="123"/>
      <c r="I2315" s="123"/>
    </row>
    <row r="2316" spans="3:9" x14ac:dyDescent="0.25">
      <c r="C2316" s="123"/>
      <c r="E2316" s="123"/>
      <c r="F2316" s="79"/>
      <c r="G2316" s="123"/>
      <c r="H2316" s="123"/>
      <c r="I2316" s="123"/>
    </row>
    <row r="2317" spans="3:9" x14ac:dyDescent="0.25">
      <c r="C2317" s="123"/>
      <c r="E2317" s="123"/>
      <c r="F2317" s="79"/>
      <c r="G2317" s="123"/>
      <c r="H2317" s="123"/>
      <c r="I2317" s="123"/>
    </row>
    <row r="2318" spans="3:9" x14ac:dyDescent="0.25">
      <c r="C2318" s="123"/>
      <c r="E2318" s="123"/>
      <c r="F2318" s="79"/>
      <c r="G2318" s="123"/>
      <c r="H2318" s="123"/>
      <c r="I2318" s="123"/>
    </row>
    <row r="2319" spans="3:9" x14ac:dyDescent="0.25">
      <c r="C2319" s="123"/>
      <c r="E2319" s="123"/>
      <c r="F2319" s="79"/>
      <c r="G2319" s="123"/>
      <c r="H2319" s="123"/>
      <c r="I2319" s="123"/>
    </row>
    <row r="2320" spans="3:9" x14ac:dyDescent="0.25">
      <c r="C2320" s="123"/>
      <c r="E2320" s="123"/>
      <c r="F2320" s="79"/>
      <c r="G2320" s="123"/>
      <c r="H2320" s="123"/>
      <c r="I2320" s="123"/>
    </row>
    <row r="2321" spans="3:9" x14ac:dyDescent="0.25">
      <c r="C2321" s="123"/>
      <c r="E2321" s="123"/>
      <c r="F2321" s="79"/>
      <c r="G2321" s="123"/>
      <c r="H2321" s="123"/>
      <c r="I2321" s="123"/>
    </row>
    <row r="2322" spans="3:9" x14ac:dyDescent="0.25">
      <c r="C2322" s="123"/>
      <c r="E2322" s="123"/>
      <c r="F2322" s="79"/>
      <c r="G2322" s="123"/>
      <c r="H2322" s="123"/>
      <c r="I2322" s="123"/>
    </row>
    <row r="2323" spans="3:9" x14ac:dyDescent="0.25">
      <c r="C2323" s="123"/>
      <c r="E2323" s="123"/>
      <c r="F2323" s="79"/>
      <c r="G2323" s="123"/>
      <c r="H2323" s="123"/>
      <c r="I2323" s="123"/>
    </row>
    <row r="2324" spans="3:9" x14ac:dyDescent="0.25">
      <c r="C2324" s="123"/>
      <c r="E2324" s="123"/>
      <c r="F2324" s="79"/>
      <c r="G2324" s="123"/>
      <c r="H2324" s="123"/>
      <c r="I2324" s="123"/>
    </row>
    <row r="2325" spans="3:9" x14ac:dyDescent="0.25">
      <c r="C2325" s="123"/>
      <c r="E2325" s="123"/>
      <c r="F2325" s="79"/>
      <c r="G2325" s="123"/>
      <c r="H2325" s="123"/>
      <c r="I2325" s="123"/>
    </row>
    <row r="2326" spans="3:9" x14ac:dyDescent="0.25">
      <c r="C2326" s="123"/>
      <c r="E2326" s="123"/>
      <c r="F2326" s="79"/>
      <c r="G2326" s="123"/>
      <c r="H2326" s="123"/>
      <c r="I2326" s="123"/>
    </row>
    <row r="2327" spans="3:9" x14ac:dyDescent="0.25">
      <c r="C2327" s="123"/>
      <c r="E2327" s="123"/>
      <c r="F2327" s="79"/>
      <c r="G2327" s="123"/>
      <c r="H2327" s="123"/>
      <c r="I2327" s="123"/>
    </row>
    <row r="2328" spans="3:9" x14ac:dyDescent="0.25">
      <c r="C2328" s="47"/>
      <c r="D2328" s="46"/>
      <c r="E2328" s="48"/>
      <c r="F2328" s="64"/>
      <c r="G2328" s="48"/>
      <c r="H2328" s="48"/>
      <c r="I2328" s="123"/>
    </row>
    <row r="2329" spans="3:9" x14ac:dyDescent="0.25">
      <c r="C2329" s="123"/>
      <c r="D2329" s="62"/>
      <c r="E2329" s="123"/>
      <c r="F2329" s="79"/>
      <c r="G2329" s="123"/>
      <c r="H2329" s="123"/>
      <c r="I2329" s="123"/>
    </row>
    <row r="2330" spans="3:9" x14ac:dyDescent="0.25">
      <c r="C2330" s="123"/>
      <c r="E2330" s="123"/>
      <c r="F2330" s="79"/>
      <c r="G2330" s="123"/>
      <c r="H2330" s="123"/>
      <c r="I2330" s="123"/>
    </row>
    <row r="2331" spans="3:9" x14ac:dyDescent="0.25">
      <c r="C2331" s="123"/>
      <c r="E2331" s="123"/>
      <c r="F2331" s="79"/>
      <c r="G2331" s="123"/>
      <c r="H2331" s="123"/>
      <c r="I2331" s="123"/>
    </row>
    <row r="2332" spans="3:9" x14ac:dyDescent="0.25">
      <c r="C2332" s="123"/>
      <c r="E2332" s="123"/>
      <c r="F2332" s="79"/>
      <c r="G2332" s="123"/>
      <c r="H2332" s="123"/>
      <c r="I2332" s="123"/>
    </row>
    <row r="2333" spans="3:9" x14ac:dyDescent="0.25">
      <c r="C2333" s="52"/>
      <c r="D2333" s="53"/>
      <c r="E2333" s="72"/>
      <c r="F2333" s="88"/>
      <c r="G2333" s="72"/>
      <c r="H2333" s="72"/>
      <c r="I2333" s="123"/>
    </row>
    <row r="2334" spans="3:9" x14ac:dyDescent="0.25">
      <c r="C2334" s="123"/>
      <c r="D2334" s="62"/>
      <c r="E2334" s="123"/>
      <c r="F2334" s="79"/>
      <c r="G2334" s="123"/>
      <c r="H2334" s="123"/>
      <c r="I2334" s="123"/>
    </row>
    <row r="2335" spans="3:9" x14ac:dyDescent="0.25">
      <c r="C2335" s="123"/>
      <c r="E2335" s="123"/>
      <c r="F2335" s="79"/>
      <c r="G2335" s="123"/>
      <c r="H2335" s="123"/>
      <c r="I2335" s="123"/>
    </row>
    <row r="2336" spans="3:9" x14ac:dyDescent="0.25">
      <c r="C2336" s="123"/>
      <c r="E2336" s="123"/>
      <c r="F2336" s="79"/>
      <c r="G2336" s="123"/>
      <c r="H2336" s="123"/>
      <c r="I2336" s="123"/>
    </row>
    <row r="2337" spans="3:9" x14ac:dyDescent="0.25">
      <c r="C2337" s="123"/>
      <c r="E2337" s="123"/>
      <c r="F2337" s="79"/>
      <c r="G2337" s="123"/>
      <c r="H2337" s="123"/>
      <c r="I2337" s="123"/>
    </row>
    <row r="2338" spans="3:9" x14ac:dyDescent="0.25">
      <c r="C2338" s="123"/>
      <c r="E2338" s="123"/>
      <c r="F2338" s="79"/>
      <c r="G2338" s="123"/>
      <c r="H2338" s="123"/>
      <c r="I2338" s="123"/>
    </row>
    <row r="2339" spans="3:9" x14ac:dyDescent="0.25">
      <c r="C2339" s="123"/>
      <c r="E2339" s="123"/>
      <c r="F2339" s="79"/>
      <c r="G2339" s="123"/>
      <c r="H2339" s="123"/>
      <c r="I2339" s="123"/>
    </row>
    <row r="2340" spans="3:9" x14ac:dyDescent="0.25">
      <c r="C2340" s="123"/>
      <c r="E2340" s="123"/>
      <c r="F2340" s="79"/>
      <c r="G2340" s="123"/>
      <c r="H2340" s="123"/>
      <c r="I2340" s="123"/>
    </row>
    <row r="2341" spans="3:9" x14ac:dyDescent="0.25">
      <c r="C2341" s="123"/>
      <c r="E2341" s="123"/>
      <c r="F2341" s="79"/>
      <c r="G2341" s="123"/>
      <c r="H2341" s="123"/>
      <c r="I2341" s="123"/>
    </row>
    <row r="2342" spans="3:9" x14ac:dyDescent="0.25">
      <c r="C2342" s="123"/>
      <c r="E2342" s="123"/>
      <c r="F2342" s="79"/>
      <c r="G2342" s="123"/>
      <c r="H2342" s="123"/>
      <c r="I2342" s="123"/>
    </row>
    <row r="2343" spans="3:9" x14ac:dyDescent="0.25">
      <c r="C2343" s="123"/>
      <c r="E2343" s="123"/>
      <c r="F2343" s="79"/>
      <c r="G2343" s="123"/>
      <c r="H2343" s="123"/>
      <c r="I2343" s="123"/>
    </row>
    <row r="2344" spans="3:9" x14ac:dyDescent="0.25">
      <c r="C2344" s="123"/>
      <c r="E2344" s="123"/>
      <c r="F2344" s="79"/>
      <c r="G2344" s="123"/>
      <c r="H2344" s="123"/>
      <c r="I2344" s="123"/>
    </row>
    <row r="2345" spans="3:9" x14ac:dyDescent="0.25">
      <c r="C2345" s="123"/>
      <c r="E2345" s="123"/>
      <c r="F2345" s="79"/>
      <c r="G2345" s="123"/>
      <c r="H2345" s="123"/>
      <c r="I2345" s="123"/>
    </row>
    <row r="2346" spans="3:9" x14ac:dyDescent="0.25">
      <c r="C2346" s="123"/>
      <c r="E2346" s="123"/>
      <c r="F2346" s="79"/>
      <c r="G2346" s="123"/>
      <c r="H2346" s="123"/>
      <c r="I2346" s="123"/>
    </row>
    <row r="2347" spans="3:9" x14ac:dyDescent="0.25">
      <c r="C2347" s="123"/>
      <c r="E2347" s="123"/>
      <c r="F2347" s="79"/>
      <c r="G2347" s="123"/>
      <c r="H2347" s="123"/>
      <c r="I2347" s="123"/>
    </row>
    <row r="2348" spans="3:9" x14ac:dyDescent="0.25">
      <c r="C2348" s="123"/>
      <c r="E2348" s="123"/>
      <c r="F2348" s="79"/>
      <c r="G2348" s="123"/>
      <c r="H2348" s="123"/>
      <c r="I2348" s="123"/>
    </row>
    <row r="2349" spans="3:9" x14ac:dyDescent="0.25">
      <c r="C2349" s="123"/>
      <c r="E2349" s="123"/>
      <c r="F2349" s="79"/>
      <c r="G2349" s="123"/>
      <c r="H2349" s="123"/>
      <c r="I2349" s="123"/>
    </row>
    <row r="2350" spans="3:9" x14ac:dyDescent="0.25">
      <c r="C2350" s="123"/>
      <c r="E2350" s="123"/>
      <c r="F2350" s="79"/>
      <c r="G2350" s="123"/>
      <c r="H2350" s="123"/>
      <c r="I2350" s="123"/>
    </row>
    <row r="2351" spans="3:9" x14ac:dyDescent="0.25">
      <c r="C2351" s="123"/>
      <c r="E2351" s="123"/>
      <c r="F2351" s="79"/>
      <c r="G2351" s="123"/>
      <c r="H2351" s="123"/>
      <c r="I2351" s="123"/>
    </row>
    <row r="2352" spans="3:9" x14ac:dyDescent="0.25">
      <c r="C2352" s="123"/>
      <c r="E2352" s="123"/>
      <c r="F2352" s="79"/>
      <c r="G2352" s="123"/>
      <c r="H2352" s="123"/>
      <c r="I2352" s="123"/>
    </row>
    <row r="2353" spans="3:9" x14ac:dyDescent="0.25">
      <c r="C2353" s="123"/>
      <c r="E2353" s="123"/>
      <c r="F2353" s="79"/>
      <c r="G2353" s="123"/>
      <c r="H2353" s="123"/>
      <c r="I2353" s="123"/>
    </row>
    <row r="2354" spans="3:9" x14ac:dyDescent="0.25">
      <c r="C2354" s="123"/>
      <c r="E2354" s="123"/>
      <c r="F2354" s="79"/>
      <c r="G2354" s="123"/>
      <c r="H2354" s="123"/>
      <c r="I2354" s="123"/>
    </row>
    <row r="2355" spans="3:9" x14ac:dyDescent="0.25">
      <c r="C2355" s="123"/>
      <c r="E2355" s="123"/>
      <c r="F2355" s="79"/>
      <c r="G2355" s="123"/>
      <c r="H2355" s="123"/>
      <c r="I2355" s="123"/>
    </row>
    <row r="2356" spans="3:9" x14ac:dyDescent="0.25">
      <c r="C2356" s="123"/>
      <c r="E2356" s="123"/>
      <c r="F2356" s="79"/>
      <c r="G2356" s="123"/>
      <c r="H2356" s="123"/>
      <c r="I2356" s="123"/>
    </row>
    <row r="2357" spans="3:9" x14ac:dyDescent="0.25">
      <c r="C2357" s="123"/>
      <c r="E2357" s="123"/>
      <c r="F2357" s="79"/>
      <c r="G2357" s="123"/>
      <c r="H2357" s="123"/>
      <c r="I2357" s="123"/>
    </row>
    <row r="2358" spans="3:9" x14ac:dyDescent="0.25">
      <c r="C2358" s="123"/>
      <c r="E2358" s="123"/>
      <c r="F2358" s="79"/>
      <c r="G2358" s="123"/>
      <c r="H2358" s="123"/>
      <c r="I2358" s="123"/>
    </row>
    <row r="2359" spans="3:9" x14ac:dyDescent="0.25">
      <c r="C2359" s="123"/>
      <c r="E2359" s="123"/>
      <c r="F2359" s="79"/>
      <c r="G2359" s="123"/>
      <c r="H2359" s="123"/>
      <c r="I2359" s="123"/>
    </row>
    <row r="2360" spans="3:9" x14ac:dyDescent="0.25">
      <c r="C2360" s="123"/>
      <c r="E2360" s="123"/>
      <c r="F2360" s="79"/>
      <c r="G2360" s="123"/>
      <c r="H2360" s="123"/>
      <c r="I2360" s="123"/>
    </row>
    <row r="2361" spans="3:9" x14ac:dyDescent="0.25">
      <c r="C2361" s="123"/>
      <c r="E2361" s="123"/>
      <c r="F2361" s="79"/>
      <c r="G2361" s="123"/>
      <c r="H2361" s="123"/>
      <c r="I2361" s="123"/>
    </row>
    <row r="2362" spans="3:9" x14ac:dyDescent="0.25">
      <c r="C2362" s="123"/>
      <c r="E2362" s="123"/>
      <c r="F2362" s="79"/>
      <c r="G2362" s="123"/>
      <c r="H2362" s="123"/>
      <c r="I2362" s="123"/>
    </row>
    <row r="2363" spans="3:9" x14ac:dyDescent="0.25">
      <c r="C2363" s="123"/>
      <c r="E2363" s="123"/>
      <c r="F2363" s="79"/>
      <c r="G2363" s="123"/>
      <c r="H2363" s="123"/>
      <c r="I2363" s="123"/>
    </row>
    <row r="2364" spans="3:9" x14ac:dyDescent="0.25">
      <c r="C2364" s="123"/>
      <c r="E2364" s="123"/>
      <c r="F2364" s="79"/>
      <c r="G2364" s="123"/>
      <c r="H2364" s="123"/>
      <c r="I2364" s="123"/>
    </row>
    <row r="2365" spans="3:9" x14ac:dyDescent="0.25">
      <c r="C2365" s="123"/>
      <c r="E2365" s="123"/>
      <c r="F2365" s="79"/>
      <c r="G2365" s="123"/>
      <c r="H2365" s="123"/>
      <c r="I2365" s="123"/>
    </row>
    <row r="2366" spans="3:9" x14ac:dyDescent="0.25">
      <c r="C2366" s="123"/>
      <c r="E2366" s="123"/>
      <c r="F2366" s="79"/>
      <c r="G2366" s="123"/>
      <c r="H2366" s="123"/>
      <c r="I2366" s="123"/>
    </row>
    <row r="2367" spans="3:9" x14ac:dyDescent="0.25">
      <c r="C2367" s="123"/>
      <c r="E2367" s="123"/>
      <c r="F2367" s="79"/>
      <c r="G2367" s="123"/>
      <c r="H2367" s="123"/>
      <c r="I2367" s="123"/>
    </row>
    <row r="2368" spans="3:9" x14ac:dyDescent="0.25">
      <c r="C2368" s="123"/>
      <c r="E2368" s="123"/>
      <c r="F2368" s="79"/>
      <c r="G2368" s="123"/>
      <c r="H2368" s="123"/>
      <c r="I2368" s="123"/>
    </row>
    <row r="2369" spans="3:9" x14ac:dyDescent="0.25">
      <c r="C2369" s="123"/>
      <c r="E2369" s="123"/>
      <c r="F2369" s="79"/>
      <c r="G2369" s="123"/>
      <c r="H2369" s="123"/>
      <c r="I2369" s="123"/>
    </row>
    <row r="2370" spans="3:9" x14ac:dyDescent="0.25">
      <c r="C2370" s="123"/>
      <c r="E2370" s="123"/>
      <c r="F2370" s="79"/>
      <c r="G2370" s="123"/>
      <c r="H2370" s="123"/>
      <c r="I2370" s="123"/>
    </row>
    <row r="2371" spans="3:9" x14ac:dyDescent="0.25">
      <c r="C2371" s="123"/>
      <c r="E2371" s="123"/>
      <c r="F2371" s="79"/>
      <c r="G2371" s="123"/>
      <c r="H2371" s="123"/>
      <c r="I2371" s="123"/>
    </row>
    <row r="2372" spans="3:9" x14ac:dyDescent="0.25">
      <c r="C2372" s="123"/>
      <c r="E2372" s="123"/>
      <c r="F2372" s="79"/>
      <c r="G2372" s="123"/>
      <c r="H2372" s="123"/>
      <c r="I2372" s="123"/>
    </row>
    <row r="2373" spans="3:9" x14ac:dyDescent="0.25">
      <c r="C2373" s="123"/>
      <c r="E2373" s="123"/>
      <c r="F2373" s="79"/>
      <c r="G2373" s="123"/>
      <c r="H2373" s="123"/>
      <c r="I2373" s="123"/>
    </row>
    <row r="2374" spans="3:9" x14ac:dyDescent="0.25">
      <c r="C2374" s="123"/>
      <c r="E2374" s="123"/>
      <c r="F2374" s="79"/>
      <c r="G2374" s="123"/>
      <c r="H2374" s="123"/>
      <c r="I2374" s="123"/>
    </row>
    <row r="2375" spans="3:9" x14ac:dyDescent="0.25">
      <c r="C2375" s="123"/>
      <c r="E2375" s="123"/>
      <c r="F2375" s="79"/>
      <c r="G2375" s="123"/>
      <c r="H2375" s="123"/>
      <c r="I2375" s="123"/>
    </row>
    <row r="2376" spans="3:9" x14ac:dyDescent="0.25">
      <c r="C2376" s="123"/>
      <c r="E2376" s="123"/>
      <c r="F2376" s="79"/>
      <c r="G2376" s="123"/>
      <c r="H2376" s="123"/>
      <c r="I2376" s="123"/>
    </row>
    <row r="2377" spans="3:9" x14ac:dyDescent="0.25">
      <c r="C2377" s="123"/>
      <c r="E2377" s="123"/>
      <c r="F2377" s="79"/>
      <c r="G2377" s="123"/>
      <c r="H2377" s="123"/>
      <c r="I2377" s="123"/>
    </row>
    <row r="2378" spans="3:9" x14ac:dyDescent="0.25">
      <c r="C2378" s="123"/>
      <c r="E2378" s="123"/>
      <c r="F2378" s="79"/>
      <c r="G2378" s="123"/>
      <c r="H2378" s="123"/>
      <c r="I2378" s="123"/>
    </row>
    <row r="2379" spans="3:9" x14ac:dyDescent="0.25">
      <c r="C2379" s="123"/>
      <c r="E2379" s="123"/>
      <c r="F2379" s="79"/>
      <c r="G2379" s="123"/>
      <c r="H2379" s="123"/>
      <c r="I2379" s="123"/>
    </row>
    <row r="2380" spans="3:9" x14ac:dyDescent="0.25">
      <c r="C2380" s="123"/>
      <c r="E2380" s="123"/>
      <c r="F2380" s="79"/>
      <c r="G2380" s="123"/>
      <c r="H2380" s="123"/>
      <c r="I2380" s="123"/>
    </row>
    <row r="2381" spans="3:9" x14ac:dyDescent="0.25">
      <c r="C2381" s="123"/>
      <c r="E2381" s="123"/>
      <c r="F2381" s="79"/>
      <c r="G2381" s="123"/>
      <c r="H2381" s="123"/>
      <c r="I2381" s="123"/>
    </row>
    <row r="2382" spans="3:9" x14ac:dyDescent="0.25">
      <c r="C2382" s="123"/>
      <c r="E2382" s="123"/>
      <c r="F2382" s="79"/>
      <c r="G2382" s="123"/>
      <c r="H2382" s="123"/>
      <c r="I2382" s="123"/>
    </row>
    <row r="2383" spans="3:9" x14ac:dyDescent="0.25">
      <c r="C2383" s="123"/>
      <c r="E2383" s="123"/>
      <c r="F2383" s="79"/>
      <c r="G2383" s="123"/>
      <c r="H2383" s="123"/>
      <c r="I2383" s="123"/>
    </row>
    <row r="2384" spans="3:9" x14ac:dyDescent="0.25">
      <c r="C2384" s="123"/>
      <c r="E2384" s="123"/>
      <c r="F2384" s="79"/>
      <c r="G2384" s="123"/>
      <c r="H2384" s="123"/>
      <c r="I2384" s="123"/>
    </row>
    <row r="2385" spans="3:9" x14ac:dyDescent="0.25">
      <c r="C2385" s="123"/>
      <c r="E2385" s="123"/>
      <c r="F2385" s="79"/>
      <c r="G2385" s="123"/>
      <c r="H2385" s="123"/>
      <c r="I2385" s="123"/>
    </row>
    <row r="2386" spans="3:9" x14ac:dyDescent="0.25">
      <c r="C2386" s="123"/>
      <c r="E2386" s="123"/>
      <c r="F2386" s="79"/>
      <c r="G2386" s="123"/>
      <c r="H2386" s="123"/>
      <c r="I2386" s="123"/>
    </row>
    <row r="2387" spans="3:9" x14ac:dyDescent="0.25">
      <c r="C2387" s="123"/>
      <c r="E2387" s="123"/>
      <c r="F2387" s="79"/>
      <c r="G2387" s="123"/>
      <c r="H2387" s="123"/>
      <c r="I2387" s="123"/>
    </row>
    <row r="2388" spans="3:9" x14ac:dyDescent="0.25">
      <c r="C2388" s="123"/>
      <c r="E2388" s="123"/>
      <c r="F2388" s="79"/>
      <c r="G2388" s="123"/>
      <c r="H2388" s="123"/>
      <c r="I2388" s="123"/>
    </row>
    <row r="2389" spans="3:9" x14ac:dyDescent="0.25">
      <c r="C2389" s="123"/>
      <c r="E2389" s="123"/>
      <c r="F2389" s="79"/>
      <c r="G2389" s="123"/>
      <c r="H2389" s="123"/>
      <c r="I2389" s="123"/>
    </row>
    <row r="2390" spans="3:9" x14ac:dyDescent="0.25">
      <c r="C2390" s="123"/>
      <c r="E2390" s="123"/>
      <c r="F2390" s="79"/>
      <c r="G2390" s="123"/>
      <c r="H2390" s="123"/>
      <c r="I2390" s="123"/>
    </row>
    <row r="2391" spans="3:9" x14ac:dyDescent="0.25">
      <c r="C2391" s="123"/>
      <c r="E2391" s="123"/>
      <c r="F2391" s="79"/>
      <c r="G2391" s="123"/>
      <c r="H2391" s="123"/>
      <c r="I2391" s="123"/>
    </row>
    <row r="2392" spans="3:9" x14ac:dyDescent="0.25">
      <c r="C2392" s="123"/>
      <c r="E2392" s="123"/>
      <c r="F2392" s="79"/>
      <c r="G2392" s="123"/>
      <c r="H2392" s="123"/>
      <c r="I2392" s="123"/>
    </row>
    <row r="2393" spans="3:9" x14ac:dyDescent="0.25">
      <c r="C2393" s="123"/>
      <c r="E2393" s="123"/>
      <c r="F2393" s="79"/>
      <c r="G2393" s="123"/>
      <c r="H2393" s="123"/>
      <c r="I2393" s="123"/>
    </row>
    <row r="2394" spans="3:9" x14ac:dyDescent="0.25">
      <c r="C2394" s="123"/>
      <c r="E2394" s="123"/>
      <c r="F2394" s="79"/>
      <c r="G2394" s="123"/>
      <c r="H2394" s="123"/>
      <c r="I2394" s="123"/>
    </row>
    <row r="2395" spans="3:9" x14ac:dyDescent="0.25">
      <c r="C2395" s="123"/>
      <c r="E2395" s="123"/>
      <c r="F2395" s="79"/>
      <c r="G2395" s="123"/>
      <c r="H2395" s="123"/>
      <c r="I2395" s="123"/>
    </row>
    <row r="2396" spans="3:9" x14ac:dyDescent="0.25">
      <c r="C2396" s="123"/>
      <c r="E2396" s="123"/>
      <c r="F2396" s="79"/>
      <c r="G2396" s="123"/>
      <c r="H2396" s="123"/>
      <c r="I2396" s="123"/>
    </row>
    <row r="2397" spans="3:9" x14ac:dyDescent="0.25">
      <c r="C2397" s="123"/>
      <c r="E2397" s="123"/>
      <c r="F2397" s="79"/>
      <c r="G2397" s="123"/>
      <c r="H2397" s="123"/>
      <c r="I2397" s="123"/>
    </row>
    <row r="2398" spans="3:9" x14ac:dyDescent="0.25">
      <c r="C2398" s="123"/>
      <c r="E2398" s="123"/>
      <c r="F2398" s="79"/>
      <c r="G2398" s="123"/>
      <c r="H2398" s="123"/>
      <c r="I2398" s="123"/>
    </row>
    <row r="2399" spans="3:9" x14ac:dyDescent="0.25">
      <c r="C2399" s="123"/>
      <c r="E2399" s="123"/>
      <c r="F2399" s="79"/>
      <c r="G2399" s="123"/>
      <c r="H2399" s="123"/>
      <c r="I2399" s="123"/>
    </row>
    <row r="2400" spans="3:9" x14ac:dyDescent="0.25">
      <c r="C2400" s="123"/>
      <c r="E2400" s="123"/>
      <c r="F2400" s="79"/>
      <c r="G2400" s="123"/>
      <c r="H2400" s="123"/>
      <c r="I2400" s="123"/>
    </row>
    <row r="2401" spans="3:9" x14ac:dyDescent="0.25">
      <c r="C2401" s="123"/>
      <c r="E2401" s="123"/>
      <c r="F2401" s="79"/>
      <c r="G2401" s="123"/>
      <c r="H2401" s="123"/>
      <c r="I2401" s="123"/>
    </row>
    <row r="2402" spans="3:9" x14ac:dyDescent="0.25">
      <c r="C2402" s="123"/>
      <c r="E2402" s="123"/>
      <c r="F2402" s="79"/>
      <c r="G2402" s="123"/>
      <c r="H2402" s="123"/>
      <c r="I2402" s="123"/>
    </row>
    <row r="2403" spans="3:9" x14ac:dyDescent="0.25">
      <c r="C2403" s="123"/>
      <c r="E2403" s="123"/>
      <c r="F2403" s="79"/>
      <c r="G2403" s="123"/>
      <c r="H2403" s="123"/>
      <c r="I2403" s="123"/>
    </row>
    <row r="2404" spans="3:9" x14ac:dyDescent="0.25">
      <c r="C2404" s="123"/>
      <c r="E2404" s="123"/>
      <c r="F2404" s="79"/>
      <c r="G2404" s="123"/>
      <c r="H2404" s="123"/>
      <c r="I2404" s="123"/>
    </row>
    <row r="2405" spans="3:9" x14ac:dyDescent="0.25">
      <c r="C2405" s="123"/>
      <c r="E2405" s="123"/>
      <c r="F2405" s="79"/>
      <c r="G2405" s="123"/>
      <c r="H2405" s="123"/>
      <c r="I2405" s="123"/>
    </row>
    <row r="2406" spans="3:9" x14ac:dyDescent="0.25">
      <c r="C2406" s="123"/>
      <c r="E2406" s="123"/>
      <c r="F2406" s="79"/>
      <c r="G2406" s="123"/>
      <c r="H2406" s="123"/>
      <c r="I2406" s="123"/>
    </row>
    <row r="2407" spans="3:9" x14ac:dyDescent="0.25">
      <c r="C2407" s="123"/>
      <c r="E2407" s="123"/>
      <c r="F2407" s="79"/>
      <c r="G2407" s="123"/>
      <c r="H2407" s="123"/>
      <c r="I2407" s="123"/>
    </row>
    <row r="2408" spans="3:9" x14ac:dyDescent="0.25">
      <c r="C2408" s="123"/>
      <c r="E2408" s="123"/>
      <c r="F2408" s="79"/>
      <c r="G2408" s="123"/>
      <c r="H2408" s="123"/>
      <c r="I2408" s="123"/>
    </row>
    <row r="2409" spans="3:9" x14ac:dyDescent="0.25">
      <c r="C2409" s="123"/>
      <c r="E2409" s="123"/>
      <c r="F2409" s="79"/>
      <c r="G2409" s="123"/>
      <c r="H2409" s="123"/>
      <c r="I2409" s="123"/>
    </row>
    <row r="2410" spans="3:9" x14ac:dyDescent="0.25">
      <c r="C2410" s="123"/>
      <c r="E2410" s="123"/>
      <c r="F2410" s="79"/>
      <c r="G2410" s="123"/>
      <c r="H2410" s="123"/>
      <c r="I2410" s="123"/>
    </row>
    <row r="2411" spans="3:9" x14ac:dyDescent="0.25">
      <c r="C2411" s="123"/>
      <c r="E2411" s="123"/>
      <c r="F2411" s="79"/>
      <c r="G2411" s="123"/>
      <c r="H2411" s="123"/>
      <c r="I2411" s="123"/>
    </row>
    <row r="2412" spans="3:9" x14ac:dyDescent="0.25">
      <c r="C2412" s="123"/>
      <c r="E2412" s="123"/>
      <c r="F2412" s="79"/>
      <c r="G2412" s="123"/>
      <c r="H2412" s="123"/>
      <c r="I2412" s="123"/>
    </row>
    <row r="2413" spans="3:9" x14ac:dyDescent="0.25">
      <c r="C2413" s="123"/>
      <c r="E2413" s="123"/>
      <c r="F2413" s="79"/>
      <c r="G2413" s="123"/>
      <c r="H2413" s="123"/>
      <c r="I2413" s="123"/>
    </row>
    <row r="2414" spans="3:9" x14ac:dyDescent="0.25">
      <c r="C2414" s="123"/>
      <c r="E2414" s="123"/>
      <c r="F2414" s="79"/>
      <c r="G2414" s="123"/>
      <c r="H2414" s="123"/>
      <c r="I2414" s="123"/>
    </row>
    <row r="2415" spans="3:9" x14ac:dyDescent="0.25">
      <c r="C2415" s="123"/>
      <c r="E2415" s="123"/>
      <c r="F2415" s="79"/>
      <c r="G2415" s="123"/>
      <c r="H2415" s="123"/>
      <c r="I2415" s="123"/>
    </row>
    <row r="2416" spans="3:9" x14ac:dyDescent="0.25">
      <c r="C2416" s="123"/>
      <c r="E2416" s="123"/>
      <c r="F2416" s="79"/>
      <c r="G2416" s="123"/>
      <c r="H2416" s="123"/>
      <c r="I2416" s="123"/>
    </row>
    <row r="2417" spans="3:9" x14ac:dyDescent="0.25">
      <c r="C2417" s="140"/>
      <c r="D2417" s="141"/>
      <c r="E2417" s="140"/>
      <c r="F2417" s="79"/>
      <c r="G2417" s="123"/>
      <c r="H2417" s="123"/>
      <c r="I2417" s="123"/>
    </row>
    <row r="2418" spans="3:9" x14ac:dyDescent="0.25">
      <c r="C2418" s="123"/>
      <c r="E2418" s="123"/>
      <c r="F2418" s="79"/>
      <c r="G2418" s="123"/>
      <c r="H2418" s="123"/>
      <c r="I2418" s="123"/>
    </row>
    <row r="2419" spans="3:9" x14ac:dyDescent="0.25">
      <c r="C2419" s="9"/>
      <c r="D2419" s="10"/>
      <c r="E2419" s="11"/>
      <c r="F2419" s="86"/>
      <c r="G2419" s="11"/>
      <c r="H2419" s="11"/>
      <c r="I2419" s="123"/>
    </row>
    <row r="2420" spans="3:9" x14ac:dyDescent="0.25">
      <c r="C2420" s="9"/>
      <c r="D2420" s="10"/>
      <c r="E2420" s="11"/>
      <c r="F2420" s="86"/>
      <c r="G2420" s="11"/>
      <c r="H2420" s="11"/>
      <c r="I2420" s="123"/>
    </row>
    <row r="2421" spans="3:9" x14ac:dyDescent="0.25">
      <c r="C2421" s="9"/>
      <c r="D2421" s="10"/>
      <c r="E2421" s="11"/>
      <c r="F2421" s="86"/>
      <c r="G2421" s="11"/>
      <c r="H2421" s="11"/>
      <c r="I2421" s="123"/>
    </row>
    <row r="2422" spans="3:9" x14ac:dyDescent="0.25">
      <c r="C2422" s="9"/>
      <c r="D2422" s="10"/>
      <c r="E2422" s="11"/>
      <c r="F2422" s="86"/>
      <c r="G2422" s="11"/>
      <c r="H2422" s="11"/>
      <c r="I2422" s="123"/>
    </row>
    <row r="2423" spans="3:9" x14ac:dyDescent="0.25">
      <c r="C2423" s="9"/>
      <c r="D2423" s="10"/>
      <c r="E2423" s="11"/>
      <c r="F2423" s="86"/>
      <c r="G2423" s="11"/>
      <c r="H2423" s="11"/>
      <c r="I2423" s="123"/>
    </row>
    <row r="2424" spans="3:9" x14ac:dyDescent="0.25">
      <c r="C2424" s="9"/>
      <c r="D2424" s="10"/>
      <c r="E2424" s="11"/>
      <c r="F2424" s="86"/>
      <c r="G2424" s="11"/>
      <c r="H2424" s="11"/>
      <c r="I2424" s="123"/>
    </row>
    <row r="2425" spans="3:9" x14ac:dyDescent="0.25">
      <c r="C2425" s="9"/>
      <c r="D2425" s="10"/>
      <c r="E2425" s="11"/>
      <c r="F2425" s="86"/>
      <c r="G2425" s="11"/>
      <c r="H2425" s="11"/>
      <c r="I2425" s="123"/>
    </row>
    <row r="2426" spans="3:9" x14ac:dyDescent="0.25">
      <c r="C2426" s="9"/>
      <c r="D2426" s="10"/>
      <c r="E2426" s="11"/>
      <c r="F2426" s="86"/>
      <c r="G2426" s="11"/>
      <c r="H2426" s="11"/>
      <c r="I2426" s="123"/>
    </row>
    <row r="2427" spans="3:9" x14ac:dyDescent="0.25">
      <c r="C2427" s="9"/>
      <c r="D2427" s="10"/>
      <c r="E2427" s="11"/>
      <c r="F2427" s="86"/>
      <c r="G2427" s="11"/>
      <c r="H2427" s="11"/>
      <c r="I2427" s="123"/>
    </row>
    <row r="2428" spans="3:9" x14ac:dyDescent="0.25">
      <c r="C2428" s="9"/>
      <c r="D2428" s="10"/>
      <c r="E2428" s="11"/>
      <c r="F2428" s="86"/>
      <c r="G2428" s="11"/>
      <c r="H2428" s="11"/>
      <c r="I2428" s="123"/>
    </row>
    <row r="2429" spans="3:9" x14ac:dyDescent="0.25">
      <c r="C2429" s="9"/>
      <c r="D2429" s="10"/>
      <c r="E2429" s="11"/>
      <c r="F2429" s="86"/>
      <c r="G2429" s="11"/>
      <c r="H2429" s="11"/>
      <c r="I2429" s="123"/>
    </row>
    <row r="2430" spans="3:9" x14ac:dyDescent="0.25">
      <c r="C2430" s="9"/>
      <c r="D2430" s="10"/>
      <c r="E2430" s="11"/>
      <c r="F2430" s="86"/>
      <c r="G2430" s="11"/>
      <c r="H2430" s="11"/>
      <c r="I2430" s="123"/>
    </row>
    <row r="2431" spans="3:9" x14ac:dyDescent="0.25">
      <c r="C2431" s="9"/>
      <c r="D2431" s="10"/>
      <c r="E2431" s="11"/>
      <c r="F2431" s="86"/>
      <c r="G2431" s="11"/>
      <c r="H2431" s="11"/>
      <c r="I2431" s="123"/>
    </row>
    <row r="2432" spans="3:9" x14ac:dyDescent="0.25">
      <c r="C2432" s="9"/>
      <c r="D2432" s="10"/>
      <c r="E2432" s="11"/>
      <c r="F2432" s="86"/>
      <c r="G2432" s="11"/>
      <c r="H2432" s="11"/>
      <c r="I2432" s="123"/>
    </row>
    <row r="2433" spans="3:9" x14ac:dyDescent="0.25">
      <c r="C2433" s="9"/>
      <c r="D2433" s="10"/>
      <c r="E2433" s="11"/>
      <c r="F2433" s="86"/>
      <c r="G2433" s="11"/>
      <c r="H2433" s="11"/>
      <c r="I2433" s="123"/>
    </row>
    <row r="2434" spans="3:9" x14ac:dyDescent="0.25">
      <c r="C2434" s="9"/>
      <c r="D2434" s="10"/>
      <c r="E2434" s="11"/>
      <c r="F2434" s="86"/>
      <c r="G2434" s="11"/>
      <c r="H2434" s="11"/>
      <c r="I2434" s="123"/>
    </row>
    <row r="2435" spans="3:9" x14ac:dyDescent="0.25">
      <c r="C2435" s="3"/>
      <c r="D2435" s="4"/>
      <c r="E2435" s="5"/>
      <c r="F2435" s="89"/>
      <c r="G2435" s="5"/>
      <c r="H2435" s="5"/>
      <c r="I2435" s="123"/>
    </row>
    <row r="2436" spans="3:9" x14ac:dyDescent="0.25">
      <c r="C2436" s="9"/>
      <c r="D2436" s="10"/>
      <c r="E2436" s="11"/>
      <c r="F2436" s="86"/>
      <c r="G2436" s="11"/>
      <c r="H2436" s="11"/>
      <c r="I2436" s="123"/>
    </row>
    <row r="2437" spans="3:9" x14ac:dyDescent="0.25">
      <c r="C2437" s="9"/>
      <c r="D2437" s="10"/>
      <c r="E2437" s="11"/>
      <c r="F2437" s="86"/>
      <c r="G2437" s="11"/>
      <c r="H2437" s="11"/>
      <c r="I2437" s="123"/>
    </row>
    <row r="2438" spans="3:9" x14ac:dyDescent="0.25">
      <c r="C2438" s="9"/>
      <c r="D2438" s="10"/>
      <c r="E2438" s="11"/>
      <c r="F2438" s="86"/>
      <c r="G2438" s="11"/>
      <c r="H2438" s="11"/>
      <c r="I2438" s="123"/>
    </row>
    <row r="2439" spans="3:9" x14ac:dyDescent="0.25">
      <c r="C2439" s="9"/>
      <c r="D2439" s="10"/>
      <c r="E2439" s="11"/>
      <c r="F2439" s="86"/>
      <c r="G2439" s="11"/>
      <c r="H2439" s="11"/>
      <c r="I2439" s="123"/>
    </row>
    <row r="2440" spans="3:9" x14ac:dyDescent="0.25">
      <c r="C2440" s="9"/>
      <c r="D2440" s="10"/>
      <c r="E2440" s="11"/>
      <c r="F2440" s="86"/>
      <c r="G2440" s="11"/>
      <c r="H2440" s="11"/>
      <c r="I2440" s="123"/>
    </row>
    <row r="2441" spans="3:9" x14ac:dyDescent="0.25">
      <c r="C2441" s="9"/>
      <c r="D2441" s="10"/>
      <c r="E2441" s="11"/>
      <c r="F2441" s="86"/>
      <c r="G2441" s="11"/>
      <c r="H2441" s="11"/>
      <c r="I2441" s="123"/>
    </row>
    <row r="2442" spans="3:9" x14ac:dyDescent="0.25">
      <c r="C2442" s="9"/>
      <c r="D2442" s="10"/>
      <c r="E2442" s="11"/>
      <c r="F2442" s="86"/>
      <c r="G2442" s="11"/>
      <c r="H2442" s="11"/>
      <c r="I2442" s="123"/>
    </row>
    <row r="2443" spans="3:9" x14ac:dyDescent="0.25">
      <c r="C2443" s="9"/>
      <c r="D2443" s="10"/>
      <c r="E2443" s="11"/>
      <c r="F2443" s="86"/>
      <c r="G2443" s="11"/>
      <c r="H2443" s="11"/>
      <c r="I2443" s="123"/>
    </row>
    <row r="2444" spans="3:9" x14ac:dyDescent="0.25">
      <c r="C2444" s="9"/>
      <c r="D2444" s="10"/>
      <c r="E2444" s="11"/>
      <c r="F2444" s="86"/>
      <c r="G2444" s="11"/>
      <c r="H2444" s="11"/>
      <c r="I2444" s="123"/>
    </row>
    <row r="2445" spans="3:9" x14ac:dyDescent="0.25">
      <c r="C2445" s="9"/>
      <c r="D2445" s="10"/>
      <c r="E2445" s="11"/>
      <c r="F2445" s="86"/>
      <c r="G2445" s="11"/>
      <c r="H2445" s="11"/>
      <c r="I2445" s="123"/>
    </row>
    <row r="2446" spans="3:9" x14ac:dyDescent="0.25">
      <c r="C2446" s="9"/>
      <c r="D2446" s="10"/>
      <c r="E2446" s="11"/>
      <c r="F2446" s="86"/>
      <c r="G2446" s="11"/>
      <c r="H2446" s="11"/>
      <c r="I2446" s="123"/>
    </row>
    <row r="2447" spans="3:9" x14ac:dyDescent="0.25">
      <c r="C2447" s="9"/>
      <c r="D2447" s="10"/>
      <c r="E2447" s="11"/>
      <c r="F2447" s="86"/>
      <c r="G2447" s="11"/>
      <c r="H2447" s="11"/>
      <c r="I2447" s="123"/>
    </row>
    <row r="2448" spans="3:9" x14ac:dyDescent="0.25">
      <c r="C2448" s="9"/>
      <c r="D2448" s="10"/>
      <c r="E2448" s="11"/>
      <c r="F2448" s="86"/>
      <c r="G2448" s="11"/>
      <c r="H2448" s="11"/>
      <c r="I2448" s="123"/>
    </row>
    <row r="2449" spans="3:9" x14ac:dyDescent="0.25">
      <c r="C2449" s="9"/>
      <c r="D2449" s="10"/>
      <c r="E2449" s="11"/>
      <c r="F2449" s="86"/>
      <c r="G2449" s="11"/>
      <c r="H2449" s="11"/>
      <c r="I2449" s="123"/>
    </row>
    <row r="2450" spans="3:9" x14ac:dyDescent="0.25">
      <c r="C2450" s="9"/>
      <c r="D2450" s="10"/>
      <c r="E2450" s="11"/>
      <c r="F2450" s="86"/>
      <c r="G2450" s="11"/>
      <c r="H2450" s="11"/>
      <c r="I2450" s="123"/>
    </row>
    <row r="2451" spans="3:9" x14ac:dyDescent="0.25">
      <c r="C2451" s="9"/>
      <c r="D2451" s="10"/>
      <c r="E2451" s="11"/>
      <c r="F2451" s="86"/>
      <c r="G2451" s="11"/>
      <c r="H2451" s="11"/>
      <c r="I2451" s="123"/>
    </row>
    <row r="2452" spans="3:9" x14ac:dyDescent="0.25">
      <c r="C2452" s="9"/>
      <c r="D2452" s="54"/>
      <c r="E2452" s="11"/>
      <c r="F2452" s="86"/>
      <c r="G2452" s="11"/>
      <c r="H2452" s="11"/>
      <c r="I2452" s="123"/>
    </row>
    <row r="2453" spans="3:9" x14ac:dyDescent="0.25">
      <c r="C2453" s="9"/>
      <c r="D2453" s="10"/>
      <c r="E2453" s="11"/>
      <c r="F2453" s="86"/>
      <c r="G2453" s="11"/>
      <c r="H2453" s="11"/>
      <c r="I2453" s="123"/>
    </row>
    <row r="2454" spans="3:9" x14ac:dyDescent="0.25">
      <c r="C2454" s="9"/>
      <c r="D2454" s="10"/>
      <c r="E2454" s="11"/>
      <c r="F2454" s="86"/>
      <c r="G2454" s="11"/>
      <c r="H2454" s="11"/>
      <c r="I2454" s="123"/>
    </row>
    <row r="2455" spans="3:9" x14ac:dyDescent="0.25">
      <c r="C2455" s="9"/>
      <c r="D2455" s="10"/>
      <c r="E2455" s="11"/>
      <c r="F2455" s="86"/>
      <c r="G2455" s="11"/>
      <c r="H2455" s="11"/>
      <c r="I2455" s="123"/>
    </row>
    <row r="2456" spans="3:9" x14ac:dyDescent="0.25">
      <c r="C2456" s="9"/>
      <c r="D2456" s="10"/>
      <c r="E2456" s="11"/>
      <c r="F2456" s="86"/>
      <c r="G2456" s="11"/>
      <c r="H2456" s="11"/>
      <c r="I2456" s="123"/>
    </row>
    <row r="2457" spans="3:9" x14ac:dyDescent="0.25">
      <c r="C2457" s="9"/>
      <c r="D2457" s="10"/>
      <c r="E2457" s="11"/>
      <c r="F2457" s="86"/>
      <c r="G2457" s="11"/>
      <c r="H2457" s="11"/>
      <c r="I2457" s="123"/>
    </row>
    <row r="2458" spans="3:9" x14ac:dyDescent="0.25">
      <c r="C2458" s="9"/>
      <c r="D2458" s="54"/>
      <c r="E2458" s="11"/>
      <c r="F2458" s="86"/>
      <c r="G2458" s="11"/>
      <c r="H2458" s="11"/>
      <c r="I2458" s="123"/>
    </row>
    <row r="2459" spans="3:9" x14ac:dyDescent="0.25">
      <c r="C2459" s="9"/>
      <c r="D2459" s="10"/>
      <c r="E2459" s="11"/>
      <c r="F2459" s="86"/>
      <c r="G2459" s="11"/>
      <c r="H2459" s="11"/>
      <c r="I2459" s="123"/>
    </row>
    <row r="2460" spans="3:9" x14ac:dyDescent="0.25">
      <c r="C2460" s="9"/>
      <c r="D2460" s="10"/>
      <c r="E2460" s="11"/>
      <c r="F2460" s="86"/>
      <c r="G2460" s="11"/>
      <c r="H2460" s="11"/>
      <c r="I2460" s="123"/>
    </row>
    <row r="2461" spans="3:9" x14ac:dyDescent="0.25">
      <c r="C2461" s="9"/>
      <c r="D2461" s="10"/>
      <c r="E2461" s="11"/>
      <c r="F2461" s="86"/>
      <c r="G2461" s="11"/>
      <c r="H2461" s="11"/>
      <c r="I2461" s="123"/>
    </row>
    <row r="2462" spans="3:9" x14ac:dyDescent="0.25">
      <c r="C2462" s="9"/>
      <c r="D2462" s="10"/>
      <c r="E2462" s="11"/>
      <c r="F2462" s="86"/>
      <c r="G2462" s="11"/>
      <c r="H2462" s="11"/>
      <c r="I2462" s="123"/>
    </row>
    <row r="2463" spans="3:9" x14ac:dyDescent="0.25">
      <c r="C2463" s="9"/>
      <c r="D2463" s="10"/>
      <c r="E2463" s="11"/>
      <c r="F2463" s="86"/>
      <c r="G2463" s="11"/>
      <c r="H2463" s="11"/>
      <c r="I2463" s="123"/>
    </row>
    <row r="2464" spans="3:9" x14ac:dyDescent="0.25">
      <c r="C2464" s="9"/>
      <c r="D2464" s="10"/>
      <c r="E2464" s="11"/>
      <c r="F2464" s="86"/>
      <c r="G2464" s="11"/>
      <c r="H2464" s="11"/>
      <c r="I2464" s="123"/>
    </row>
    <row r="2465" spans="3:9" x14ac:dyDescent="0.25">
      <c r="C2465" s="9"/>
      <c r="D2465" s="10"/>
      <c r="E2465" s="11"/>
      <c r="F2465" s="86"/>
      <c r="G2465" s="11"/>
      <c r="H2465" s="11"/>
      <c r="I2465" s="123"/>
    </row>
    <row r="2466" spans="3:9" x14ac:dyDescent="0.25">
      <c r="C2466" s="9"/>
      <c r="D2466" s="10"/>
      <c r="E2466" s="11"/>
      <c r="F2466" s="86"/>
      <c r="G2466" s="11"/>
      <c r="H2466" s="11"/>
      <c r="I2466" s="123"/>
    </row>
    <row r="2467" spans="3:9" x14ac:dyDescent="0.25">
      <c r="C2467" s="9"/>
      <c r="D2467" s="10"/>
      <c r="E2467" s="11"/>
      <c r="F2467" s="86"/>
      <c r="G2467" s="11"/>
      <c r="H2467" s="11"/>
      <c r="I2467" s="123"/>
    </row>
    <row r="2468" spans="3:9" x14ac:dyDescent="0.25">
      <c r="C2468" s="9"/>
      <c r="D2468" s="10"/>
      <c r="E2468" s="11"/>
      <c r="F2468" s="86"/>
      <c r="G2468" s="11"/>
      <c r="H2468" s="11"/>
      <c r="I2468" s="123"/>
    </row>
    <row r="2469" spans="3:9" x14ac:dyDescent="0.25">
      <c r="C2469" s="9"/>
      <c r="D2469" s="10"/>
      <c r="E2469" s="11"/>
      <c r="F2469" s="86"/>
      <c r="G2469" s="11"/>
      <c r="H2469" s="11"/>
      <c r="I2469" s="123"/>
    </row>
    <row r="2470" spans="3:9" x14ac:dyDescent="0.25">
      <c r="C2470" s="9"/>
      <c r="D2470" s="10"/>
      <c r="E2470" s="11"/>
      <c r="F2470" s="86"/>
      <c r="G2470" s="11"/>
      <c r="H2470" s="11"/>
      <c r="I2470" s="123"/>
    </row>
    <row r="2471" spans="3:9" x14ac:dyDescent="0.25">
      <c r="C2471" s="9"/>
      <c r="D2471" s="10"/>
      <c r="E2471" s="11"/>
      <c r="F2471" s="86"/>
      <c r="G2471" s="11"/>
      <c r="H2471" s="11"/>
      <c r="I2471" s="123"/>
    </row>
    <row r="2472" spans="3:9" x14ac:dyDescent="0.25">
      <c r="C2472" s="9"/>
      <c r="D2472" s="10"/>
      <c r="E2472" s="11"/>
      <c r="F2472" s="86"/>
      <c r="G2472" s="11"/>
      <c r="H2472" s="11"/>
      <c r="I2472" s="123"/>
    </row>
    <row r="2473" spans="3:9" x14ac:dyDescent="0.25">
      <c r="C2473" s="9"/>
      <c r="D2473" s="10"/>
      <c r="E2473" s="11"/>
      <c r="F2473" s="86"/>
      <c r="G2473" s="11"/>
      <c r="H2473" s="11"/>
      <c r="I2473" s="123"/>
    </row>
    <row r="2474" spans="3:9" x14ac:dyDescent="0.25">
      <c r="C2474" s="9"/>
      <c r="D2474" s="10"/>
      <c r="E2474" s="11"/>
      <c r="F2474" s="86"/>
      <c r="G2474" s="11"/>
      <c r="H2474" s="11"/>
      <c r="I2474" s="123"/>
    </row>
    <row r="2475" spans="3:9" x14ac:dyDescent="0.25">
      <c r="C2475" s="9"/>
      <c r="D2475" s="10"/>
      <c r="E2475" s="11"/>
      <c r="F2475" s="86"/>
      <c r="G2475" s="11"/>
      <c r="H2475" s="11"/>
      <c r="I2475" s="123"/>
    </row>
    <row r="2476" spans="3:9" x14ac:dyDescent="0.25">
      <c r="C2476" s="9"/>
      <c r="D2476" s="10"/>
      <c r="E2476" s="11"/>
      <c r="F2476" s="86"/>
      <c r="G2476" s="11"/>
      <c r="H2476" s="11"/>
      <c r="I2476" s="123"/>
    </row>
    <row r="2477" spans="3:9" x14ac:dyDescent="0.25">
      <c r="C2477" s="9"/>
      <c r="D2477" s="10"/>
      <c r="E2477" s="11"/>
      <c r="F2477" s="86"/>
      <c r="G2477" s="11"/>
      <c r="H2477" s="11"/>
      <c r="I2477" s="123"/>
    </row>
    <row r="2478" spans="3:9" x14ac:dyDescent="0.25">
      <c r="C2478" s="9"/>
      <c r="D2478" s="10"/>
      <c r="E2478" s="11"/>
      <c r="F2478" s="86"/>
      <c r="G2478" s="11"/>
      <c r="H2478" s="11"/>
      <c r="I2478" s="123"/>
    </row>
    <row r="2479" spans="3:9" x14ac:dyDescent="0.25">
      <c r="C2479" s="9"/>
      <c r="D2479" s="10"/>
      <c r="E2479" s="11"/>
      <c r="F2479" s="86"/>
      <c r="G2479" s="11"/>
      <c r="H2479" s="11"/>
      <c r="I2479" s="123"/>
    </row>
    <row r="2480" spans="3:9" x14ac:dyDescent="0.25">
      <c r="C2480" s="9"/>
      <c r="D2480" s="10"/>
      <c r="E2480" s="11"/>
      <c r="F2480" s="86"/>
      <c r="G2480" s="11"/>
      <c r="H2480" s="11"/>
      <c r="I2480" s="123"/>
    </row>
    <row r="2481" spans="3:9" x14ac:dyDescent="0.25">
      <c r="C2481" s="3"/>
      <c r="D2481" s="4"/>
      <c r="E2481" s="5"/>
      <c r="F2481" s="89"/>
      <c r="G2481" s="5"/>
      <c r="H2481" s="5"/>
      <c r="I2481" s="123"/>
    </row>
    <row r="2482" spans="3:9" x14ac:dyDescent="0.25">
      <c r="C2482" s="9"/>
      <c r="D2482" s="10"/>
      <c r="E2482" s="11"/>
      <c r="F2482" s="86"/>
      <c r="G2482" s="11"/>
      <c r="H2482" s="11"/>
      <c r="I2482" s="123"/>
    </row>
    <row r="2483" spans="3:9" x14ac:dyDescent="0.25">
      <c r="C2483" s="9"/>
      <c r="D2483" s="10"/>
      <c r="E2483" s="11"/>
      <c r="F2483" s="86"/>
      <c r="G2483" s="11"/>
      <c r="H2483" s="11"/>
      <c r="I2483" s="123"/>
    </row>
    <row r="2484" spans="3:9" x14ac:dyDescent="0.25">
      <c r="C2484" s="9"/>
      <c r="D2484" s="10"/>
      <c r="E2484" s="11"/>
      <c r="F2484" s="86"/>
      <c r="G2484" s="11"/>
      <c r="H2484" s="11"/>
      <c r="I2484" s="123"/>
    </row>
    <row r="2485" spans="3:9" x14ac:dyDescent="0.25">
      <c r="C2485" s="9"/>
      <c r="D2485" s="10"/>
      <c r="E2485" s="11"/>
      <c r="F2485" s="86"/>
      <c r="G2485" s="11"/>
      <c r="H2485" s="11"/>
      <c r="I2485" s="123"/>
    </row>
    <row r="2486" spans="3:9" x14ac:dyDescent="0.25">
      <c r="C2486" s="9"/>
      <c r="D2486" s="10"/>
      <c r="E2486" s="11"/>
      <c r="F2486" s="86"/>
      <c r="G2486" s="11"/>
      <c r="H2486" s="11"/>
      <c r="I2486" s="123"/>
    </row>
    <row r="2487" spans="3:9" x14ac:dyDescent="0.25">
      <c r="C2487" s="9"/>
      <c r="D2487" s="10"/>
      <c r="E2487" s="11"/>
      <c r="F2487" s="86"/>
      <c r="G2487" s="11"/>
      <c r="H2487" s="11"/>
      <c r="I2487" s="123"/>
    </row>
    <row r="2488" spans="3:9" x14ac:dyDescent="0.25">
      <c r="C2488" s="9"/>
      <c r="D2488" s="10"/>
      <c r="E2488" s="11"/>
      <c r="F2488" s="86"/>
      <c r="G2488" s="11"/>
      <c r="H2488" s="11"/>
      <c r="I2488" s="123"/>
    </row>
    <row r="2489" spans="3:9" x14ac:dyDescent="0.25">
      <c r="C2489" s="9"/>
      <c r="D2489" s="10"/>
      <c r="E2489" s="11"/>
      <c r="F2489" s="86"/>
      <c r="G2489" s="11"/>
      <c r="H2489" s="11"/>
      <c r="I2489" s="123"/>
    </row>
    <row r="2490" spans="3:9" x14ac:dyDescent="0.25">
      <c r="C2490" s="9"/>
      <c r="D2490" s="10"/>
      <c r="E2490" s="11"/>
      <c r="F2490" s="86"/>
      <c r="G2490" s="11"/>
      <c r="H2490" s="11"/>
      <c r="I2490" s="123"/>
    </row>
    <row r="2491" spans="3:9" x14ac:dyDescent="0.25">
      <c r="C2491" s="9"/>
      <c r="D2491" s="10"/>
      <c r="E2491" s="11"/>
      <c r="F2491" s="86"/>
      <c r="G2491" s="11"/>
      <c r="H2491" s="11"/>
      <c r="I2491" s="123"/>
    </row>
    <row r="2492" spans="3:9" x14ac:dyDescent="0.25">
      <c r="C2492" s="9"/>
      <c r="D2492" s="10"/>
      <c r="E2492" s="11"/>
      <c r="F2492" s="86"/>
      <c r="G2492" s="11"/>
      <c r="H2492" s="11"/>
      <c r="I2492" s="123"/>
    </row>
    <row r="2493" spans="3:9" x14ac:dyDescent="0.25">
      <c r="C2493" s="9"/>
      <c r="D2493" s="10"/>
      <c r="E2493" s="11"/>
      <c r="F2493" s="86"/>
      <c r="G2493" s="11"/>
      <c r="H2493" s="11"/>
      <c r="I2493" s="123"/>
    </row>
    <row r="2494" spans="3:9" x14ac:dyDescent="0.25">
      <c r="C2494" s="3"/>
      <c r="D2494" s="4"/>
      <c r="E2494" s="5"/>
      <c r="F2494" s="89"/>
      <c r="G2494" s="5"/>
      <c r="H2494" s="5"/>
      <c r="I2494" s="123"/>
    </row>
    <row r="2495" spans="3:9" x14ac:dyDescent="0.25">
      <c r="C2495" s="3"/>
      <c r="D2495" s="4"/>
      <c r="E2495" s="5"/>
      <c r="F2495" s="89"/>
      <c r="G2495" s="5"/>
      <c r="H2495" s="5"/>
      <c r="I2495" s="123"/>
    </row>
    <row r="2496" spans="3:9" x14ac:dyDescent="0.25">
      <c r="C2496" s="3"/>
      <c r="D2496" s="4"/>
      <c r="E2496" s="5"/>
      <c r="F2496" s="89"/>
      <c r="G2496" s="5"/>
      <c r="H2496" s="5"/>
      <c r="I2496" s="123"/>
    </row>
    <row r="2497" spans="3:9" x14ac:dyDescent="0.25">
      <c r="C2497" s="3"/>
      <c r="D2497" s="4"/>
      <c r="E2497" s="5"/>
      <c r="F2497" s="89"/>
      <c r="G2497" s="5"/>
      <c r="H2497" s="5"/>
      <c r="I2497" s="123"/>
    </row>
    <row r="2498" spans="3:9" x14ac:dyDescent="0.25">
      <c r="C2498" s="3"/>
      <c r="D2498" s="4"/>
      <c r="E2498" s="5"/>
      <c r="F2498" s="89"/>
      <c r="G2498" s="5"/>
      <c r="H2498" s="5"/>
      <c r="I2498" s="123"/>
    </row>
    <row r="2499" spans="3:9" x14ac:dyDescent="0.25">
      <c r="C2499" s="3"/>
      <c r="D2499" s="4"/>
      <c r="E2499" s="5"/>
      <c r="F2499" s="89"/>
      <c r="G2499" s="5"/>
      <c r="H2499" s="5"/>
      <c r="I2499" s="123"/>
    </row>
    <row r="2500" spans="3:9" x14ac:dyDescent="0.25">
      <c r="C2500" s="9"/>
      <c r="D2500" s="10"/>
      <c r="E2500" s="11"/>
      <c r="F2500" s="86"/>
      <c r="G2500" s="11"/>
      <c r="H2500" s="11"/>
      <c r="I2500" s="123"/>
    </row>
    <row r="2501" spans="3:9" x14ac:dyDescent="0.25">
      <c r="C2501" s="9"/>
      <c r="D2501" s="10"/>
      <c r="E2501" s="11"/>
      <c r="F2501" s="86"/>
      <c r="G2501" s="11"/>
      <c r="H2501" s="11"/>
      <c r="I2501" s="123"/>
    </row>
    <row r="2502" spans="3:9" x14ac:dyDescent="0.25">
      <c r="C2502" s="9"/>
      <c r="D2502" s="10"/>
      <c r="E2502" s="11"/>
      <c r="F2502" s="86"/>
      <c r="G2502" s="11"/>
      <c r="H2502" s="11"/>
      <c r="I2502" s="123"/>
    </row>
    <row r="2503" spans="3:9" x14ac:dyDescent="0.25">
      <c r="C2503" s="9"/>
      <c r="D2503" s="10"/>
      <c r="E2503" s="11"/>
      <c r="F2503" s="86"/>
      <c r="G2503" s="11"/>
      <c r="H2503" s="11"/>
      <c r="I2503" s="123"/>
    </row>
    <row r="2504" spans="3:9" x14ac:dyDescent="0.25">
      <c r="C2504" s="9"/>
      <c r="D2504" s="10"/>
      <c r="E2504" s="11"/>
      <c r="F2504" s="86"/>
      <c r="G2504" s="11"/>
      <c r="H2504" s="11"/>
      <c r="I2504" s="123"/>
    </row>
    <row r="2505" spans="3:9" x14ac:dyDescent="0.25">
      <c r="C2505" s="9"/>
      <c r="D2505" s="10"/>
      <c r="E2505" s="11"/>
      <c r="F2505" s="86"/>
      <c r="G2505" s="11"/>
      <c r="H2505" s="11"/>
      <c r="I2505" s="123"/>
    </row>
    <row r="2506" spans="3:9" x14ac:dyDescent="0.25">
      <c r="C2506" s="9"/>
      <c r="D2506" s="10"/>
      <c r="E2506" s="11"/>
      <c r="F2506" s="86"/>
      <c r="G2506" s="11"/>
      <c r="H2506" s="11"/>
      <c r="I2506" s="123"/>
    </row>
    <row r="2507" spans="3:9" x14ac:dyDescent="0.25">
      <c r="C2507" s="9"/>
      <c r="D2507" s="10"/>
      <c r="E2507" s="11"/>
      <c r="F2507" s="86"/>
      <c r="G2507" s="11"/>
      <c r="H2507" s="11"/>
      <c r="I2507" s="123"/>
    </row>
    <row r="2508" spans="3:9" x14ac:dyDescent="0.25">
      <c r="C2508" s="3"/>
      <c r="D2508" s="4"/>
      <c r="E2508" s="5"/>
      <c r="F2508" s="89"/>
      <c r="G2508" s="5"/>
      <c r="H2508" s="5"/>
      <c r="I2508" s="123"/>
    </row>
    <row r="2509" spans="3:9" x14ac:dyDescent="0.25">
      <c r="C2509" s="9"/>
      <c r="D2509" s="10"/>
      <c r="E2509" s="11"/>
      <c r="F2509" s="86"/>
      <c r="G2509" s="11"/>
      <c r="H2509" s="11"/>
      <c r="I2509" s="123"/>
    </row>
    <row r="2510" spans="3:9" x14ac:dyDescent="0.25">
      <c r="C2510" s="9"/>
      <c r="D2510" s="10"/>
      <c r="E2510" s="11"/>
      <c r="F2510" s="86"/>
      <c r="G2510" s="11"/>
      <c r="H2510" s="11"/>
      <c r="I2510" s="123"/>
    </row>
    <row r="2511" spans="3:9" x14ac:dyDescent="0.25">
      <c r="C2511" s="9"/>
      <c r="D2511" s="10"/>
      <c r="E2511" s="11"/>
      <c r="F2511" s="86"/>
      <c r="G2511" s="11"/>
      <c r="H2511" s="11"/>
      <c r="I2511" s="123"/>
    </row>
    <row r="2512" spans="3:9" x14ac:dyDescent="0.25">
      <c r="C2512" s="9"/>
      <c r="D2512" s="10"/>
      <c r="E2512" s="11"/>
      <c r="F2512" s="86"/>
      <c r="G2512" s="11"/>
      <c r="H2512" s="11"/>
      <c r="I2512" s="123"/>
    </row>
    <row r="2513" spans="3:9" x14ac:dyDescent="0.25">
      <c r="C2513" s="9"/>
      <c r="D2513" s="10"/>
      <c r="E2513" s="11"/>
      <c r="F2513" s="86"/>
      <c r="G2513" s="11"/>
      <c r="H2513" s="11"/>
      <c r="I2513" s="123"/>
    </row>
    <row r="2514" spans="3:9" x14ac:dyDescent="0.25">
      <c r="C2514" s="9"/>
      <c r="D2514" s="10"/>
      <c r="E2514" s="11"/>
      <c r="F2514" s="86"/>
      <c r="G2514" s="11"/>
      <c r="H2514" s="11"/>
      <c r="I2514" s="123"/>
    </row>
    <row r="2515" spans="3:9" x14ac:dyDescent="0.25">
      <c r="C2515" s="9"/>
      <c r="D2515" s="10"/>
      <c r="E2515" s="11"/>
      <c r="F2515" s="86"/>
      <c r="G2515" s="11"/>
      <c r="H2515" s="11"/>
      <c r="I2515" s="123"/>
    </row>
    <row r="2516" spans="3:9" x14ac:dyDescent="0.25">
      <c r="C2516" s="9"/>
      <c r="D2516" s="10"/>
      <c r="E2516" s="11"/>
      <c r="F2516" s="86"/>
      <c r="G2516" s="11"/>
      <c r="H2516" s="11"/>
      <c r="I2516" s="123"/>
    </row>
    <row r="2517" spans="3:9" x14ac:dyDescent="0.25">
      <c r="C2517" s="9"/>
      <c r="D2517" s="10"/>
      <c r="E2517" s="11"/>
      <c r="F2517" s="86"/>
      <c r="G2517" s="11"/>
      <c r="H2517" s="11"/>
      <c r="I2517" s="123"/>
    </row>
    <row r="2518" spans="3:9" x14ac:dyDescent="0.25">
      <c r="C2518" s="3"/>
      <c r="D2518" s="4"/>
      <c r="E2518" s="5"/>
      <c r="F2518" s="89"/>
      <c r="G2518" s="5"/>
      <c r="H2518" s="5"/>
      <c r="I2518" s="123"/>
    </row>
    <row r="2519" spans="3:9" x14ac:dyDescent="0.25">
      <c r="C2519" s="9"/>
      <c r="D2519" s="10"/>
      <c r="E2519" s="11"/>
      <c r="F2519" s="86"/>
      <c r="G2519" s="11"/>
      <c r="H2519" s="11"/>
      <c r="I2519" s="123"/>
    </row>
    <row r="2520" spans="3:9" x14ac:dyDescent="0.25">
      <c r="C2520" s="9"/>
      <c r="D2520" s="10"/>
      <c r="E2520" s="11"/>
      <c r="F2520" s="86"/>
      <c r="G2520" s="11"/>
      <c r="H2520" s="11"/>
      <c r="I2520" s="123"/>
    </row>
    <row r="2521" spans="3:9" x14ac:dyDescent="0.25">
      <c r="C2521" s="9"/>
      <c r="D2521" s="10"/>
      <c r="E2521" s="11"/>
      <c r="F2521" s="86"/>
      <c r="G2521" s="11"/>
      <c r="H2521" s="11"/>
      <c r="I2521" s="123"/>
    </row>
    <row r="2522" spans="3:9" x14ac:dyDescent="0.25">
      <c r="C2522" s="9"/>
      <c r="D2522" s="10"/>
      <c r="E2522" s="11"/>
      <c r="F2522" s="86"/>
      <c r="G2522" s="11"/>
      <c r="H2522" s="11"/>
      <c r="I2522" s="123"/>
    </row>
    <row r="2523" spans="3:9" x14ac:dyDescent="0.25">
      <c r="C2523" s="9"/>
      <c r="D2523" s="10"/>
      <c r="E2523" s="11"/>
      <c r="F2523" s="86"/>
      <c r="G2523" s="11"/>
      <c r="H2523" s="11"/>
      <c r="I2523" s="123"/>
    </row>
    <row r="2524" spans="3:9" x14ac:dyDescent="0.25">
      <c r="C2524" s="9"/>
      <c r="D2524" s="10"/>
      <c r="E2524" s="11"/>
      <c r="F2524" s="86"/>
      <c r="G2524" s="11"/>
      <c r="H2524" s="11"/>
      <c r="I2524" s="123"/>
    </row>
    <row r="2525" spans="3:9" x14ac:dyDescent="0.25">
      <c r="C2525" s="9"/>
      <c r="D2525" s="10"/>
      <c r="E2525" s="11"/>
      <c r="F2525" s="86"/>
      <c r="G2525" s="11"/>
      <c r="H2525" s="11"/>
      <c r="I2525" s="123"/>
    </row>
    <row r="2526" spans="3:9" x14ac:dyDescent="0.25">
      <c r="C2526" s="9"/>
      <c r="D2526" s="10"/>
      <c r="E2526" s="11"/>
      <c r="F2526" s="86"/>
      <c r="G2526" s="11"/>
      <c r="H2526" s="11"/>
      <c r="I2526" s="123"/>
    </row>
    <row r="2527" spans="3:9" x14ac:dyDescent="0.25">
      <c r="C2527" s="9"/>
      <c r="D2527" s="10"/>
      <c r="E2527" s="11"/>
      <c r="F2527" s="86"/>
      <c r="G2527" s="11"/>
      <c r="H2527" s="11"/>
      <c r="I2527" s="123"/>
    </row>
    <row r="2528" spans="3:9" x14ac:dyDescent="0.25">
      <c r="C2528" s="9"/>
      <c r="D2528" s="10"/>
      <c r="E2528" s="11"/>
      <c r="F2528" s="86"/>
      <c r="G2528" s="11"/>
      <c r="H2528" s="11"/>
      <c r="I2528" s="123"/>
    </row>
    <row r="2529" spans="3:9" x14ac:dyDescent="0.25">
      <c r="C2529" s="9"/>
      <c r="D2529" s="10"/>
      <c r="E2529" s="11"/>
      <c r="F2529" s="86"/>
      <c r="G2529" s="11"/>
      <c r="H2529" s="11"/>
      <c r="I2529" s="123"/>
    </row>
    <row r="2530" spans="3:9" x14ac:dyDescent="0.25">
      <c r="C2530" s="9"/>
      <c r="D2530" s="10"/>
      <c r="E2530" s="11"/>
      <c r="F2530" s="86"/>
      <c r="G2530" s="11"/>
      <c r="H2530" s="11"/>
      <c r="I2530" s="123"/>
    </row>
    <row r="2531" spans="3:9" x14ac:dyDescent="0.25">
      <c r="C2531" s="9"/>
      <c r="D2531" s="10"/>
      <c r="E2531" s="11"/>
      <c r="F2531" s="86"/>
      <c r="G2531" s="11"/>
      <c r="H2531" s="11"/>
      <c r="I2531" s="123"/>
    </row>
    <row r="2532" spans="3:9" x14ac:dyDescent="0.25">
      <c r="C2532" s="9"/>
      <c r="D2532" s="10"/>
      <c r="E2532" s="11"/>
      <c r="F2532" s="86"/>
      <c r="G2532" s="11"/>
      <c r="H2532" s="11"/>
      <c r="I2532" s="123"/>
    </row>
    <row r="2533" spans="3:9" x14ac:dyDescent="0.25">
      <c r="C2533" s="9"/>
      <c r="D2533" s="10"/>
      <c r="E2533" s="11"/>
      <c r="F2533" s="86"/>
      <c r="G2533" s="11"/>
      <c r="H2533" s="11"/>
      <c r="I2533" s="123"/>
    </row>
    <row r="2534" spans="3:9" x14ac:dyDescent="0.25">
      <c r="C2534" s="9"/>
      <c r="D2534" s="10"/>
      <c r="E2534" s="11"/>
      <c r="F2534" s="86"/>
      <c r="G2534" s="11"/>
      <c r="H2534" s="11"/>
      <c r="I2534" s="123"/>
    </row>
    <row r="2535" spans="3:9" x14ac:dyDescent="0.25">
      <c r="C2535" s="9"/>
      <c r="D2535" s="10"/>
      <c r="E2535" s="11"/>
      <c r="F2535" s="86"/>
      <c r="G2535" s="11"/>
      <c r="H2535" s="11"/>
      <c r="I2535" s="123"/>
    </row>
    <row r="2536" spans="3:9" x14ac:dyDescent="0.25">
      <c r="C2536" s="9"/>
      <c r="D2536" s="10"/>
      <c r="E2536" s="11"/>
      <c r="F2536" s="86"/>
      <c r="G2536" s="11"/>
      <c r="H2536" s="11"/>
      <c r="I2536" s="123"/>
    </row>
    <row r="2537" spans="3:9" x14ac:dyDescent="0.25">
      <c r="C2537" s="73"/>
      <c r="D2537" s="74"/>
      <c r="E2537" s="75"/>
      <c r="F2537" s="90"/>
      <c r="G2537" s="75"/>
      <c r="H2537" s="75"/>
      <c r="I2537" s="123"/>
    </row>
    <row r="2538" spans="3:9" x14ac:dyDescent="0.25">
      <c r="C2538" s="73"/>
      <c r="D2538" s="74"/>
      <c r="E2538" s="75"/>
      <c r="F2538" s="90"/>
      <c r="G2538" s="75"/>
      <c r="H2538" s="75"/>
      <c r="I2538" s="123"/>
    </row>
    <row r="2539" spans="3:9" x14ac:dyDescent="0.25">
      <c r="C2539" s="73"/>
      <c r="D2539" s="74"/>
      <c r="E2539" s="75"/>
      <c r="F2539" s="90"/>
      <c r="G2539" s="75"/>
      <c r="H2539" s="75"/>
      <c r="I2539" s="123"/>
    </row>
    <row r="2540" spans="3:9" x14ac:dyDescent="0.25">
      <c r="C2540" s="73"/>
      <c r="D2540" s="74"/>
      <c r="E2540" s="75"/>
      <c r="F2540" s="90"/>
      <c r="G2540" s="75"/>
      <c r="H2540" s="75"/>
      <c r="I2540" s="123"/>
    </row>
    <row r="2541" spans="3:9" x14ac:dyDescent="0.25">
      <c r="C2541" s="73"/>
      <c r="D2541" s="74"/>
      <c r="E2541" s="75"/>
      <c r="F2541" s="90"/>
      <c r="G2541" s="75"/>
      <c r="H2541" s="75"/>
      <c r="I2541" s="123"/>
    </row>
    <row r="2542" spans="3:9" x14ac:dyDescent="0.25">
      <c r="C2542" s="73"/>
      <c r="D2542" s="74"/>
      <c r="E2542" s="75"/>
      <c r="F2542" s="90"/>
      <c r="G2542" s="75"/>
      <c r="H2542" s="75"/>
      <c r="I2542" s="123"/>
    </row>
    <row r="2543" spans="3:9" x14ac:dyDescent="0.25">
      <c r="C2543" s="73"/>
      <c r="D2543" s="74"/>
      <c r="E2543" s="75"/>
      <c r="F2543" s="90"/>
      <c r="G2543" s="75"/>
      <c r="H2543" s="75"/>
      <c r="I2543" s="123"/>
    </row>
    <row r="2544" spans="3:9" x14ac:dyDescent="0.25">
      <c r="C2544" s="73"/>
      <c r="D2544" s="74"/>
      <c r="E2544" s="75"/>
      <c r="F2544" s="90"/>
      <c r="G2544" s="75"/>
      <c r="H2544" s="75"/>
      <c r="I2544" s="123"/>
    </row>
    <row r="2545" spans="3:9" x14ac:dyDescent="0.25">
      <c r="C2545" s="73"/>
      <c r="D2545" s="74"/>
      <c r="E2545" s="75"/>
      <c r="F2545" s="90"/>
      <c r="G2545" s="75"/>
      <c r="H2545" s="75"/>
      <c r="I2545" s="123"/>
    </row>
    <row r="2546" spans="3:9" x14ac:dyDescent="0.25">
      <c r="C2546" s="73"/>
      <c r="D2546" s="74"/>
      <c r="E2546" s="75"/>
      <c r="F2546" s="90"/>
      <c r="G2546" s="75"/>
      <c r="H2546" s="75"/>
      <c r="I2546" s="123"/>
    </row>
    <row r="2547" spans="3:9" x14ac:dyDescent="0.25">
      <c r="C2547" s="73"/>
      <c r="D2547" s="74"/>
      <c r="E2547" s="75"/>
      <c r="F2547" s="90"/>
      <c r="G2547" s="75"/>
      <c r="H2547" s="75"/>
      <c r="I2547" s="123"/>
    </row>
    <row r="2548" spans="3:9" x14ac:dyDescent="0.25">
      <c r="C2548" s="73"/>
      <c r="D2548" s="74"/>
      <c r="E2548" s="75"/>
      <c r="F2548" s="90"/>
      <c r="G2548" s="75"/>
      <c r="H2548" s="75"/>
      <c r="I2548" s="123"/>
    </row>
    <row r="2549" spans="3:9" x14ac:dyDescent="0.25">
      <c r="C2549" s="73"/>
      <c r="D2549" s="74"/>
      <c r="E2549" s="75"/>
      <c r="F2549" s="90"/>
      <c r="G2549" s="75"/>
      <c r="H2549" s="75"/>
      <c r="I2549" s="123"/>
    </row>
    <row r="2550" spans="3:9" x14ac:dyDescent="0.25">
      <c r="C2550" s="73"/>
      <c r="D2550" s="74"/>
      <c r="E2550" s="75"/>
      <c r="F2550" s="90"/>
      <c r="G2550" s="75"/>
      <c r="H2550" s="75"/>
      <c r="I2550" s="123"/>
    </row>
    <row r="2551" spans="3:9" x14ac:dyDescent="0.25">
      <c r="C2551" s="73"/>
      <c r="D2551" s="74"/>
      <c r="E2551" s="75"/>
      <c r="F2551" s="90"/>
      <c r="G2551" s="75"/>
      <c r="H2551" s="75"/>
      <c r="I2551" s="123"/>
    </row>
    <row r="2552" spans="3:9" x14ac:dyDescent="0.25">
      <c r="C2552" s="73"/>
      <c r="D2552" s="74"/>
      <c r="E2552" s="75"/>
      <c r="F2552" s="90"/>
      <c r="G2552" s="75"/>
      <c r="H2552" s="75"/>
      <c r="I2552" s="123"/>
    </row>
    <row r="2553" spans="3:9" x14ac:dyDescent="0.25">
      <c r="C2553" s="73"/>
      <c r="D2553" s="74"/>
      <c r="E2553" s="75"/>
      <c r="F2553" s="90"/>
      <c r="G2553" s="75"/>
      <c r="H2553" s="75"/>
      <c r="I2553" s="123"/>
    </row>
    <row r="2554" spans="3:9" x14ac:dyDescent="0.25">
      <c r="C2554" s="73"/>
      <c r="D2554" s="74"/>
      <c r="E2554" s="75"/>
      <c r="F2554" s="90"/>
      <c r="G2554" s="75"/>
      <c r="H2554" s="75"/>
      <c r="I2554" s="123"/>
    </row>
    <row r="2555" spans="3:9" x14ac:dyDescent="0.25">
      <c r="C2555" s="73"/>
      <c r="D2555" s="74"/>
      <c r="E2555" s="75"/>
      <c r="F2555" s="90"/>
      <c r="G2555" s="75"/>
      <c r="H2555" s="75"/>
      <c r="I2555" s="123"/>
    </row>
    <row r="2556" spans="3:9" x14ac:dyDescent="0.25">
      <c r="C2556" s="73"/>
      <c r="D2556" s="74"/>
      <c r="E2556" s="75"/>
      <c r="F2556" s="90"/>
      <c r="G2556" s="75"/>
      <c r="H2556" s="75"/>
      <c r="I2556" s="123"/>
    </row>
    <row r="2557" spans="3:9" x14ac:dyDescent="0.25">
      <c r="C2557" s="73"/>
      <c r="D2557" s="74"/>
      <c r="E2557" s="75"/>
      <c r="F2557" s="90"/>
      <c r="G2557" s="75"/>
      <c r="H2557" s="75"/>
      <c r="I2557" s="123"/>
    </row>
    <row r="2558" spans="3:9" x14ac:dyDescent="0.25">
      <c r="C2558" s="73"/>
      <c r="D2558" s="74"/>
      <c r="E2558" s="75"/>
      <c r="F2558" s="90"/>
      <c r="G2558" s="75"/>
      <c r="H2558" s="75"/>
      <c r="I2558" s="123"/>
    </row>
    <row r="2559" spans="3:9" x14ac:dyDescent="0.25">
      <c r="C2559" s="73"/>
      <c r="D2559" s="74"/>
      <c r="E2559" s="75"/>
      <c r="F2559" s="90"/>
      <c r="G2559" s="75"/>
      <c r="H2559" s="75"/>
      <c r="I2559" s="123"/>
    </row>
    <row r="2560" spans="3:9" x14ac:dyDescent="0.25">
      <c r="C2560" s="73"/>
      <c r="D2560" s="74"/>
      <c r="E2560" s="75"/>
      <c r="F2560" s="90"/>
      <c r="G2560" s="75"/>
      <c r="H2560" s="75"/>
      <c r="I2560" s="123"/>
    </row>
    <row r="2561" spans="3:9" x14ac:dyDescent="0.25">
      <c r="C2561" s="73"/>
      <c r="D2561" s="74"/>
      <c r="E2561" s="75"/>
      <c r="F2561" s="90"/>
      <c r="G2561" s="75"/>
      <c r="H2561" s="75"/>
      <c r="I2561" s="123"/>
    </row>
    <row r="2562" spans="3:9" x14ac:dyDescent="0.25">
      <c r="C2562" s="73"/>
      <c r="D2562" s="74"/>
      <c r="E2562" s="75"/>
      <c r="F2562" s="90"/>
      <c r="G2562" s="75"/>
      <c r="H2562" s="75"/>
      <c r="I2562" s="123"/>
    </row>
    <row r="2563" spans="3:9" x14ac:dyDescent="0.25">
      <c r="C2563" s="73"/>
      <c r="D2563" s="74"/>
      <c r="E2563" s="75"/>
      <c r="F2563" s="90"/>
      <c r="G2563" s="75"/>
      <c r="H2563" s="75"/>
      <c r="I2563" s="123"/>
    </row>
    <row r="2564" spans="3:9" x14ac:dyDescent="0.25">
      <c r="C2564" s="73"/>
      <c r="D2564" s="74"/>
      <c r="E2564" s="75"/>
      <c r="F2564" s="90"/>
      <c r="G2564" s="75"/>
      <c r="H2564" s="75"/>
      <c r="I2564" s="123"/>
    </row>
    <row r="2565" spans="3:9" x14ac:dyDescent="0.25">
      <c r="C2565" s="73"/>
      <c r="D2565" s="74"/>
      <c r="E2565" s="75"/>
      <c r="F2565" s="90"/>
      <c r="G2565" s="75"/>
      <c r="H2565" s="75"/>
      <c r="I2565" s="123"/>
    </row>
    <row r="2566" spans="3:9" x14ac:dyDescent="0.25">
      <c r="C2566" s="73"/>
      <c r="D2566" s="74"/>
      <c r="E2566" s="75"/>
      <c r="F2566" s="90"/>
      <c r="G2566" s="75"/>
      <c r="H2566" s="75"/>
      <c r="I2566" s="123"/>
    </row>
    <row r="2567" spans="3:9" x14ac:dyDescent="0.25">
      <c r="C2567" s="73"/>
      <c r="D2567" s="74"/>
      <c r="E2567" s="75"/>
      <c r="F2567" s="90"/>
      <c r="G2567" s="75"/>
      <c r="H2567" s="75"/>
      <c r="I2567" s="123"/>
    </row>
    <row r="2568" spans="3:9" x14ac:dyDescent="0.25">
      <c r="C2568" s="73"/>
      <c r="D2568" s="74"/>
      <c r="E2568" s="75"/>
      <c r="F2568" s="90"/>
      <c r="G2568" s="75"/>
      <c r="H2568" s="75"/>
      <c r="I2568" s="123"/>
    </row>
    <row r="2569" spans="3:9" x14ac:dyDescent="0.25">
      <c r="C2569" s="73"/>
      <c r="D2569" s="74"/>
      <c r="E2569" s="75"/>
      <c r="F2569" s="90"/>
      <c r="G2569" s="75"/>
      <c r="H2569" s="75"/>
      <c r="I2569" s="123"/>
    </row>
    <row r="2570" spans="3:9" x14ac:dyDescent="0.25">
      <c r="C2570" s="73"/>
      <c r="D2570" s="74"/>
      <c r="E2570" s="75"/>
      <c r="F2570" s="90"/>
      <c r="G2570" s="75"/>
      <c r="H2570" s="75"/>
      <c r="I2570" s="123"/>
    </row>
    <row r="2571" spans="3:9" x14ac:dyDescent="0.25">
      <c r="C2571" s="73"/>
      <c r="D2571" s="74"/>
      <c r="E2571" s="75"/>
      <c r="F2571" s="90"/>
      <c r="G2571" s="75"/>
      <c r="H2571" s="75"/>
      <c r="I2571" s="123"/>
    </row>
    <row r="2572" spans="3:9" x14ac:dyDescent="0.25">
      <c r="C2572" s="73"/>
      <c r="D2572" s="74"/>
      <c r="E2572" s="75"/>
      <c r="F2572" s="90"/>
      <c r="G2572" s="75"/>
      <c r="H2572" s="75"/>
      <c r="I2572" s="123"/>
    </row>
    <row r="2573" spans="3:9" x14ac:dyDescent="0.25">
      <c r="C2573" s="73"/>
      <c r="D2573" s="74"/>
      <c r="E2573" s="75"/>
      <c r="F2573" s="90"/>
      <c r="G2573" s="75"/>
      <c r="H2573" s="75"/>
      <c r="I2573" s="123"/>
    </row>
    <row r="2574" spans="3:9" x14ac:dyDescent="0.25">
      <c r="C2574" s="73"/>
      <c r="D2574" s="74"/>
      <c r="E2574" s="75"/>
      <c r="F2574" s="90"/>
      <c r="G2574" s="75"/>
      <c r="H2574" s="75"/>
      <c r="I2574" s="123"/>
    </row>
    <row r="2575" spans="3:9" x14ac:dyDescent="0.25">
      <c r="C2575" s="73"/>
      <c r="D2575" s="74"/>
      <c r="E2575" s="75"/>
      <c r="F2575" s="90"/>
      <c r="G2575" s="75"/>
      <c r="H2575" s="75"/>
      <c r="I2575" s="123"/>
    </row>
    <row r="2576" spans="3:9" x14ac:dyDescent="0.25">
      <c r="C2576" s="73"/>
      <c r="D2576" s="74"/>
      <c r="E2576" s="75"/>
      <c r="F2576" s="90"/>
      <c r="G2576" s="75"/>
      <c r="H2576" s="75"/>
      <c r="I2576" s="123"/>
    </row>
    <row r="2577" spans="3:9" x14ac:dyDescent="0.25">
      <c r="C2577" s="73"/>
      <c r="D2577" s="74"/>
      <c r="E2577" s="75"/>
      <c r="F2577" s="90"/>
      <c r="G2577" s="75"/>
      <c r="H2577" s="75"/>
      <c r="I2577" s="123"/>
    </row>
    <row r="2578" spans="3:9" x14ac:dyDescent="0.25">
      <c r="C2578" s="73"/>
      <c r="D2578" s="74"/>
      <c r="E2578" s="75"/>
      <c r="F2578" s="90"/>
      <c r="G2578" s="75"/>
      <c r="H2578" s="75"/>
      <c r="I2578" s="123"/>
    </row>
    <row r="2579" spans="3:9" x14ac:dyDescent="0.25">
      <c r="C2579" s="73"/>
      <c r="D2579" s="74"/>
      <c r="E2579" s="75"/>
      <c r="F2579" s="90"/>
      <c r="G2579" s="75"/>
      <c r="H2579" s="75"/>
      <c r="I2579" s="123"/>
    </row>
    <row r="2580" spans="3:9" x14ac:dyDescent="0.25">
      <c r="C2580" s="73"/>
      <c r="D2580" s="74"/>
      <c r="E2580" s="75"/>
      <c r="F2580" s="90"/>
      <c r="G2580" s="75"/>
      <c r="H2580" s="75"/>
      <c r="I2580" s="123"/>
    </row>
    <row r="2581" spans="3:9" x14ac:dyDescent="0.25">
      <c r="C2581" s="73"/>
      <c r="D2581" s="74"/>
      <c r="E2581" s="75"/>
      <c r="F2581" s="90"/>
      <c r="G2581" s="75"/>
      <c r="H2581" s="75"/>
      <c r="I2581" s="123"/>
    </row>
    <row r="2582" spans="3:9" x14ac:dyDescent="0.25">
      <c r="C2582" s="73"/>
      <c r="D2582" s="74"/>
      <c r="E2582" s="75"/>
      <c r="F2582" s="90"/>
      <c r="G2582" s="75"/>
      <c r="H2582" s="75"/>
      <c r="I2582" s="123"/>
    </row>
    <row r="2583" spans="3:9" x14ac:dyDescent="0.25">
      <c r="C2583" s="73"/>
      <c r="D2583" s="74"/>
      <c r="E2583" s="75"/>
      <c r="F2583" s="90"/>
      <c r="G2583" s="75"/>
      <c r="H2583" s="75"/>
      <c r="I2583" s="123"/>
    </row>
    <row r="2584" spans="3:9" x14ac:dyDescent="0.25">
      <c r="C2584" s="73"/>
      <c r="D2584" s="74"/>
      <c r="E2584" s="75"/>
      <c r="F2584" s="90"/>
      <c r="G2584" s="75"/>
      <c r="H2584" s="75"/>
      <c r="I2584" s="123"/>
    </row>
    <row r="2585" spans="3:9" x14ac:dyDescent="0.25">
      <c r="C2585" s="73"/>
      <c r="D2585" s="74"/>
      <c r="E2585" s="75"/>
      <c r="F2585" s="90"/>
      <c r="G2585" s="75"/>
      <c r="H2585" s="75"/>
      <c r="I2585" s="123"/>
    </row>
    <row r="2586" spans="3:9" x14ac:dyDescent="0.25">
      <c r="C2586" s="73"/>
      <c r="D2586" s="74"/>
      <c r="E2586" s="75"/>
      <c r="F2586" s="90"/>
      <c r="G2586" s="75"/>
      <c r="H2586" s="75"/>
      <c r="I2586" s="123"/>
    </row>
    <row r="2587" spans="3:9" x14ac:dyDescent="0.25">
      <c r="C2587" s="73"/>
      <c r="D2587" s="74"/>
      <c r="E2587" s="75"/>
      <c r="F2587" s="90"/>
      <c r="G2587" s="75"/>
      <c r="H2587" s="75"/>
      <c r="I2587" s="123"/>
    </row>
    <row r="2588" spans="3:9" x14ac:dyDescent="0.25">
      <c r="C2588" s="73"/>
      <c r="D2588" s="74"/>
      <c r="E2588" s="75"/>
      <c r="F2588" s="90"/>
      <c r="G2588" s="75"/>
      <c r="H2588" s="75"/>
      <c r="I2588" s="123"/>
    </row>
    <row r="2589" spans="3:9" x14ac:dyDescent="0.25">
      <c r="C2589" s="73"/>
      <c r="D2589" s="74"/>
      <c r="E2589" s="75"/>
      <c r="F2589" s="90"/>
      <c r="G2589" s="75"/>
      <c r="H2589" s="75"/>
      <c r="I2589" s="123"/>
    </row>
    <row r="2590" spans="3:9" x14ac:dyDescent="0.25">
      <c r="C2590" s="73"/>
      <c r="D2590" s="74"/>
      <c r="E2590" s="75"/>
      <c r="F2590" s="90"/>
      <c r="G2590" s="75"/>
      <c r="H2590" s="75"/>
      <c r="I2590" s="123"/>
    </row>
    <row r="2591" spans="3:9" x14ac:dyDescent="0.25">
      <c r="C2591" s="73"/>
      <c r="D2591" s="74"/>
      <c r="E2591" s="75"/>
      <c r="F2591" s="90"/>
      <c r="G2591" s="75"/>
      <c r="H2591" s="75"/>
      <c r="I2591" s="123"/>
    </row>
    <row r="2592" spans="3:9" x14ac:dyDescent="0.25">
      <c r="C2592" s="73"/>
      <c r="D2592" s="74"/>
      <c r="E2592" s="75"/>
      <c r="F2592" s="90"/>
      <c r="G2592" s="75"/>
      <c r="H2592" s="75"/>
      <c r="I2592" s="123"/>
    </row>
    <row r="2593" spans="3:9" x14ac:dyDescent="0.25">
      <c r="C2593" s="73"/>
      <c r="D2593" s="74"/>
      <c r="E2593" s="75"/>
      <c r="F2593" s="90"/>
      <c r="G2593" s="75"/>
      <c r="H2593" s="75"/>
      <c r="I2593" s="123"/>
    </row>
    <row r="2594" spans="3:9" x14ac:dyDescent="0.25">
      <c r="C2594" s="73"/>
      <c r="D2594" s="74"/>
      <c r="E2594" s="75"/>
      <c r="F2594" s="90"/>
      <c r="G2594" s="75"/>
      <c r="H2594" s="75"/>
      <c r="I2594" s="123"/>
    </row>
    <row r="2595" spans="3:9" x14ac:dyDescent="0.25">
      <c r="C2595" s="73"/>
      <c r="D2595" s="74"/>
      <c r="E2595" s="75"/>
      <c r="F2595" s="90"/>
      <c r="G2595" s="75"/>
      <c r="H2595" s="75"/>
      <c r="I2595" s="123"/>
    </row>
    <row r="2596" spans="3:9" x14ac:dyDescent="0.25">
      <c r="C2596" s="73"/>
      <c r="D2596" s="74"/>
      <c r="E2596" s="75"/>
      <c r="F2596" s="90"/>
      <c r="G2596" s="75"/>
      <c r="H2596" s="75"/>
      <c r="I2596" s="123"/>
    </row>
    <row r="2597" spans="3:9" x14ac:dyDescent="0.25">
      <c r="C2597" s="73"/>
      <c r="D2597" s="74"/>
      <c r="E2597" s="75"/>
      <c r="F2597" s="90"/>
      <c r="G2597" s="75"/>
      <c r="H2597" s="75"/>
      <c r="I2597" s="123"/>
    </row>
    <row r="2598" spans="3:9" x14ac:dyDescent="0.25">
      <c r="C2598" s="73"/>
      <c r="D2598" s="74"/>
      <c r="E2598" s="75"/>
      <c r="F2598" s="90"/>
      <c r="G2598" s="75"/>
      <c r="H2598" s="75"/>
      <c r="I2598" s="123"/>
    </row>
    <row r="2599" spans="3:9" x14ac:dyDescent="0.25">
      <c r="C2599" s="73"/>
      <c r="D2599" s="74"/>
      <c r="E2599" s="75"/>
      <c r="F2599" s="90"/>
      <c r="G2599" s="75"/>
      <c r="H2599" s="75"/>
      <c r="I2599" s="123"/>
    </row>
    <row r="2600" spans="3:9" x14ac:dyDescent="0.25">
      <c r="C2600" s="73"/>
      <c r="D2600" s="74"/>
      <c r="E2600" s="75"/>
      <c r="F2600" s="90"/>
      <c r="G2600" s="75"/>
      <c r="H2600" s="75"/>
      <c r="I2600" s="123"/>
    </row>
    <row r="2601" spans="3:9" x14ac:dyDescent="0.25">
      <c r="C2601" s="73"/>
      <c r="D2601" s="74"/>
      <c r="E2601" s="75"/>
      <c r="F2601" s="90"/>
      <c r="G2601" s="75"/>
      <c r="H2601" s="75"/>
      <c r="I2601" s="123"/>
    </row>
    <row r="2602" spans="3:9" x14ac:dyDescent="0.25">
      <c r="C2602" s="73"/>
      <c r="D2602" s="74"/>
      <c r="E2602" s="75"/>
      <c r="F2602" s="90"/>
      <c r="G2602" s="75"/>
      <c r="H2602" s="75"/>
      <c r="I2602" s="123"/>
    </row>
    <row r="2603" spans="3:9" x14ac:dyDescent="0.25">
      <c r="C2603" s="73"/>
      <c r="D2603" s="74"/>
      <c r="E2603" s="75"/>
      <c r="F2603" s="90"/>
      <c r="G2603" s="75"/>
      <c r="H2603" s="75"/>
      <c r="I2603" s="123"/>
    </row>
    <row r="2604" spans="3:9" x14ac:dyDescent="0.25">
      <c r="C2604" s="73"/>
      <c r="D2604" s="74"/>
      <c r="E2604" s="75"/>
      <c r="F2604" s="90"/>
      <c r="G2604" s="75"/>
      <c r="H2604" s="75"/>
      <c r="I2604" s="123"/>
    </row>
    <row r="2605" spans="3:9" x14ac:dyDescent="0.25">
      <c r="C2605" s="73"/>
      <c r="D2605" s="74"/>
      <c r="E2605" s="75"/>
      <c r="F2605" s="90"/>
      <c r="G2605" s="75"/>
      <c r="H2605" s="75"/>
      <c r="I2605" s="123"/>
    </row>
    <row r="2606" spans="3:9" x14ac:dyDescent="0.25">
      <c r="C2606" s="73"/>
      <c r="D2606" s="74"/>
      <c r="E2606" s="75"/>
      <c r="F2606" s="90"/>
      <c r="G2606" s="75"/>
      <c r="H2606" s="75"/>
      <c r="I2606" s="123"/>
    </row>
    <row r="2607" spans="3:9" x14ac:dyDescent="0.25">
      <c r="C2607" s="73"/>
      <c r="D2607" s="74"/>
      <c r="E2607" s="75"/>
      <c r="F2607" s="90"/>
      <c r="G2607" s="75"/>
      <c r="H2607" s="75"/>
      <c r="I2607" s="123"/>
    </row>
    <row r="2608" spans="3:9" x14ac:dyDescent="0.25">
      <c r="C2608" s="73"/>
      <c r="D2608" s="74"/>
      <c r="E2608" s="75"/>
      <c r="F2608" s="90"/>
      <c r="G2608" s="75"/>
      <c r="H2608" s="75"/>
      <c r="I2608" s="123"/>
    </row>
    <row r="2609" spans="3:9" x14ac:dyDescent="0.25">
      <c r="C2609" s="73"/>
      <c r="D2609" s="74"/>
      <c r="E2609" s="75"/>
      <c r="F2609" s="90"/>
      <c r="G2609" s="75"/>
      <c r="H2609" s="75"/>
      <c r="I2609" s="123"/>
    </row>
    <row r="2610" spans="3:9" x14ac:dyDescent="0.25">
      <c r="C2610" s="73"/>
      <c r="D2610" s="74"/>
      <c r="E2610" s="75"/>
      <c r="F2610" s="90"/>
      <c r="G2610" s="75"/>
      <c r="H2610" s="75"/>
      <c r="I2610" s="123"/>
    </row>
    <row r="2611" spans="3:9" x14ac:dyDescent="0.25">
      <c r="C2611" s="73"/>
      <c r="D2611" s="74"/>
      <c r="E2611" s="75"/>
      <c r="F2611" s="90"/>
      <c r="G2611" s="75"/>
      <c r="H2611" s="75"/>
      <c r="I2611" s="123"/>
    </row>
    <row r="2612" spans="3:9" x14ac:dyDescent="0.25">
      <c r="C2612" s="73"/>
      <c r="D2612" s="74"/>
      <c r="E2612" s="75"/>
      <c r="F2612" s="90"/>
      <c r="G2612" s="75"/>
      <c r="H2612" s="75"/>
      <c r="I2612" s="123"/>
    </row>
    <row r="2613" spans="3:9" x14ac:dyDescent="0.25">
      <c r="C2613" s="73"/>
      <c r="D2613" s="74"/>
      <c r="E2613" s="75"/>
      <c r="F2613" s="90"/>
      <c r="G2613" s="75"/>
      <c r="H2613" s="75"/>
      <c r="I2613" s="123"/>
    </row>
    <row r="2614" spans="3:9" x14ac:dyDescent="0.25">
      <c r="C2614" s="73"/>
      <c r="D2614" s="74"/>
      <c r="E2614" s="75"/>
      <c r="F2614" s="90"/>
      <c r="G2614" s="75"/>
      <c r="H2614" s="75"/>
      <c r="I2614" s="123"/>
    </row>
    <row r="2615" spans="3:9" x14ac:dyDescent="0.25">
      <c r="C2615" s="73"/>
      <c r="D2615" s="74"/>
      <c r="E2615" s="75"/>
      <c r="F2615" s="90"/>
      <c r="G2615" s="75"/>
      <c r="H2615" s="75"/>
      <c r="I2615" s="123"/>
    </row>
    <row r="2616" spans="3:9" x14ac:dyDescent="0.25">
      <c r="C2616" s="73"/>
      <c r="D2616" s="74"/>
      <c r="E2616" s="75"/>
      <c r="F2616" s="90"/>
      <c r="G2616" s="75"/>
      <c r="H2616" s="75"/>
      <c r="I2616" s="123"/>
    </row>
    <row r="2617" spans="3:9" x14ac:dyDescent="0.25">
      <c r="C2617" s="73"/>
      <c r="D2617" s="74"/>
      <c r="E2617" s="75"/>
      <c r="F2617" s="90"/>
      <c r="G2617" s="75"/>
      <c r="H2617" s="75"/>
      <c r="I2617" s="123"/>
    </row>
    <row r="2618" spans="3:9" x14ac:dyDescent="0.25">
      <c r="C2618" s="73"/>
      <c r="D2618" s="74"/>
      <c r="E2618" s="75"/>
      <c r="F2618" s="90"/>
      <c r="G2618" s="75"/>
      <c r="H2618" s="75"/>
      <c r="I2618" s="123"/>
    </row>
    <row r="2619" spans="3:9" x14ac:dyDescent="0.25">
      <c r="C2619" s="73"/>
      <c r="D2619" s="74"/>
      <c r="E2619" s="75"/>
      <c r="F2619" s="90"/>
      <c r="G2619" s="75"/>
      <c r="H2619" s="75"/>
      <c r="I2619" s="123"/>
    </row>
    <row r="2620" spans="3:9" x14ac:dyDescent="0.25">
      <c r="C2620" s="73"/>
      <c r="D2620" s="74"/>
      <c r="E2620" s="75"/>
      <c r="F2620" s="90"/>
      <c r="G2620" s="75"/>
      <c r="H2620" s="75"/>
      <c r="I2620" s="123"/>
    </row>
    <row r="2621" spans="3:9" x14ac:dyDescent="0.25">
      <c r="C2621" s="73"/>
      <c r="D2621" s="74"/>
      <c r="E2621" s="75"/>
      <c r="F2621" s="90"/>
      <c r="G2621" s="75"/>
      <c r="H2621" s="75"/>
      <c r="I2621" s="123"/>
    </row>
    <row r="2622" spans="3:9" x14ac:dyDescent="0.25">
      <c r="C2622" s="73"/>
      <c r="D2622" s="74"/>
      <c r="E2622" s="75"/>
      <c r="F2622" s="90"/>
      <c r="G2622" s="75"/>
      <c r="H2622" s="75"/>
      <c r="I2622" s="123"/>
    </row>
    <row r="2623" spans="3:9" x14ac:dyDescent="0.25">
      <c r="C2623" s="73"/>
      <c r="D2623" s="74"/>
      <c r="E2623" s="75"/>
      <c r="F2623" s="90"/>
      <c r="G2623" s="75"/>
      <c r="H2623" s="75"/>
      <c r="I2623" s="123"/>
    </row>
    <row r="2624" spans="3:9" x14ac:dyDescent="0.25">
      <c r="C2624" s="73"/>
      <c r="D2624" s="74"/>
      <c r="E2624" s="75"/>
      <c r="F2624" s="90"/>
      <c r="G2624" s="75"/>
      <c r="H2624" s="75"/>
      <c r="I2624" s="123"/>
    </row>
    <row r="2625" spans="3:9" x14ac:dyDescent="0.25">
      <c r="C2625" s="73"/>
      <c r="D2625" s="74"/>
      <c r="E2625" s="75"/>
      <c r="F2625" s="90"/>
      <c r="G2625" s="75"/>
      <c r="H2625" s="75"/>
      <c r="I2625" s="123"/>
    </row>
    <row r="2626" spans="3:9" x14ac:dyDescent="0.25">
      <c r="C2626" s="73"/>
      <c r="D2626" s="74"/>
      <c r="E2626" s="75"/>
      <c r="F2626" s="90"/>
      <c r="G2626" s="75"/>
      <c r="H2626" s="75"/>
      <c r="I2626" s="123"/>
    </row>
    <row r="2627" spans="3:9" x14ac:dyDescent="0.25">
      <c r="C2627" s="73"/>
      <c r="D2627" s="74"/>
      <c r="E2627" s="75"/>
      <c r="F2627" s="90"/>
      <c r="G2627" s="75"/>
      <c r="H2627" s="75"/>
      <c r="I2627" s="123"/>
    </row>
    <row r="2628" spans="3:9" x14ac:dyDescent="0.25">
      <c r="C2628" s="52"/>
      <c r="D2628" s="50"/>
      <c r="E2628" s="51"/>
      <c r="F2628" s="81"/>
      <c r="G2628" s="51"/>
      <c r="H2628" s="51"/>
      <c r="I2628" s="123"/>
    </row>
    <row r="2629" spans="3:9" x14ac:dyDescent="0.25">
      <c r="C2629" s="14"/>
      <c r="D2629" s="50"/>
      <c r="E2629" s="15"/>
      <c r="F2629" s="81"/>
      <c r="G2629" s="15"/>
      <c r="H2629" s="15"/>
      <c r="I2629" s="123"/>
    </row>
    <row r="2630" spans="3:9" x14ac:dyDescent="0.25">
      <c r="C2630" s="16"/>
      <c r="D2630" s="76"/>
      <c r="E2630" s="77"/>
      <c r="F2630" s="91"/>
      <c r="G2630" s="77"/>
      <c r="H2630" s="77"/>
      <c r="I2630" s="123"/>
    </row>
    <row r="2631" spans="3:9" x14ac:dyDescent="0.25">
      <c r="C2631" s="18"/>
      <c r="D2631" s="19"/>
      <c r="E2631" s="44"/>
      <c r="F2631" s="80"/>
      <c r="G2631" s="44"/>
      <c r="H2631" s="44"/>
      <c r="I2631" s="123"/>
    </row>
    <row r="2632" spans="3:9" x14ac:dyDescent="0.25">
      <c r="F2632" s="79"/>
      <c r="I2632" s="123"/>
    </row>
    <row r="2633" spans="3:9" x14ac:dyDescent="0.25">
      <c r="F2633" s="79"/>
      <c r="I2633" s="123"/>
    </row>
    <row r="2634" spans="3:9" x14ac:dyDescent="0.25">
      <c r="F2634" s="79"/>
      <c r="I2634" s="123"/>
    </row>
    <row r="2635" spans="3:9" x14ac:dyDescent="0.25">
      <c r="F2635" s="79"/>
      <c r="I2635" s="123"/>
    </row>
    <row r="2636" spans="3:9" x14ac:dyDescent="0.25">
      <c r="F2636" s="79"/>
      <c r="I2636" s="123"/>
    </row>
    <row r="2637" spans="3:9" x14ac:dyDescent="0.25">
      <c r="F2637" s="79"/>
      <c r="I2637" s="123"/>
    </row>
    <row r="2638" spans="3:9" x14ac:dyDescent="0.25">
      <c r="F2638" s="79"/>
      <c r="I2638" s="123"/>
    </row>
    <row r="2639" spans="3:9" x14ac:dyDescent="0.25">
      <c r="F2639" s="79"/>
      <c r="I2639" s="123"/>
    </row>
    <row r="2640" spans="3:9" x14ac:dyDescent="0.25">
      <c r="F2640" s="79"/>
      <c r="I2640" s="123"/>
    </row>
    <row r="2641" spans="6:9" x14ac:dyDescent="0.25">
      <c r="F2641" s="79"/>
      <c r="I2641" s="123"/>
    </row>
    <row r="2642" spans="6:9" x14ac:dyDescent="0.25">
      <c r="F2642" s="79"/>
      <c r="I2642" s="123"/>
    </row>
    <row r="2643" spans="6:9" x14ac:dyDescent="0.25">
      <c r="F2643" s="79"/>
      <c r="I2643" s="123"/>
    </row>
    <row r="2644" spans="6:9" x14ac:dyDescent="0.25">
      <c r="F2644" s="79"/>
      <c r="I2644" s="123"/>
    </row>
    <row r="2645" spans="6:9" x14ac:dyDescent="0.25">
      <c r="F2645" s="79"/>
      <c r="I2645" s="123"/>
    </row>
    <row r="2646" spans="6:9" x14ac:dyDescent="0.25">
      <c r="F2646" s="79"/>
      <c r="I2646" s="123"/>
    </row>
    <row r="2647" spans="6:9" x14ac:dyDescent="0.25">
      <c r="F2647" s="79"/>
      <c r="I2647" s="123"/>
    </row>
    <row r="2648" spans="6:9" x14ac:dyDescent="0.25">
      <c r="F2648" s="79"/>
      <c r="I2648" s="123"/>
    </row>
    <row r="2649" spans="6:9" x14ac:dyDescent="0.25">
      <c r="F2649" s="79"/>
      <c r="I2649" s="123"/>
    </row>
    <row r="2650" spans="6:9" x14ac:dyDescent="0.25">
      <c r="F2650" s="79"/>
      <c r="I2650" s="123"/>
    </row>
    <row r="2651" spans="6:9" x14ac:dyDescent="0.25">
      <c r="F2651" s="79"/>
      <c r="I2651" s="123"/>
    </row>
    <row r="2652" spans="6:9" x14ac:dyDescent="0.25">
      <c r="F2652" s="79"/>
      <c r="I2652" s="123"/>
    </row>
    <row r="2653" spans="6:9" x14ac:dyDescent="0.25">
      <c r="F2653" s="79"/>
      <c r="I2653" s="123"/>
    </row>
    <row r="2654" spans="6:9" x14ac:dyDescent="0.25">
      <c r="F2654" s="79"/>
      <c r="I2654" s="123"/>
    </row>
    <row r="2655" spans="6:9" x14ac:dyDescent="0.25">
      <c r="F2655" s="79"/>
      <c r="I2655" s="123"/>
    </row>
    <row r="2656" spans="6:9" x14ac:dyDescent="0.25">
      <c r="F2656" s="79"/>
      <c r="I2656" s="123"/>
    </row>
    <row r="2657" spans="6:9" x14ac:dyDescent="0.25">
      <c r="F2657" s="79"/>
      <c r="I2657" s="123"/>
    </row>
    <row r="2658" spans="6:9" x14ac:dyDescent="0.25">
      <c r="F2658" s="79"/>
      <c r="I2658" s="123"/>
    </row>
    <row r="2659" spans="6:9" x14ac:dyDescent="0.25">
      <c r="F2659" s="79"/>
      <c r="I2659" s="123"/>
    </row>
    <row r="2660" spans="6:9" x14ac:dyDescent="0.25">
      <c r="F2660" s="79"/>
      <c r="I2660" s="123"/>
    </row>
    <row r="2661" spans="6:9" x14ac:dyDescent="0.25">
      <c r="F2661" s="79"/>
      <c r="I2661" s="123"/>
    </row>
    <row r="2662" spans="6:9" x14ac:dyDescent="0.25">
      <c r="F2662" s="79"/>
      <c r="I2662" s="123"/>
    </row>
    <row r="2663" spans="6:9" x14ac:dyDescent="0.25">
      <c r="F2663" s="79"/>
      <c r="I2663" s="123"/>
    </row>
    <row r="2664" spans="6:9" x14ac:dyDescent="0.25">
      <c r="F2664" s="79"/>
      <c r="I2664" s="123"/>
    </row>
    <row r="2665" spans="6:9" x14ac:dyDescent="0.25">
      <c r="F2665" s="79"/>
      <c r="I2665" s="123"/>
    </row>
    <row r="2666" spans="6:9" x14ac:dyDescent="0.25">
      <c r="F2666" s="79"/>
      <c r="I2666" s="123"/>
    </row>
    <row r="2667" spans="6:9" x14ac:dyDescent="0.25">
      <c r="F2667" s="79"/>
      <c r="I2667" s="123"/>
    </row>
    <row r="2668" spans="6:9" x14ac:dyDescent="0.25">
      <c r="F2668" s="79"/>
      <c r="I2668" s="123"/>
    </row>
    <row r="2669" spans="6:9" x14ac:dyDescent="0.25">
      <c r="F2669" s="79"/>
      <c r="I2669" s="123"/>
    </row>
    <row r="2670" spans="6:9" x14ac:dyDescent="0.25">
      <c r="F2670" s="79"/>
      <c r="I2670" s="123"/>
    </row>
    <row r="2671" spans="6:9" x14ac:dyDescent="0.25">
      <c r="F2671" s="79"/>
      <c r="I2671" s="123"/>
    </row>
    <row r="2672" spans="6:9" x14ac:dyDescent="0.25">
      <c r="F2672" s="79"/>
      <c r="I2672" s="123"/>
    </row>
    <row r="2673" spans="3:9" x14ac:dyDescent="0.25">
      <c r="F2673" s="79"/>
      <c r="I2673" s="123"/>
    </row>
    <row r="2674" spans="3:9" x14ac:dyDescent="0.25">
      <c r="F2674" s="79"/>
      <c r="I2674" s="123"/>
    </row>
    <row r="2675" spans="3:9" x14ac:dyDescent="0.25">
      <c r="F2675" s="79"/>
      <c r="I2675" s="123"/>
    </row>
    <row r="2676" spans="3:9" x14ac:dyDescent="0.25">
      <c r="F2676" s="79"/>
      <c r="I2676" s="123"/>
    </row>
    <row r="2677" spans="3:9" x14ac:dyDescent="0.25">
      <c r="F2677" s="79"/>
      <c r="I2677" s="123"/>
    </row>
    <row r="2678" spans="3:9" x14ac:dyDescent="0.25">
      <c r="F2678" s="79"/>
      <c r="I2678" s="123"/>
    </row>
    <row r="2679" spans="3:9" x14ac:dyDescent="0.25">
      <c r="F2679" s="79"/>
      <c r="I2679" s="123"/>
    </row>
    <row r="2680" spans="3:9" x14ac:dyDescent="0.25">
      <c r="C2680" s="123"/>
      <c r="E2680" s="123"/>
      <c r="F2680" s="79"/>
      <c r="G2680" s="123"/>
      <c r="H2680" s="123"/>
      <c r="I2680" s="123"/>
    </row>
    <row r="2681" spans="3:9" x14ac:dyDescent="0.25">
      <c r="F2681" s="79"/>
      <c r="I2681" s="123"/>
    </row>
    <row r="2682" spans="3:9" x14ac:dyDescent="0.25">
      <c r="F2682" s="79"/>
      <c r="I2682" s="123"/>
    </row>
    <row r="2683" spans="3:9" x14ac:dyDescent="0.25">
      <c r="F2683" s="79"/>
      <c r="I2683" s="123"/>
    </row>
    <row r="2684" spans="3:9" x14ac:dyDescent="0.25">
      <c r="F2684" s="79"/>
      <c r="I2684" s="123"/>
    </row>
    <row r="2685" spans="3:9" x14ac:dyDescent="0.25">
      <c r="F2685" s="79"/>
      <c r="I2685" s="123"/>
    </row>
    <row r="2686" spans="3:9" x14ac:dyDescent="0.25">
      <c r="F2686" s="79"/>
      <c r="I2686" s="123"/>
    </row>
    <row r="2687" spans="3:9" x14ac:dyDescent="0.25">
      <c r="F2687" s="79"/>
      <c r="I2687" s="123"/>
    </row>
    <row r="2688" spans="3:9" x14ac:dyDescent="0.25">
      <c r="F2688" s="79"/>
      <c r="I2688" s="123"/>
    </row>
    <row r="2689" spans="6:9" x14ac:dyDescent="0.25">
      <c r="F2689" s="79"/>
      <c r="I2689" s="123"/>
    </row>
    <row r="2690" spans="6:9" x14ac:dyDescent="0.25">
      <c r="F2690" s="79"/>
      <c r="I2690" s="123"/>
    </row>
    <row r="2691" spans="6:9" x14ac:dyDescent="0.25">
      <c r="F2691" s="79"/>
      <c r="I2691" s="123"/>
    </row>
    <row r="2692" spans="6:9" x14ac:dyDescent="0.25">
      <c r="F2692" s="79"/>
      <c r="I2692" s="123"/>
    </row>
    <row r="2693" spans="6:9" x14ac:dyDescent="0.25">
      <c r="F2693" s="79"/>
      <c r="I2693" s="123"/>
    </row>
    <row r="2694" spans="6:9" x14ac:dyDescent="0.25">
      <c r="F2694" s="79"/>
      <c r="I2694" s="123"/>
    </row>
    <row r="2695" spans="6:9" x14ac:dyDescent="0.25">
      <c r="F2695" s="79"/>
      <c r="I2695" s="123"/>
    </row>
    <row r="2696" spans="6:9" x14ac:dyDescent="0.25">
      <c r="F2696" s="79"/>
      <c r="I2696" s="123"/>
    </row>
    <row r="2697" spans="6:9" x14ac:dyDescent="0.25">
      <c r="F2697" s="79"/>
      <c r="I2697" s="123"/>
    </row>
    <row r="2698" spans="6:9" x14ac:dyDescent="0.25">
      <c r="F2698" s="79"/>
      <c r="I2698" s="123"/>
    </row>
    <row r="2699" spans="6:9" x14ac:dyDescent="0.25">
      <c r="F2699" s="79"/>
      <c r="I2699" s="123"/>
    </row>
    <row r="2700" spans="6:9" x14ac:dyDescent="0.25">
      <c r="F2700" s="79"/>
      <c r="I2700" s="123"/>
    </row>
    <row r="2701" spans="6:9" x14ac:dyDescent="0.25">
      <c r="F2701" s="79"/>
      <c r="I2701" s="123"/>
    </row>
    <row r="2702" spans="6:9" x14ac:dyDescent="0.25">
      <c r="F2702" s="79"/>
      <c r="I2702" s="123"/>
    </row>
    <row r="2703" spans="6:9" x14ac:dyDescent="0.25">
      <c r="F2703" s="79"/>
      <c r="I2703" s="123"/>
    </row>
    <row r="2704" spans="6:9" x14ac:dyDescent="0.25">
      <c r="F2704" s="79"/>
      <c r="I2704" s="123"/>
    </row>
    <row r="2705" spans="3:9" x14ac:dyDescent="0.25">
      <c r="F2705" s="79"/>
      <c r="I2705" s="123"/>
    </row>
    <row r="2706" spans="3:9" x14ac:dyDescent="0.25">
      <c r="F2706" s="79"/>
      <c r="I2706" s="123"/>
    </row>
    <row r="2707" spans="3:9" x14ac:dyDescent="0.25">
      <c r="F2707" s="79"/>
      <c r="I2707" s="123"/>
    </row>
    <row r="2708" spans="3:9" x14ac:dyDescent="0.25">
      <c r="F2708" s="79"/>
      <c r="I2708" s="123"/>
    </row>
    <row r="2709" spans="3:9" x14ac:dyDescent="0.25">
      <c r="C2709" s="123"/>
      <c r="E2709" s="123"/>
      <c r="F2709" s="79"/>
      <c r="G2709" s="123"/>
      <c r="H2709" s="123"/>
      <c r="I2709" s="123"/>
    </row>
    <row r="2710" spans="3:9" x14ac:dyDescent="0.25">
      <c r="F2710" s="79"/>
      <c r="I2710" s="123"/>
    </row>
    <row r="2711" spans="3:9" x14ac:dyDescent="0.25">
      <c r="C2711" s="112"/>
      <c r="D2711" s="113"/>
      <c r="E2711" s="114"/>
      <c r="F2711" s="117"/>
      <c r="G2711" s="122"/>
      <c r="H2711" s="122"/>
      <c r="I2711" s="123"/>
    </row>
    <row r="2712" spans="3:9" x14ac:dyDescent="0.25">
      <c r="C2712" s="112"/>
      <c r="D2712" s="113"/>
      <c r="E2712" s="114"/>
      <c r="F2712" s="117"/>
      <c r="G2712" s="122"/>
      <c r="H2712" s="122"/>
      <c r="I2712" s="123"/>
    </row>
    <row r="2713" spans="3:9" x14ac:dyDescent="0.25">
      <c r="C2713" s="112"/>
      <c r="D2713" s="113"/>
      <c r="E2713" s="114"/>
      <c r="F2713" s="117"/>
      <c r="G2713" s="122"/>
      <c r="H2713" s="122"/>
      <c r="I2713" s="123"/>
    </row>
    <row r="2714" spans="3:9" x14ac:dyDescent="0.25">
      <c r="C2714" s="124"/>
      <c r="D2714" s="113"/>
      <c r="E2714" s="114"/>
      <c r="F2714" s="117"/>
      <c r="G2714" s="122"/>
      <c r="H2714" s="122"/>
      <c r="I2714" s="123"/>
    </row>
    <row r="2715" spans="3:9" x14ac:dyDescent="0.25">
      <c r="C2715" s="124"/>
      <c r="D2715" s="113"/>
      <c r="E2715" s="114"/>
      <c r="F2715" s="117"/>
      <c r="G2715" s="122"/>
      <c r="H2715" s="122"/>
      <c r="I2715" s="123"/>
    </row>
    <row r="2716" spans="3:9" x14ac:dyDescent="0.25">
      <c r="C2716" s="112"/>
      <c r="D2716" s="113"/>
      <c r="E2716" s="115"/>
      <c r="F2716" s="117"/>
      <c r="G2716" s="122"/>
      <c r="H2716" s="122"/>
      <c r="I2716" s="123"/>
    </row>
    <row r="2717" spans="3:9" x14ac:dyDescent="0.25">
      <c r="C2717" s="112"/>
      <c r="D2717" s="113"/>
      <c r="E2717" s="114"/>
      <c r="F2717" s="117"/>
      <c r="G2717" s="122"/>
      <c r="H2717" s="122"/>
      <c r="I2717" s="123"/>
    </row>
    <row r="2718" spans="3:9" x14ac:dyDescent="0.25">
      <c r="C2718" s="112"/>
      <c r="D2718" s="113"/>
      <c r="E2718" s="114"/>
      <c r="F2718" s="117"/>
      <c r="G2718" s="122"/>
      <c r="H2718" s="122"/>
      <c r="I2718" s="123"/>
    </row>
    <row r="2719" spans="3:9" x14ac:dyDescent="0.25">
      <c r="C2719" s="112"/>
      <c r="D2719" s="113"/>
      <c r="E2719" s="114"/>
      <c r="F2719" s="117"/>
      <c r="G2719" s="122"/>
      <c r="H2719" s="122"/>
      <c r="I2719" s="123"/>
    </row>
    <row r="2720" spans="3:9" x14ac:dyDescent="0.25">
      <c r="C2720" s="112"/>
      <c r="D2720" s="113"/>
      <c r="E2720" s="114"/>
      <c r="F2720" s="117"/>
      <c r="G2720" s="122"/>
      <c r="H2720" s="122"/>
      <c r="I2720" s="123"/>
    </row>
    <row r="2721" spans="3:9" x14ac:dyDescent="0.25">
      <c r="C2721" s="112"/>
      <c r="D2721" s="113"/>
      <c r="E2721" s="114"/>
      <c r="F2721" s="117"/>
      <c r="G2721" s="122"/>
      <c r="H2721" s="122"/>
      <c r="I2721" s="123"/>
    </row>
    <row r="2722" spans="3:9" x14ac:dyDescent="0.25">
      <c r="C2722" s="112"/>
      <c r="D2722" s="113"/>
      <c r="E2722" s="114"/>
      <c r="F2722" s="117"/>
      <c r="G2722" s="122"/>
      <c r="H2722" s="122"/>
      <c r="I2722" s="123"/>
    </row>
    <row r="2723" spans="3:9" x14ac:dyDescent="0.25">
      <c r="C2723" s="112"/>
      <c r="D2723" s="113"/>
      <c r="E2723" s="114"/>
      <c r="F2723" s="117"/>
      <c r="G2723" s="122"/>
      <c r="H2723" s="122"/>
      <c r="I2723" s="123"/>
    </row>
    <row r="2724" spans="3:9" x14ac:dyDescent="0.25">
      <c r="C2724" s="112"/>
      <c r="D2724" s="113"/>
      <c r="E2724" s="114"/>
      <c r="F2724" s="117"/>
      <c r="G2724" s="122"/>
      <c r="H2724" s="122"/>
      <c r="I2724" s="123"/>
    </row>
    <row r="2725" spans="3:9" x14ac:dyDescent="0.25">
      <c r="C2725" s="112"/>
      <c r="D2725" s="113"/>
      <c r="E2725" s="114"/>
      <c r="F2725" s="117"/>
      <c r="G2725" s="122"/>
      <c r="H2725" s="122"/>
      <c r="I2725" s="123"/>
    </row>
    <row r="2726" spans="3:9" x14ac:dyDescent="0.25">
      <c r="C2726" s="112"/>
      <c r="D2726" s="113"/>
      <c r="E2726" s="114"/>
      <c r="F2726" s="117"/>
      <c r="G2726" s="122"/>
      <c r="H2726" s="122"/>
      <c r="I2726" s="123"/>
    </row>
    <row r="2727" spans="3:9" x14ac:dyDescent="0.25">
      <c r="C2727" s="112"/>
      <c r="D2727" s="113"/>
      <c r="E2727" s="114"/>
      <c r="F2727" s="117"/>
      <c r="G2727" s="122"/>
      <c r="H2727" s="122"/>
      <c r="I2727" s="123"/>
    </row>
    <row r="2728" spans="3:9" x14ac:dyDescent="0.25">
      <c r="C2728" s="112"/>
      <c r="D2728" s="113"/>
      <c r="E2728" s="114"/>
      <c r="F2728" s="117"/>
      <c r="G2728" s="122"/>
      <c r="H2728" s="122"/>
      <c r="I2728" s="123"/>
    </row>
    <row r="2729" spans="3:9" x14ac:dyDescent="0.25">
      <c r="C2729" s="112"/>
      <c r="D2729" s="113"/>
      <c r="E2729" s="114"/>
      <c r="F2729" s="117"/>
      <c r="G2729" s="122"/>
      <c r="H2729" s="122"/>
      <c r="I2729" s="123"/>
    </row>
    <row r="2730" spans="3:9" x14ac:dyDescent="0.25">
      <c r="C2730" s="112"/>
      <c r="D2730" s="113"/>
      <c r="E2730" s="114"/>
      <c r="F2730" s="117"/>
      <c r="G2730" s="122"/>
      <c r="H2730" s="122"/>
      <c r="I2730" s="123"/>
    </row>
    <row r="2731" spans="3:9" x14ac:dyDescent="0.25">
      <c r="C2731" s="112"/>
      <c r="D2731" s="113"/>
      <c r="E2731" s="114"/>
      <c r="F2731" s="117"/>
      <c r="G2731" s="122"/>
      <c r="H2731" s="122"/>
      <c r="I2731" s="123"/>
    </row>
    <row r="2732" spans="3:9" x14ac:dyDescent="0.25">
      <c r="C2732" s="112"/>
      <c r="D2732" s="113"/>
      <c r="E2732" s="114"/>
      <c r="F2732" s="117"/>
      <c r="G2732" s="122"/>
      <c r="H2732" s="122"/>
      <c r="I2732" s="123"/>
    </row>
    <row r="2733" spans="3:9" x14ac:dyDescent="0.25">
      <c r="C2733" s="112"/>
      <c r="D2733" s="113"/>
      <c r="E2733" s="114"/>
      <c r="F2733" s="117"/>
      <c r="G2733" s="122"/>
      <c r="H2733" s="122"/>
      <c r="I2733" s="123"/>
    </row>
    <row r="2734" spans="3:9" x14ac:dyDescent="0.25">
      <c r="C2734" s="112"/>
      <c r="D2734" s="113"/>
      <c r="E2734" s="115"/>
      <c r="F2734" s="117"/>
      <c r="G2734" s="122"/>
      <c r="H2734" s="122"/>
      <c r="I2734" s="123"/>
    </row>
    <row r="2735" spans="3:9" x14ac:dyDescent="0.25">
      <c r="C2735" s="112"/>
      <c r="D2735" s="113"/>
      <c r="E2735" s="114"/>
      <c r="F2735" s="117"/>
      <c r="G2735" s="122"/>
      <c r="H2735" s="122"/>
      <c r="I2735" s="123"/>
    </row>
    <row r="2736" spans="3:9" x14ac:dyDescent="0.25">
      <c r="C2736" s="112"/>
      <c r="D2736" s="113"/>
      <c r="E2736" s="114"/>
      <c r="F2736" s="117"/>
      <c r="G2736" s="122"/>
      <c r="H2736" s="122"/>
      <c r="I2736" s="123"/>
    </row>
    <row r="2737" spans="3:9" x14ac:dyDescent="0.25">
      <c r="C2737" s="112"/>
      <c r="D2737" s="113"/>
      <c r="E2737" s="114"/>
      <c r="F2737" s="117"/>
      <c r="G2737" s="122"/>
      <c r="H2737" s="122"/>
      <c r="I2737" s="123"/>
    </row>
    <row r="2738" spans="3:9" x14ac:dyDescent="0.25">
      <c r="C2738" s="112"/>
      <c r="D2738" s="113"/>
      <c r="E2738" s="114"/>
      <c r="F2738" s="117"/>
      <c r="G2738" s="122"/>
      <c r="H2738" s="122"/>
      <c r="I2738" s="123"/>
    </row>
    <row r="2739" spans="3:9" x14ac:dyDescent="0.25">
      <c r="C2739" s="112"/>
      <c r="D2739" s="113"/>
      <c r="E2739" s="114"/>
      <c r="F2739" s="117"/>
      <c r="G2739" s="122"/>
      <c r="H2739" s="122"/>
      <c r="I2739" s="123"/>
    </row>
    <row r="2740" spans="3:9" x14ac:dyDescent="0.25">
      <c r="C2740" s="124"/>
      <c r="D2740" s="113"/>
      <c r="E2740" s="114"/>
      <c r="F2740" s="117"/>
      <c r="G2740" s="122"/>
      <c r="H2740" s="122"/>
      <c r="I2740" s="123"/>
    </row>
    <row r="2741" spans="3:9" x14ac:dyDescent="0.25">
      <c r="C2741" s="112"/>
      <c r="D2741" s="113"/>
      <c r="E2741" s="114"/>
      <c r="F2741" s="117"/>
      <c r="G2741" s="122"/>
      <c r="H2741" s="140"/>
      <c r="I2741" s="123"/>
    </row>
    <row r="2742" spans="3:9" x14ac:dyDescent="0.25">
      <c r="C2742" s="112"/>
      <c r="D2742" s="113"/>
      <c r="E2742" s="114"/>
      <c r="F2742" s="117"/>
      <c r="G2742" s="122"/>
      <c r="I2742" s="123"/>
    </row>
    <row r="2743" spans="3:9" x14ac:dyDescent="0.25">
      <c r="C2743" s="112"/>
      <c r="D2743" s="113"/>
      <c r="E2743" s="114"/>
      <c r="F2743" s="117"/>
      <c r="G2743" s="122"/>
      <c r="I2743" s="123"/>
    </row>
    <row r="2744" spans="3:9" x14ac:dyDescent="0.25">
      <c r="C2744" s="112"/>
      <c r="D2744" s="113"/>
      <c r="E2744" s="114"/>
      <c r="F2744" s="117"/>
      <c r="G2744" s="122"/>
      <c r="I2744" s="123"/>
    </row>
    <row r="2745" spans="3:9" x14ac:dyDescent="0.25">
      <c r="C2745" s="112"/>
      <c r="D2745" s="113"/>
      <c r="E2745" s="114"/>
      <c r="F2745" s="117"/>
      <c r="G2745" s="122"/>
      <c r="I2745" s="123"/>
    </row>
    <row r="2746" spans="3:9" x14ac:dyDescent="0.25">
      <c r="C2746" s="112"/>
      <c r="D2746" s="113"/>
      <c r="E2746" s="114"/>
      <c r="F2746" s="117"/>
      <c r="G2746" s="122"/>
      <c r="I2746" s="123"/>
    </row>
    <row r="2747" spans="3:9" x14ac:dyDescent="0.25">
      <c r="C2747" s="112"/>
      <c r="D2747" s="113"/>
      <c r="E2747" s="114"/>
      <c r="F2747" s="117"/>
      <c r="G2747" s="122"/>
      <c r="I2747" s="123"/>
    </row>
    <row r="2748" spans="3:9" x14ac:dyDescent="0.25">
      <c r="C2748" s="112"/>
      <c r="D2748" s="113"/>
      <c r="E2748" s="114"/>
      <c r="F2748" s="117"/>
      <c r="G2748" s="122"/>
      <c r="I2748" s="123"/>
    </row>
    <row r="2749" spans="3:9" x14ac:dyDescent="0.25">
      <c r="C2749" s="112"/>
      <c r="D2749" s="113"/>
      <c r="E2749" s="114"/>
      <c r="F2749" s="117"/>
      <c r="G2749" s="122"/>
      <c r="I2749" s="123"/>
    </row>
    <row r="2750" spans="3:9" x14ac:dyDescent="0.25">
      <c r="C2750" s="112"/>
      <c r="D2750" s="113"/>
      <c r="E2750" s="114"/>
      <c r="F2750" s="117"/>
      <c r="G2750" s="122"/>
      <c r="I2750" s="123"/>
    </row>
    <row r="2751" spans="3:9" x14ac:dyDescent="0.25">
      <c r="C2751" s="112"/>
      <c r="D2751" s="113"/>
      <c r="E2751" s="114"/>
      <c r="F2751" s="117"/>
      <c r="G2751" s="122"/>
      <c r="I2751" s="123"/>
    </row>
    <row r="2752" spans="3:9" x14ac:dyDescent="0.25">
      <c r="C2752" s="112"/>
      <c r="D2752" s="113"/>
      <c r="E2752" s="114"/>
      <c r="F2752" s="117"/>
      <c r="G2752" s="122"/>
      <c r="I2752" s="123"/>
    </row>
    <row r="2753" spans="3:9" x14ac:dyDescent="0.25">
      <c r="C2753" s="112"/>
      <c r="D2753" s="113"/>
      <c r="E2753" s="114"/>
      <c r="F2753" s="117"/>
      <c r="G2753" s="122"/>
      <c r="I2753" s="123"/>
    </row>
    <row r="2754" spans="3:9" x14ac:dyDescent="0.25">
      <c r="C2754" s="112"/>
      <c r="D2754" s="113"/>
      <c r="E2754" s="114"/>
      <c r="F2754" s="117"/>
      <c r="G2754" s="122"/>
      <c r="I2754" s="123"/>
    </row>
    <row r="2755" spans="3:9" x14ac:dyDescent="0.25">
      <c r="C2755" s="112"/>
      <c r="D2755" s="113"/>
      <c r="E2755" s="114"/>
      <c r="F2755" s="117"/>
      <c r="G2755" s="122"/>
      <c r="I2755" s="123"/>
    </row>
    <row r="2756" spans="3:9" x14ac:dyDescent="0.25">
      <c r="C2756" s="112"/>
      <c r="D2756" s="113"/>
      <c r="E2756" s="114"/>
      <c r="F2756" s="117"/>
      <c r="G2756" s="122"/>
      <c r="I2756" s="123"/>
    </row>
    <row r="2757" spans="3:9" x14ac:dyDescent="0.25">
      <c r="C2757" s="112"/>
      <c r="D2757" s="113"/>
      <c r="E2757" s="114"/>
      <c r="F2757" s="117"/>
      <c r="G2757" s="122"/>
      <c r="I2757" s="123"/>
    </row>
    <row r="2758" spans="3:9" x14ac:dyDescent="0.25">
      <c r="C2758" s="112"/>
      <c r="D2758" s="116"/>
      <c r="E2758" s="114"/>
      <c r="F2758" s="117"/>
      <c r="G2758" s="122"/>
      <c r="I2758" s="123"/>
    </row>
    <row r="2759" spans="3:9" x14ac:dyDescent="0.25">
      <c r="C2759" s="112"/>
      <c r="D2759" s="116"/>
      <c r="E2759" s="114"/>
      <c r="F2759" s="117"/>
      <c r="G2759" s="122"/>
      <c r="I2759" s="123"/>
    </row>
    <row r="2760" spans="3:9" x14ac:dyDescent="0.25">
      <c r="C2760" s="112"/>
      <c r="D2760" s="116"/>
      <c r="E2760" s="114"/>
      <c r="F2760" s="117"/>
      <c r="G2760" s="122"/>
      <c r="I2760" s="123"/>
    </row>
    <row r="2761" spans="3:9" x14ac:dyDescent="0.25">
      <c r="F2761" s="79"/>
      <c r="I2761" s="123"/>
    </row>
    <row r="2762" spans="3:9" x14ac:dyDescent="0.25">
      <c r="F2762" s="79"/>
      <c r="I2762" s="123"/>
    </row>
    <row r="2763" spans="3:9" x14ac:dyDescent="0.25">
      <c r="F2763" s="79"/>
      <c r="I2763" s="123"/>
    </row>
    <row r="2764" spans="3:9" x14ac:dyDescent="0.25">
      <c r="F2764" s="79"/>
      <c r="I2764" s="123"/>
    </row>
    <row r="2765" spans="3:9" x14ac:dyDescent="0.25">
      <c r="F2765" s="122"/>
      <c r="G2765" s="122"/>
      <c r="I2765" s="123"/>
    </row>
    <row r="2766" spans="3:9" x14ac:dyDescent="0.25">
      <c r="F2766" s="122"/>
      <c r="G2766" s="122"/>
      <c r="I2766" s="123"/>
    </row>
    <row r="2767" spans="3:9" x14ac:dyDescent="0.25">
      <c r="F2767" s="122"/>
      <c r="G2767" s="122"/>
      <c r="I2767" s="123"/>
    </row>
    <row r="2768" spans="3:9" x14ac:dyDescent="0.25">
      <c r="F2768" s="122"/>
      <c r="G2768" s="122"/>
      <c r="I2768" s="123"/>
    </row>
    <row r="2769" spans="6:9" x14ac:dyDescent="0.25">
      <c r="F2769" s="122"/>
      <c r="G2769" s="122"/>
      <c r="I2769" s="123"/>
    </row>
    <row r="2770" spans="6:9" x14ac:dyDescent="0.25">
      <c r="F2770" s="122"/>
      <c r="G2770" s="122"/>
      <c r="I2770" s="123"/>
    </row>
    <row r="2771" spans="6:9" x14ac:dyDescent="0.25">
      <c r="F2771" s="122"/>
      <c r="G2771" s="122"/>
      <c r="I2771" s="123"/>
    </row>
    <row r="2772" spans="6:9" x14ac:dyDescent="0.25">
      <c r="F2772" s="122"/>
      <c r="G2772" s="122"/>
      <c r="I2772" s="123"/>
    </row>
    <row r="2773" spans="6:9" x14ac:dyDescent="0.25">
      <c r="F2773" s="122"/>
      <c r="G2773" s="122"/>
      <c r="I2773" s="123"/>
    </row>
    <row r="2774" spans="6:9" x14ac:dyDescent="0.25">
      <c r="F2774" s="122"/>
      <c r="G2774" s="122"/>
      <c r="I2774" s="123"/>
    </row>
    <row r="2775" spans="6:9" x14ac:dyDescent="0.25">
      <c r="F2775" s="122"/>
      <c r="G2775" s="122"/>
      <c r="I2775" s="123"/>
    </row>
    <row r="2776" spans="6:9" x14ac:dyDescent="0.25">
      <c r="F2776" s="122"/>
      <c r="G2776" s="122"/>
      <c r="I2776" s="123"/>
    </row>
    <row r="2777" spans="6:9" x14ac:dyDescent="0.25">
      <c r="F2777" s="122"/>
      <c r="G2777" s="122"/>
      <c r="I2777" s="123"/>
    </row>
    <row r="2778" spans="6:9" x14ac:dyDescent="0.25">
      <c r="F2778" s="122"/>
      <c r="G2778" s="122"/>
      <c r="I2778" s="123"/>
    </row>
    <row r="2779" spans="6:9" x14ac:dyDescent="0.25">
      <c r="F2779" s="122"/>
      <c r="G2779" s="122"/>
      <c r="I2779" s="123"/>
    </row>
    <row r="2780" spans="6:9" x14ac:dyDescent="0.25">
      <c r="F2780" s="122"/>
      <c r="G2780" s="122"/>
      <c r="I2780" s="123"/>
    </row>
    <row r="2781" spans="6:9" x14ac:dyDescent="0.25">
      <c r="F2781" s="122"/>
      <c r="G2781" s="122"/>
      <c r="I2781" s="123"/>
    </row>
    <row r="2782" spans="6:9" x14ac:dyDescent="0.25">
      <c r="F2782" s="122"/>
      <c r="G2782" s="122"/>
      <c r="I2782" s="123"/>
    </row>
    <row r="2783" spans="6:9" x14ac:dyDescent="0.25">
      <c r="F2783" s="122"/>
      <c r="G2783" s="122"/>
      <c r="I2783" s="123"/>
    </row>
    <row r="2784" spans="6:9" x14ac:dyDescent="0.25">
      <c r="F2784" s="122"/>
      <c r="G2784" s="122"/>
      <c r="I2784" s="123"/>
    </row>
    <row r="2785" spans="6:9" x14ac:dyDescent="0.25">
      <c r="F2785" s="122"/>
      <c r="G2785" s="122"/>
      <c r="I2785" s="123"/>
    </row>
    <row r="2786" spans="6:9" x14ac:dyDescent="0.25">
      <c r="F2786" s="122"/>
      <c r="G2786" s="122"/>
      <c r="I2786" s="123"/>
    </row>
    <row r="2787" spans="6:9" x14ac:dyDescent="0.25">
      <c r="F2787" s="122"/>
      <c r="G2787" s="122"/>
      <c r="I2787" s="123"/>
    </row>
    <row r="2788" spans="6:9" x14ac:dyDescent="0.25">
      <c r="F2788" s="79"/>
      <c r="I2788" s="123"/>
    </row>
    <row r="2789" spans="6:9" x14ac:dyDescent="0.25">
      <c r="F2789" s="79"/>
      <c r="I2789" s="123"/>
    </row>
    <row r="2790" spans="6:9" x14ac:dyDescent="0.25">
      <c r="F2790" s="79"/>
      <c r="I2790" s="123"/>
    </row>
    <row r="2791" spans="6:9" x14ac:dyDescent="0.25">
      <c r="F2791" s="79"/>
      <c r="I2791" s="123"/>
    </row>
    <row r="2792" spans="6:9" x14ac:dyDescent="0.25">
      <c r="F2792" s="79"/>
      <c r="I2792" s="123"/>
    </row>
    <row r="2793" spans="6:9" x14ac:dyDescent="0.25">
      <c r="F2793" s="79"/>
      <c r="I2793" s="123"/>
    </row>
    <row r="2794" spans="6:9" x14ac:dyDescent="0.25">
      <c r="F2794" s="79"/>
      <c r="I2794" s="123"/>
    </row>
    <row r="2795" spans="6:9" x14ac:dyDescent="0.25">
      <c r="F2795" s="79"/>
      <c r="I2795" s="123"/>
    </row>
    <row r="2796" spans="6:9" x14ac:dyDescent="0.25">
      <c r="F2796" s="79"/>
      <c r="I2796" s="123"/>
    </row>
    <row r="2797" spans="6:9" x14ac:dyDescent="0.25">
      <c r="F2797" s="79"/>
      <c r="I2797" s="123"/>
    </row>
    <row r="2798" spans="6:9" x14ac:dyDescent="0.25">
      <c r="F2798" s="79"/>
      <c r="I2798" s="123"/>
    </row>
    <row r="2799" spans="6:9" x14ac:dyDescent="0.25">
      <c r="F2799" s="79"/>
      <c r="I2799" s="123"/>
    </row>
    <row r="2800" spans="6:9" x14ac:dyDescent="0.25">
      <c r="F2800" s="79"/>
      <c r="I2800" s="123"/>
    </row>
    <row r="2801" spans="6:9" x14ac:dyDescent="0.25">
      <c r="F2801" s="79"/>
      <c r="I2801" s="123"/>
    </row>
    <row r="2802" spans="6:9" x14ac:dyDescent="0.25">
      <c r="F2802" s="79"/>
      <c r="I2802" s="123"/>
    </row>
    <row r="2803" spans="6:9" x14ac:dyDescent="0.25">
      <c r="F2803" s="79"/>
      <c r="I2803" s="123"/>
    </row>
    <row r="2804" spans="6:9" x14ac:dyDescent="0.25">
      <c r="F2804" s="79"/>
      <c r="I2804" s="123"/>
    </row>
    <row r="2805" spans="6:9" x14ac:dyDescent="0.25">
      <c r="F2805" s="79"/>
      <c r="I2805" s="123"/>
    </row>
    <row r="2806" spans="6:9" x14ac:dyDescent="0.25">
      <c r="F2806" s="79"/>
      <c r="I2806" s="123"/>
    </row>
    <row r="2807" spans="6:9" x14ac:dyDescent="0.25">
      <c r="F2807" s="79"/>
      <c r="I2807" s="123"/>
    </row>
    <row r="2808" spans="6:9" x14ac:dyDescent="0.25">
      <c r="F2808" s="79"/>
      <c r="I2808" s="123"/>
    </row>
    <row r="2809" spans="6:9" x14ac:dyDescent="0.25">
      <c r="F2809" s="79"/>
      <c r="I2809" s="123"/>
    </row>
    <row r="2810" spans="6:9" x14ac:dyDescent="0.25">
      <c r="F2810" s="79"/>
      <c r="I2810" s="123"/>
    </row>
    <row r="2811" spans="6:9" x14ac:dyDescent="0.25">
      <c r="F2811" s="79"/>
      <c r="I2811" s="123"/>
    </row>
    <row r="2812" spans="6:9" x14ac:dyDescent="0.25">
      <c r="F2812" s="79"/>
      <c r="I2812" s="123"/>
    </row>
    <row r="2813" spans="6:9" x14ac:dyDescent="0.25">
      <c r="F2813" s="79"/>
      <c r="I2813" s="123"/>
    </row>
    <row r="2814" spans="6:9" x14ac:dyDescent="0.25">
      <c r="F2814" s="79"/>
      <c r="I2814" s="123"/>
    </row>
    <row r="2815" spans="6:9" x14ac:dyDescent="0.25">
      <c r="F2815" s="79"/>
      <c r="I2815" s="123"/>
    </row>
    <row r="2816" spans="6:9" x14ac:dyDescent="0.25">
      <c r="F2816" s="79"/>
      <c r="I2816" s="123"/>
    </row>
    <row r="2817" spans="3:9" x14ac:dyDescent="0.25">
      <c r="F2817" s="79"/>
      <c r="I2817" s="123"/>
    </row>
    <row r="2818" spans="3:9" x14ac:dyDescent="0.25">
      <c r="F2818" s="79"/>
      <c r="I2818" s="123"/>
    </row>
    <row r="2819" spans="3:9" x14ac:dyDescent="0.25">
      <c r="F2819" s="79"/>
      <c r="I2819" s="123"/>
    </row>
    <row r="2820" spans="3:9" x14ac:dyDescent="0.25">
      <c r="F2820" s="79"/>
      <c r="I2820" s="123"/>
    </row>
    <row r="2821" spans="3:9" x14ac:dyDescent="0.25">
      <c r="F2821" s="79"/>
      <c r="I2821" s="123"/>
    </row>
    <row r="2822" spans="3:9" x14ac:dyDescent="0.25">
      <c r="C2822" s="123"/>
      <c r="E2822" s="123"/>
      <c r="F2822" s="79"/>
      <c r="G2822" s="123"/>
      <c r="H2822" s="123"/>
      <c r="I2822" s="123"/>
    </row>
    <row r="2823" spans="3:9" x14ac:dyDescent="0.25">
      <c r="F2823" s="79"/>
      <c r="I2823" s="123"/>
    </row>
    <row r="2824" spans="3:9" x14ac:dyDescent="0.25">
      <c r="F2824" s="79"/>
      <c r="I2824" s="123"/>
    </row>
    <row r="2825" spans="3:9" x14ac:dyDescent="0.25">
      <c r="F2825" s="79"/>
      <c r="I2825" s="123"/>
    </row>
    <row r="2826" spans="3:9" x14ac:dyDescent="0.25">
      <c r="F2826" s="79"/>
      <c r="I2826" s="123"/>
    </row>
    <row r="2827" spans="3:9" x14ac:dyDescent="0.25">
      <c r="F2827" s="79"/>
      <c r="I2827" s="123"/>
    </row>
    <row r="2828" spans="3:9" x14ac:dyDescent="0.25">
      <c r="F2828" s="79"/>
      <c r="I2828" s="123"/>
    </row>
    <row r="2829" spans="3:9" x14ac:dyDescent="0.25">
      <c r="F2829" s="79"/>
      <c r="I2829" s="123"/>
    </row>
    <row r="2830" spans="3:9" x14ac:dyDescent="0.25">
      <c r="F2830" s="79"/>
      <c r="I2830" s="123"/>
    </row>
    <row r="2831" spans="3:9" x14ac:dyDescent="0.25">
      <c r="F2831" s="79"/>
      <c r="I2831" s="123"/>
    </row>
    <row r="2832" spans="3:9" x14ac:dyDescent="0.25">
      <c r="F2832" s="79"/>
      <c r="I2832" s="123"/>
    </row>
    <row r="2833" spans="6:9" x14ac:dyDescent="0.25">
      <c r="F2833" s="79"/>
      <c r="I2833" s="123"/>
    </row>
    <row r="2834" spans="6:9" x14ac:dyDescent="0.25">
      <c r="F2834" s="79"/>
      <c r="I2834" s="123"/>
    </row>
    <row r="2835" spans="6:9" x14ac:dyDescent="0.25">
      <c r="F2835" s="79"/>
      <c r="I2835" s="123"/>
    </row>
    <row r="2836" spans="6:9" x14ac:dyDescent="0.25">
      <c r="F2836" s="79"/>
      <c r="I2836" s="123"/>
    </row>
    <row r="2837" spans="6:9" x14ac:dyDescent="0.25">
      <c r="F2837" s="79"/>
      <c r="I2837" s="123"/>
    </row>
    <row r="2838" spans="6:9" x14ac:dyDescent="0.25">
      <c r="F2838" s="79"/>
      <c r="I2838" s="123"/>
    </row>
    <row r="2839" spans="6:9" x14ac:dyDescent="0.25">
      <c r="F2839" s="79"/>
      <c r="I2839" s="123"/>
    </row>
    <row r="2840" spans="6:9" x14ac:dyDescent="0.25">
      <c r="F2840" s="79"/>
      <c r="I2840" s="123"/>
    </row>
    <row r="2841" spans="6:9" x14ac:dyDescent="0.25">
      <c r="F2841" s="79"/>
      <c r="I2841" s="123"/>
    </row>
    <row r="2842" spans="6:9" x14ac:dyDescent="0.25">
      <c r="F2842" s="79"/>
      <c r="I2842" s="123"/>
    </row>
    <row r="2843" spans="6:9" x14ac:dyDescent="0.25">
      <c r="F2843" s="79"/>
      <c r="I2843" s="123"/>
    </row>
    <row r="2844" spans="6:9" x14ac:dyDescent="0.25">
      <c r="F2844" s="79"/>
      <c r="I2844" s="123"/>
    </row>
    <row r="2845" spans="6:9" x14ac:dyDescent="0.25">
      <c r="F2845" s="79"/>
      <c r="I2845" s="123"/>
    </row>
    <row r="2846" spans="6:9" x14ac:dyDescent="0.25">
      <c r="F2846" s="79"/>
      <c r="I2846" s="123"/>
    </row>
    <row r="2847" spans="6:9" x14ac:dyDescent="0.25">
      <c r="F2847" s="79"/>
      <c r="I2847" s="123"/>
    </row>
    <row r="2848" spans="6:9" x14ac:dyDescent="0.25">
      <c r="F2848" s="79"/>
      <c r="I2848" s="123"/>
    </row>
    <row r="2849" spans="6:9" x14ac:dyDescent="0.25">
      <c r="F2849" s="79"/>
      <c r="I2849" s="123"/>
    </row>
    <row r="2850" spans="6:9" x14ac:dyDescent="0.25">
      <c r="F2850" s="79"/>
      <c r="I2850" s="123"/>
    </row>
    <row r="2851" spans="6:9" x14ac:dyDescent="0.25">
      <c r="F2851" s="79"/>
      <c r="I2851" s="123"/>
    </row>
    <row r="2852" spans="6:9" x14ac:dyDescent="0.25">
      <c r="F2852" s="79"/>
      <c r="I2852" s="123"/>
    </row>
    <row r="2853" spans="6:9" x14ac:dyDescent="0.25">
      <c r="F2853" s="79"/>
      <c r="I2853" s="123"/>
    </row>
    <row r="2854" spans="6:9" x14ac:dyDescent="0.25">
      <c r="F2854" s="79"/>
      <c r="I2854" s="123"/>
    </row>
    <row r="2855" spans="6:9" x14ac:dyDescent="0.25">
      <c r="F2855" s="79"/>
      <c r="I2855" s="123"/>
    </row>
    <row r="2856" spans="6:9" x14ac:dyDescent="0.25">
      <c r="F2856" s="79"/>
      <c r="I2856" s="123"/>
    </row>
    <row r="2857" spans="6:9" x14ac:dyDescent="0.25">
      <c r="F2857" s="79"/>
      <c r="I2857" s="123"/>
    </row>
    <row r="2858" spans="6:9" x14ac:dyDescent="0.25">
      <c r="F2858" s="79"/>
      <c r="I2858" s="123"/>
    </row>
    <row r="2859" spans="6:9" x14ac:dyDescent="0.25">
      <c r="F2859" s="79"/>
      <c r="I2859" s="123"/>
    </row>
    <row r="2860" spans="6:9" x14ac:dyDescent="0.25">
      <c r="F2860" s="79"/>
      <c r="I2860" s="123"/>
    </row>
    <row r="2861" spans="6:9" x14ac:dyDescent="0.25">
      <c r="F2861" s="79"/>
      <c r="I2861" s="123"/>
    </row>
    <row r="2862" spans="6:9" x14ac:dyDescent="0.25">
      <c r="F2862" s="79"/>
      <c r="I2862" s="123"/>
    </row>
    <row r="2863" spans="6:9" x14ac:dyDescent="0.25">
      <c r="F2863" s="79"/>
      <c r="I2863" s="123"/>
    </row>
    <row r="2864" spans="6:9" x14ac:dyDescent="0.25">
      <c r="F2864" s="79"/>
      <c r="I2864" s="123"/>
    </row>
    <row r="2865" spans="6:9" x14ac:dyDescent="0.25">
      <c r="F2865" s="79"/>
      <c r="I2865" s="123"/>
    </row>
    <row r="2866" spans="6:9" x14ac:dyDescent="0.25">
      <c r="F2866" s="79"/>
      <c r="I2866" s="123"/>
    </row>
    <row r="2867" spans="6:9" x14ac:dyDescent="0.25">
      <c r="F2867" s="79"/>
      <c r="I2867" s="123"/>
    </row>
    <row r="2868" spans="6:9" x14ac:dyDescent="0.25">
      <c r="F2868" s="79"/>
      <c r="I2868" s="123"/>
    </row>
    <row r="2869" spans="6:9" x14ac:dyDescent="0.25">
      <c r="F2869" s="79"/>
      <c r="I2869" s="123"/>
    </row>
    <row r="2870" spans="6:9" x14ac:dyDescent="0.25">
      <c r="F2870" s="79"/>
      <c r="I2870" s="123"/>
    </row>
    <row r="2871" spans="6:9" x14ac:dyDescent="0.25">
      <c r="F2871" s="79"/>
      <c r="I2871" s="123"/>
    </row>
    <row r="2872" spans="6:9" x14ac:dyDescent="0.25">
      <c r="F2872" s="79"/>
      <c r="I2872" s="123"/>
    </row>
    <row r="2873" spans="6:9" x14ac:dyDescent="0.25">
      <c r="F2873" s="79"/>
      <c r="I2873" s="123"/>
    </row>
    <row r="2874" spans="6:9" x14ac:dyDescent="0.25">
      <c r="F2874" s="79"/>
      <c r="I2874" s="123"/>
    </row>
    <row r="2875" spans="6:9" x14ac:dyDescent="0.25">
      <c r="F2875" s="79"/>
      <c r="I2875" s="123"/>
    </row>
    <row r="2876" spans="6:9" x14ac:dyDescent="0.25">
      <c r="F2876" s="79"/>
      <c r="I2876" s="123"/>
    </row>
    <row r="2877" spans="6:9" x14ac:dyDescent="0.25">
      <c r="F2877" s="79"/>
      <c r="I2877" s="123"/>
    </row>
    <row r="2878" spans="6:9" x14ac:dyDescent="0.25">
      <c r="F2878" s="79"/>
      <c r="I2878" s="123"/>
    </row>
    <row r="2879" spans="6:9" x14ac:dyDescent="0.25">
      <c r="F2879" s="79"/>
      <c r="I2879" s="123"/>
    </row>
    <row r="2880" spans="6:9" x14ac:dyDescent="0.25">
      <c r="F2880" s="79"/>
      <c r="I2880" s="123"/>
    </row>
    <row r="2881" spans="6:9" x14ac:dyDescent="0.25">
      <c r="F2881" s="79"/>
      <c r="I2881" s="123"/>
    </row>
    <row r="2882" spans="6:9" x14ac:dyDescent="0.25">
      <c r="F2882" s="79"/>
      <c r="I2882" s="123"/>
    </row>
    <row r="2883" spans="6:9" x14ac:dyDescent="0.25">
      <c r="F2883" s="79"/>
      <c r="I2883" s="123"/>
    </row>
    <row r="2884" spans="6:9" x14ac:dyDescent="0.25">
      <c r="F2884" s="79"/>
      <c r="I2884" s="123"/>
    </row>
    <row r="2885" spans="6:9" x14ac:dyDescent="0.25">
      <c r="F2885" s="79"/>
      <c r="I2885" s="123"/>
    </row>
    <row r="2886" spans="6:9" x14ac:dyDescent="0.25">
      <c r="F2886" s="79"/>
      <c r="I2886" s="123"/>
    </row>
    <row r="2887" spans="6:9" x14ac:dyDescent="0.25">
      <c r="F2887" s="79"/>
      <c r="I2887" s="123"/>
    </row>
    <row r="2888" spans="6:9" x14ac:dyDescent="0.25">
      <c r="F2888" s="79"/>
      <c r="I2888" s="123"/>
    </row>
    <row r="2889" spans="6:9" x14ac:dyDescent="0.25">
      <c r="F2889" s="79"/>
      <c r="I2889" s="123"/>
    </row>
    <row r="2890" spans="6:9" x14ac:dyDescent="0.25">
      <c r="F2890" s="79"/>
      <c r="I2890" s="123"/>
    </row>
    <row r="2891" spans="6:9" x14ac:dyDescent="0.25">
      <c r="F2891" s="79"/>
      <c r="I2891" s="123"/>
    </row>
    <row r="2892" spans="6:9" x14ac:dyDescent="0.25">
      <c r="F2892" s="79"/>
      <c r="I2892" s="123"/>
    </row>
    <row r="2893" spans="6:9" x14ac:dyDescent="0.25">
      <c r="F2893" s="79"/>
      <c r="I2893" s="123"/>
    </row>
    <row r="2894" spans="6:9" x14ac:dyDescent="0.25">
      <c r="F2894" s="79"/>
      <c r="I2894" s="123"/>
    </row>
    <row r="2895" spans="6:9" x14ac:dyDescent="0.25">
      <c r="F2895" s="79"/>
      <c r="I2895" s="123"/>
    </row>
    <row r="2896" spans="6:9" x14ac:dyDescent="0.25">
      <c r="F2896" s="79"/>
      <c r="I2896" s="123"/>
    </row>
    <row r="2897" spans="6:9" x14ac:dyDescent="0.25">
      <c r="F2897" s="79"/>
      <c r="I2897" s="123"/>
    </row>
    <row r="2898" spans="6:9" x14ac:dyDescent="0.25">
      <c r="F2898" s="79"/>
      <c r="I2898" s="123"/>
    </row>
    <row r="2899" spans="6:9" x14ac:dyDescent="0.25">
      <c r="F2899" s="79"/>
      <c r="I2899" s="123"/>
    </row>
    <row r="2900" spans="6:9" x14ac:dyDescent="0.25">
      <c r="F2900" s="79"/>
      <c r="I2900" s="123"/>
    </row>
    <row r="2901" spans="6:9" x14ac:dyDescent="0.25">
      <c r="F2901" s="79"/>
      <c r="I2901" s="123"/>
    </row>
    <row r="2902" spans="6:9" x14ac:dyDescent="0.25">
      <c r="F2902" s="79"/>
      <c r="I2902" s="123"/>
    </row>
    <row r="2903" spans="6:9" x14ac:dyDescent="0.25">
      <c r="F2903" s="79"/>
      <c r="I2903" s="123"/>
    </row>
    <row r="2904" spans="6:9" x14ac:dyDescent="0.25">
      <c r="F2904" s="79"/>
      <c r="I2904" s="123"/>
    </row>
    <row r="2905" spans="6:9" x14ac:dyDescent="0.25">
      <c r="F2905" s="79"/>
      <c r="I2905" s="123"/>
    </row>
    <row r="2906" spans="6:9" x14ac:dyDescent="0.25">
      <c r="F2906" s="79"/>
      <c r="I2906" s="123"/>
    </row>
    <row r="2907" spans="6:9" x14ac:dyDescent="0.25">
      <c r="F2907" s="79"/>
      <c r="I2907" s="123"/>
    </row>
    <row r="2908" spans="6:9" x14ac:dyDescent="0.25">
      <c r="F2908" s="79"/>
      <c r="I2908" s="123"/>
    </row>
    <row r="2909" spans="6:9" x14ac:dyDescent="0.25">
      <c r="F2909" s="79"/>
      <c r="I2909" s="123"/>
    </row>
    <row r="2910" spans="6:9" x14ac:dyDescent="0.25">
      <c r="F2910" s="79"/>
      <c r="I2910" s="123"/>
    </row>
    <row r="2911" spans="6:9" x14ac:dyDescent="0.25">
      <c r="F2911" s="79"/>
      <c r="I2911" s="123"/>
    </row>
    <row r="2912" spans="6:9" x14ac:dyDescent="0.25">
      <c r="F2912" s="79"/>
      <c r="I2912" s="123"/>
    </row>
    <row r="2913" spans="6:9" x14ac:dyDescent="0.25">
      <c r="F2913" s="79"/>
      <c r="I2913" s="123"/>
    </row>
    <row r="2914" spans="6:9" x14ac:dyDescent="0.25">
      <c r="F2914" s="79"/>
      <c r="I2914" s="123"/>
    </row>
    <row r="2915" spans="6:9" x14ac:dyDescent="0.25">
      <c r="F2915" s="79"/>
      <c r="I2915" s="123"/>
    </row>
    <row r="2916" spans="6:9" x14ac:dyDescent="0.25">
      <c r="F2916" s="79"/>
      <c r="G2916" s="123"/>
      <c r="H2916" s="123"/>
      <c r="I2916" s="123"/>
    </row>
    <row r="2917" spans="6:9" x14ac:dyDescent="0.25">
      <c r="F2917" s="79"/>
      <c r="G2917" s="123"/>
      <c r="H2917" s="123"/>
      <c r="I2917" s="123"/>
    </row>
    <row r="2918" spans="6:9" x14ac:dyDescent="0.25">
      <c r="F2918" s="79"/>
      <c r="G2918" s="123"/>
      <c r="H2918" s="123"/>
      <c r="I2918" s="123"/>
    </row>
    <row r="2919" spans="6:9" x14ac:dyDescent="0.25">
      <c r="F2919" s="79"/>
      <c r="I2919" s="123"/>
    </row>
    <row r="2920" spans="6:9" x14ac:dyDescent="0.25">
      <c r="F2920" s="79"/>
      <c r="I2920" s="123"/>
    </row>
    <row r="2921" spans="6:9" x14ac:dyDescent="0.25">
      <c r="F2921" s="79"/>
      <c r="I2921" s="123"/>
    </row>
    <row r="2922" spans="6:9" x14ac:dyDescent="0.25">
      <c r="F2922" s="79"/>
      <c r="I2922" s="123"/>
    </row>
    <row r="2923" spans="6:9" x14ac:dyDescent="0.25">
      <c r="F2923" s="79"/>
      <c r="I2923" s="123"/>
    </row>
    <row r="2924" spans="6:9" x14ac:dyDescent="0.25">
      <c r="F2924" s="79"/>
      <c r="I2924" s="123"/>
    </row>
    <row r="2925" spans="6:9" x14ac:dyDescent="0.25">
      <c r="F2925" s="79"/>
      <c r="G2925" s="140"/>
      <c r="I2925" s="123"/>
    </row>
    <row r="2926" spans="6:9" x14ac:dyDescent="0.25">
      <c r="F2926" s="79"/>
      <c r="I2926" s="123"/>
    </row>
    <row r="2927" spans="6:9" x14ac:dyDescent="0.25">
      <c r="F2927" s="79"/>
      <c r="I2927" s="123"/>
    </row>
    <row r="2928" spans="6:9" x14ac:dyDescent="0.25">
      <c r="F2928" s="79"/>
      <c r="I2928" s="123"/>
    </row>
    <row r="2929" spans="6:9" x14ac:dyDescent="0.25">
      <c r="F2929" s="79"/>
      <c r="I2929" s="123"/>
    </row>
    <row r="2930" spans="6:9" x14ac:dyDescent="0.25">
      <c r="F2930" s="79"/>
      <c r="I2930" s="123"/>
    </row>
    <row r="2931" spans="6:9" x14ac:dyDescent="0.25">
      <c r="F2931" s="79"/>
      <c r="I2931" s="123"/>
    </row>
    <row r="2932" spans="6:9" x14ac:dyDescent="0.25">
      <c r="F2932" s="79"/>
      <c r="I2932" s="123"/>
    </row>
    <row r="2933" spans="6:9" x14ac:dyDescent="0.25">
      <c r="F2933" s="79"/>
      <c r="I2933" s="123"/>
    </row>
    <row r="2934" spans="6:9" x14ac:dyDescent="0.25">
      <c r="F2934" s="79"/>
      <c r="I2934" s="123"/>
    </row>
    <row r="2935" spans="6:9" x14ac:dyDescent="0.25">
      <c r="F2935" s="79"/>
      <c r="I2935" s="123"/>
    </row>
    <row r="2936" spans="6:9" x14ac:dyDescent="0.25">
      <c r="F2936" s="79"/>
      <c r="I2936" s="123"/>
    </row>
    <row r="2937" spans="6:9" x14ac:dyDescent="0.25">
      <c r="F2937" s="79"/>
      <c r="I2937" s="123"/>
    </row>
    <row r="2938" spans="6:9" x14ac:dyDescent="0.25">
      <c r="F2938" s="79"/>
      <c r="I2938" s="123"/>
    </row>
    <row r="2939" spans="6:9" x14ac:dyDescent="0.25">
      <c r="F2939" s="79"/>
      <c r="I2939" s="123"/>
    </row>
    <row r="2940" spans="6:9" x14ac:dyDescent="0.25">
      <c r="F2940" s="79"/>
      <c r="I2940" s="123"/>
    </row>
    <row r="2941" spans="6:9" x14ac:dyDescent="0.25">
      <c r="F2941" s="79"/>
      <c r="I2941" s="123"/>
    </row>
    <row r="2942" spans="6:9" x14ac:dyDescent="0.25">
      <c r="F2942" s="79"/>
      <c r="I2942" s="123"/>
    </row>
    <row r="2943" spans="6:9" x14ac:dyDescent="0.25">
      <c r="F2943" s="79"/>
      <c r="I2943" s="123"/>
    </row>
    <row r="2944" spans="6:9" x14ac:dyDescent="0.25">
      <c r="F2944" s="79"/>
      <c r="I2944" s="123"/>
    </row>
    <row r="2945" spans="6:9" x14ac:dyDescent="0.25">
      <c r="F2945" s="79"/>
      <c r="I2945" s="123"/>
    </row>
    <row r="2946" spans="6:9" x14ac:dyDescent="0.25">
      <c r="F2946" s="79"/>
      <c r="I2946" s="123"/>
    </row>
    <row r="2947" spans="6:9" x14ac:dyDescent="0.25">
      <c r="F2947" s="79"/>
      <c r="I2947" s="123"/>
    </row>
    <row r="2948" spans="6:9" x14ac:dyDescent="0.25">
      <c r="F2948" s="79"/>
      <c r="I2948" s="123"/>
    </row>
    <row r="2949" spans="6:9" x14ac:dyDescent="0.25">
      <c r="F2949" s="79"/>
      <c r="I2949" s="123"/>
    </row>
    <row r="2950" spans="6:9" x14ac:dyDescent="0.25">
      <c r="F2950" s="79"/>
      <c r="I2950" s="123"/>
    </row>
    <row r="2951" spans="6:9" x14ac:dyDescent="0.25">
      <c r="F2951" s="79"/>
      <c r="I2951" s="123"/>
    </row>
    <row r="2952" spans="6:9" x14ac:dyDescent="0.25">
      <c r="F2952" s="79"/>
      <c r="G2952" s="123"/>
      <c r="H2952" s="123"/>
      <c r="I2952" s="123"/>
    </row>
    <row r="2953" spans="6:9" x14ac:dyDescent="0.25">
      <c r="F2953" s="79"/>
      <c r="I2953" s="123"/>
    </row>
    <row r="2954" spans="6:9" x14ac:dyDescent="0.25">
      <c r="F2954" s="79"/>
      <c r="I2954" s="123"/>
    </row>
    <row r="2955" spans="6:9" x14ac:dyDescent="0.25">
      <c r="F2955" s="79"/>
      <c r="I2955" s="123"/>
    </row>
    <row r="2956" spans="6:9" x14ac:dyDescent="0.25">
      <c r="F2956" s="79"/>
      <c r="I2956" s="123"/>
    </row>
    <row r="2957" spans="6:9" x14ac:dyDescent="0.25">
      <c r="F2957" s="79"/>
      <c r="I2957" s="123"/>
    </row>
    <row r="2958" spans="6:9" x14ac:dyDescent="0.25">
      <c r="F2958" s="79"/>
      <c r="I2958" s="123"/>
    </row>
    <row r="2959" spans="6:9" x14ac:dyDescent="0.25">
      <c r="F2959" s="79"/>
      <c r="I2959" s="123"/>
    </row>
    <row r="2960" spans="6:9" x14ac:dyDescent="0.25">
      <c r="F2960" s="79"/>
      <c r="I2960" s="123"/>
    </row>
    <row r="2961" spans="3:9" x14ac:dyDescent="0.25">
      <c r="F2961" s="79"/>
      <c r="I2961" s="123"/>
    </row>
    <row r="2962" spans="3:9" x14ac:dyDescent="0.25">
      <c r="F2962" s="79"/>
      <c r="I2962" s="123"/>
    </row>
    <row r="2963" spans="3:9" x14ac:dyDescent="0.25">
      <c r="F2963" s="79"/>
      <c r="I2963" s="123"/>
    </row>
    <row r="2964" spans="3:9" x14ac:dyDescent="0.25">
      <c r="F2964" s="79"/>
      <c r="I2964" s="123"/>
    </row>
    <row r="2965" spans="3:9" x14ac:dyDescent="0.25">
      <c r="F2965" s="79"/>
      <c r="I2965" s="123"/>
    </row>
    <row r="2966" spans="3:9" x14ac:dyDescent="0.25">
      <c r="F2966" s="79"/>
      <c r="I2966" s="123"/>
    </row>
    <row r="2967" spans="3:9" x14ac:dyDescent="0.25">
      <c r="C2967" s="123"/>
      <c r="E2967" s="123"/>
      <c r="F2967" s="79"/>
      <c r="G2967" s="123"/>
      <c r="H2967" s="123"/>
      <c r="I2967" s="123"/>
    </row>
    <row r="2968" spans="3:9" x14ac:dyDescent="0.25">
      <c r="F2968" s="79"/>
      <c r="I2968" s="123"/>
    </row>
    <row r="2969" spans="3:9" x14ac:dyDescent="0.25">
      <c r="F2969" s="79"/>
      <c r="I2969" s="123"/>
    </row>
    <row r="2970" spans="3:9" x14ac:dyDescent="0.25">
      <c r="F2970" s="79"/>
      <c r="I2970" s="123"/>
    </row>
    <row r="2971" spans="3:9" x14ac:dyDescent="0.25">
      <c r="F2971" s="79"/>
      <c r="I2971" s="123"/>
    </row>
    <row r="2972" spans="3:9" x14ac:dyDescent="0.25">
      <c r="F2972" s="79"/>
      <c r="I2972" s="123"/>
    </row>
    <row r="2973" spans="3:9" x14ac:dyDescent="0.25">
      <c r="F2973" s="79"/>
      <c r="I2973" s="123"/>
    </row>
    <row r="2974" spans="3:9" x14ac:dyDescent="0.25">
      <c r="F2974" s="79"/>
      <c r="I2974" s="123"/>
    </row>
    <row r="2975" spans="3:9" x14ac:dyDescent="0.25">
      <c r="F2975" s="79"/>
      <c r="I2975" s="123"/>
    </row>
    <row r="2976" spans="3:9" x14ac:dyDescent="0.25">
      <c r="F2976" s="79"/>
      <c r="I2976" s="123"/>
    </row>
    <row r="2977" spans="6:9" x14ac:dyDescent="0.25">
      <c r="F2977" s="79"/>
      <c r="I2977" s="123"/>
    </row>
    <row r="2978" spans="6:9" x14ac:dyDescent="0.25">
      <c r="F2978" s="79"/>
      <c r="I2978" s="123"/>
    </row>
    <row r="2979" spans="6:9" x14ac:dyDescent="0.25">
      <c r="F2979" s="79"/>
      <c r="I2979" s="123"/>
    </row>
    <row r="2980" spans="6:9" x14ac:dyDescent="0.25">
      <c r="F2980" s="79"/>
      <c r="I2980" s="123"/>
    </row>
    <row r="2981" spans="6:9" x14ac:dyDescent="0.25">
      <c r="F2981" s="79"/>
      <c r="I2981" s="123"/>
    </row>
    <row r="2982" spans="6:9" x14ac:dyDescent="0.25">
      <c r="F2982" s="79"/>
      <c r="I2982" s="123"/>
    </row>
    <row r="2983" spans="6:9" x14ac:dyDescent="0.25">
      <c r="F2983" s="79"/>
      <c r="I2983" s="123"/>
    </row>
    <row r="2984" spans="6:9" x14ac:dyDescent="0.25">
      <c r="F2984" s="79"/>
      <c r="I2984" s="123"/>
    </row>
    <row r="2985" spans="6:9" x14ac:dyDescent="0.25">
      <c r="F2985" s="79"/>
      <c r="I2985" s="123"/>
    </row>
    <row r="2986" spans="6:9" x14ac:dyDescent="0.25">
      <c r="F2986" s="79"/>
      <c r="I2986" s="123"/>
    </row>
    <row r="2987" spans="6:9" x14ac:dyDescent="0.25">
      <c r="F2987" s="79"/>
      <c r="I2987" s="123"/>
    </row>
    <row r="2988" spans="6:9" x14ac:dyDescent="0.25">
      <c r="F2988" s="79"/>
      <c r="I2988" s="123"/>
    </row>
    <row r="2989" spans="6:9" x14ac:dyDescent="0.25">
      <c r="F2989" s="79"/>
      <c r="I2989" s="123"/>
    </row>
    <row r="2990" spans="6:9" x14ac:dyDescent="0.25">
      <c r="F2990" s="79"/>
      <c r="I2990" s="123"/>
    </row>
    <row r="2991" spans="6:9" x14ac:dyDescent="0.25">
      <c r="F2991" s="79"/>
      <c r="I2991" s="123"/>
    </row>
    <row r="2992" spans="6:9" x14ac:dyDescent="0.25">
      <c r="F2992" s="79"/>
      <c r="I2992" s="123"/>
    </row>
    <row r="2993" spans="6:9" x14ac:dyDescent="0.25">
      <c r="F2993" s="79"/>
      <c r="I2993" s="123"/>
    </row>
    <row r="2994" spans="6:9" x14ac:dyDescent="0.25">
      <c r="F2994" s="79"/>
      <c r="I2994" s="123"/>
    </row>
    <row r="2995" spans="6:9" x14ac:dyDescent="0.25">
      <c r="F2995" s="79"/>
      <c r="I2995" s="123"/>
    </row>
    <row r="2996" spans="6:9" x14ac:dyDescent="0.25">
      <c r="F2996" s="79"/>
      <c r="I2996" s="123"/>
    </row>
    <row r="2997" spans="6:9" x14ac:dyDescent="0.25">
      <c r="F2997" s="79"/>
      <c r="I2997" s="123"/>
    </row>
    <row r="2998" spans="6:9" x14ac:dyDescent="0.25">
      <c r="F2998" s="79"/>
      <c r="I2998" s="123"/>
    </row>
    <row r="2999" spans="6:9" x14ac:dyDescent="0.25">
      <c r="F2999" s="79"/>
      <c r="I2999" s="123"/>
    </row>
    <row r="3000" spans="6:9" x14ac:dyDescent="0.25">
      <c r="F3000" s="79"/>
      <c r="I3000" s="123"/>
    </row>
    <row r="3001" spans="6:9" x14ac:dyDescent="0.25">
      <c r="F3001" s="79"/>
      <c r="I3001" s="123"/>
    </row>
    <row r="3002" spans="6:9" x14ac:dyDescent="0.25">
      <c r="F3002" s="79"/>
      <c r="I3002" s="123"/>
    </row>
    <row r="3003" spans="6:9" x14ac:dyDescent="0.25">
      <c r="F3003" s="79"/>
      <c r="I3003" s="123"/>
    </row>
    <row r="3004" spans="6:9" x14ac:dyDescent="0.25">
      <c r="F3004" s="79"/>
      <c r="I3004" s="123"/>
    </row>
    <row r="3005" spans="6:9" x14ac:dyDescent="0.25">
      <c r="F3005" s="79"/>
      <c r="I3005" s="123"/>
    </row>
    <row r="3006" spans="6:9" x14ac:dyDescent="0.25">
      <c r="F3006" s="79"/>
      <c r="I3006" s="123"/>
    </row>
    <row r="3007" spans="6:9" x14ac:dyDescent="0.25">
      <c r="F3007" s="79"/>
      <c r="I3007" s="123"/>
    </row>
    <row r="3008" spans="6:9" x14ac:dyDescent="0.25">
      <c r="F3008" s="79"/>
      <c r="I3008" s="123"/>
    </row>
    <row r="3009" spans="3:9" x14ac:dyDescent="0.25">
      <c r="F3009" s="79"/>
      <c r="I3009" s="123"/>
    </row>
    <row r="3010" spans="3:9" x14ac:dyDescent="0.25">
      <c r="F3010" s="79"/>
      <c r="I3010" s="123"/>
    </row>
    <row r="3011" spans="3:9" x14ac:dyDescent="0.25">
      <c r="F3011" s="79"/>
      <c r="I3011" s="123"/>
    </row>
    <row r="3012" spans="3:9" x14ac:dyDescent="0.25">
      <c r="F3012" s="79"/>
      <c r="I3012" s="123"/>
    </row>
    <row r="3013" spans="3:9" x14ac:dyDescent="0.25">
      <c r="C3013" s="123"/>
      <c r="E3013" s="123"/>
      <c r="F3013" s="79"/>
      <c r="G3013" s="123"/>
      <c r="H3013" s="123"/>
      <c r="I3013" s="123"/>
    </row>
    <row r="3014" spans="3:9" x14ac:dyDescent="0.25">
      <c r="F3014" s="79"/>
      <c r="I3014" s="123"/>
    </row>
    <row r="3015" spans="3:9" x14ac:dyDescent="0.25">
      <c r="F3015" s="79"/>
      <c r="I3015" s="123"/>
    </row>
    <row r="3016" spans="3:9" x14ac:dyDescent="0.25">
      <c r="F3016" s="79"/>
      <c r="I3016" s="123"/>
    </row>
    <row r="3017" spans="3:9" x14ac:dyDescent="0.25">
      <c r="F3017" s="79"/>
      <c r="I3017" s="123"/>
    </row>
    <row r="3018" spans="3:9" x14ac:dyDescent="0.25">
      <c r="F3018" s="79"/>
      <c r="I3018" s="123"/>
    </row>
    <row r="3019" spans="3:9" x14ac:dyDescent="0.25">
      <c r="F3019" s="79"/>
      <c r="I3019" s="123"/>
    </row>
    <row r="3020" spans="3:9" x14ac:dyDescent="0.25">
      <c r="F3020" s="79"/>
      <c r="I3020" s="123"/>
    </row>
    <row r="3021" spans="3:9" x14ac:dyDescent="0.25">
      <c r="F3021" s="79"/>
      <c r="I3021" s="123"/>
    </row>
    <row r="3022" spans="3:9" x14ac:dyDescent="0.25">
      <c r="F3022" s="79"/>
      <c r="I3022" s="123"/>
    </row>
    <row r="3023" spans="3:9" x14ac:dyDescent="0.25">
      <c r="F3023" s="79"/>
      <c r="I3023" s="123"/>
    </row>
    <row r="3024" spans="3:9" x14ac:dyDescent="0.25">
      <c r="F3024" s="79"/>
      <c r="I3024" s="123"/>
    </row>
    <row r="3025" spans="6:9" x14ac:dyDescent="0.25">
      <c r="F3025" s="79"/>
      <c r="I3025" s="123"/>
    </row>
    <row r="3026" spans="6:9" x14ac:dyDescent="0.25">
      <c r="F3026" s="79"/>
      <c r="I3026" s="123"/>
    </row>
    <row r="3027" spans="6:9" x14ac:dyDescent="0.25">
      <c r="F3027" s="79"/>
      <c r="I3027" s="123"/>
    </row>
    <row r="3028" spans="6:9" x14ac:dyDescent="0.25">
      <c r="F3028" s="79"/>
      <c r="I3028" s="123"/>
    </row>
    <row r="3029" spans="6:9" x14ac:dyDescent="0.25">
      <c r="F3029" s="79"/>
      <c r="I3029" s="123"/>
    </row>
    <row r="3030" spans="6:9" x14ac:dyDescent="0.25">
      <c r="F3030" s="79"/>
      <c r="I3030" s="123"/>
    </row>
    <row r="3031" spans="6:9" x14ac:dyDescent="0.25">
      <c r="F3031" s="79"/>
      <c r="I3031" s="123"/>
    </row>
    <row r="3032" spans="6:9" x14ac:dyDescent="0.25">
      <c r="F3032" s="79"/>
      <c r="I3032" s="123"/>
    </row>
    <row r="3033" spans="6:9" x14ac:dyDescent="0.25">
      <c r="F3033" s="79"/>
      <c r="I3033" s="123"/>
    </row>
    <row r="3034" spans="6:9" x14ac:dyDescent="0.25">
      <c r="F3034" s="79"/>
      <c r="I3034" s="123"/>
    </row>
    <row r="3035" spans="6:9" x14ac:dyDescent="0.25">
      <c r="F3035" s="79"/>
      <c r="I3035" s="123"/>
    </row>
    <row r="3036" spans="6:9" x14ac:dyDescent="0.25">
      <c r="F3036" s="79"/>
      <c r="I3036" s="123"/>
    </row>
    <row r="3037" spans="6:9" x14ac:dyDescent="0.25">
      <c r="F3037" s="79"/>
      <c r="I3037" s="123"/>
    </row>
    <row r="3038" spans="6:9" x14ac:dyDescent="0.25">
      <c r="F3038" s="79"/>
      <c r="I3038" s="123"/>
    </row>
    <row r="3039" spans="6:9" x14ac:dyDescent="0.25">
      <c r="F3039" s="79"/>
      <c r="I3039" s="123"/>
    </row>
    <row r="3040" spans="6:9" x14ac:dyDescent="0.25">
      <c r="F3040" s="79"/>
      <c r="I3040" s="123"/>
    </row>
    <row r="3041" spans="6:9" x14ac:dyDescent="0.25">
      <c r="F3041" s="79"/>
      <c r="I3041" s="123"/>
    </row>
    <row r="3042" spans="6:9" x14ac:dyDescent="0.25">
      <c r="F3042" s="79"/>
      <c r="I3042" s="123"/>
    </row>
    <row r="3043" spans="6:9" x14ac:dyDescent="0.25">
      <c r="F3043" s="79"/>
      <c r="I3043" s="123"/>
    </row>
    <row r="3044" spans="6:9" x14ac:dyDescent="0.25">
      <c r="F3044" s="79"/>
      <c r="I3044" s="123"/>
    </row>
    <row r="3045" spans="6:9" x14ac:dyDescent="0.25">
      <c r="F3045" s="79"/>
      <c r="I3045" s="123"/>
    </row>
    <row r="3046" spans="6:9" x14ac:dyDescent="0.25">
      <c r="F3046" s="79"/>
      <c r="I3046" s="123"/>
    </row>
    <row r="3047" spans="6:9" x14ac:dyDescent="0.25">
      <c r="F3047" s="79"/>
      <c r="I3047" s="123"/>
    </row>
    <row r="3048" spans="6:9" x14ac:dyDescent="0.25">
      <c r="F3048" s="79"/>
      <c r="I3048" s="123"/>
    </row>
    <row r="3049" spans="6:9" x14ac:dyDescent="0.25">
      <c r="F3049" s="79"/>
      <c r="I3049" s="123"/>
    </row>
    <row r="3050" spans="6:9" x14ac:dyDescent="0.25">
      <c r="F3050" s="79"/>
      <c r="I3050" s="123"/>
    </row>
    <row r="3051" spans="6:9" x14ac:dyDescent="0.25">
      <c r="F3051" s="79"/>
      <c r="I3051" s="123"/>
    </row>
    <row r="3052" spans="6:9" x14ac:dyDescent="0.25">
      <c r="F3052" s="79"/>
      <c r="I3052" s="123"/>
    </row>
    <row r="3053" spans="6:9" x14ac:dyDescent="0.25">
      <c r="F3053" s="79"/>
      <c r="I3053" s="123"/>
    </row>
    <row r="3054" spans="6:9" x14ac:dyDescent="0.25">
      <c r="F3054" s="79"/>
      <c r="I3054" s="123"/>
    </row>
    <row r="3055" spans="6:9" x14ac:dyDescent="0.25">
      <c r="F3055" s="79"/>
      <c r="I3055" s="123"/>
    </row>
    <row r="3056" spans="6:9" x14ac:dyDescent="0.25">
      <c r="F3056" s="79"/>
      <c r="I3056" s="123"/>
    </row>
    <row r="3057" spans="6:9" x14ac:dyDescent="0.25">
      <c r="F3057" s="79"/>
      <c r="I3057" s="123"/>
    </row>
    <row r="3058" spans="6:9" x14ac:dyDescent="0.25">
      <c r="F3058" s="79"/>
      <c r="I3058" s="123"/>
    </row>
    <row r="3059" spans="6:9" x14ac:dyDescent="0.25">
      <c r="F3059" s="79"/>
      <c r="I3059" s="123"/>
    </row>
    <row r="3060" spans="6:9" x14ac:dyDescent="0.25">
      <c r="F3060" s="79"/>
      <c r="I3060" s="123"/>
    </row>
    <row r="3061" spans="6:9" x14ac:dyDescent="0.25">
      <c r="F3061" s="79"/>
      <c r="I3061" s="123"/>
    </row>
    <row r="3062" spans="6:9" x14ac:dyDescent="0.25">
      <c r="F3062" s="79"/>
      <c r="I3062" s="123"/>
    </row>
    <row r="3063" spans="6:9" x14ac:dyDescent="0.25">
      <c r="F3063" s="79"/>
      <c r="I3063" s="123"/>
    </row>
    <row r="3064" spans="6:9" x14ac:dyDescent="0.25">
      <c r="F3064" s="79"/>
      <c r="I3064" s="123"/>
    </row>
    <row r="3065" spans="6:9" x14ac:dyDescent="0.25">
      <c r="F3065" s="79"/>
      <c r="I3065" s="123"/>
    </row>
    <row r="3066" spans="6:9" x14ac:dyDescent="0.25">
      <c r="F3066" s="79"/>
      <c r="I3066" s="123"/>
    </row>
    <row r="3067" spans="6:9" x14ac:dyDescent="0.25">
      <c r="F3067" s="79"/>
      <c r="I3067" s="123"/>
    </row>
    <row r="3068" spans="6:9" x14ac:dyDescent="0.25">
      <c r="F3068" s="79"/>
      <c r="I3068" s="123"/>
    </row>
    <row r="3069" spans="6:9" x14ac:dyDescent="0.25">
      <c r="F3069" s="79"/>
      <c r="I3069" s="123"/>
    </row>
    <row r="3070" spans="6:9" x14ac:dyDescent="0.25">
      <c r="F3070" s="79"/>
      <c r="I3070" s="123"/>
    </row>
    <row r="3071" spans="6:9" x14ac:dyDescent="0.25">
      <c r="F3071" s="79"/>
      <c r="I3071" s="123"/>
    </row>
    <row r="3072" spans="6:9" x14ac:dyDescent="0.25">
      <c r="F3072" s="79"/>
      <c r="I3072" s="123"/>
    </row>
    <row r="3073" spans="3:9" x14ac:dyDescent="0.25">
      <c r="F3073" s="79"/>
      <c r="I3073" s="123"/>
    </row>
    <row r="3074" spans="3:9" x14ac:dyDescent="0.25">
      <c r="F3074" s="79"/>
      <c r="I3074" s="123"/>
    </row>
    <row r="3075" spans="3:9" x14ac:dyDescent="0.25">
      <c r="F3075" s="79"/>
      <c r="I3075" s="123"/>
    </row>
    <row r="3076" spans="3:9" x14ac:dyDescent="0.25">
      <c r="F3076" s="79"/>
      <c r="I3076" s="123"/>
    </row>
    <row r="3077" spans="3:9" x14ac:dyDescent="0.25">
      <c r="F3077" s="79"/>
      <c r="I3077" s="123"/>
    </row>
    <row r="3078" spans="3:9" x14ac:dyDescent="0.25">
      <c r="F3078" s="79"/>
      <c r="I3078" s="123"/>
    </row>
    <row r="3079" spans="3:9" x14ac:dyDescent="0.25">
      <c r="F3079" s="79"/>
      <c r="I3079" s="123"/>
    </row>
    <row r="3080" spans="3:9" x14ac:dyDescent="0.25">
      <c r="F3080" s="79"/>
      <c r="I3080" s="123"/>
    </row>
    <row r="3081" spans="3:9" x14ac:dyDescent="0.25">
      <c r="F3081" s="79"/>
      <c r="I3081" s="123"/>
    </row>
    <row r="3082" spans="3:9" x14ac:dyDescent="0.25">
      <c r="F3082" s="79"/>
      <c r="I3082" s="123"/>
    </row>
    <row r="3083" spans="3:9" x14ac:dyDescent="0.25">
      <c r="F3083" s="79"/>
      <c r="I3083" s="123"/>
    </row>
    <row r="3084" spans="3:9" x14ac:dyDescent="0.25">
      <c r="C3084" s="123"/>
      <c r="E3084" s="123"/>
      <c r="F3084" s="79"/>
      <c r="G3084" s="123"/>
      <c r="H3084" s="123"/>
      <c r="I3084" s="123"/>
    </row>
    <row r="3085" spans="3:9" x14ac:dyDescent="0.25">
      <c r="C3085" s="123"/>
      <c r="E3085" s="123"/>
      <c r="F3085" s="79"/>
      <c r="G3085" s="123"/>
      <c r="H3085" s="123"/>
      <c r="I3085" s="123"/>
    </row>
    <row r="3086" spans="3:9" x14ac:dyDescent="0.25">
      <c r="C3086" s="123"/>
      <c r="E3086" s="123"/>
      <c r="F3086" s="79"/>
      <c r="G3086" s="123"/>
      <c r="H3086" s="123"/>
      <c r="I3086" s="123"/>
    </row>
    <row r="3087" spans="3:9" x14ac:dyDescent="0.25">
      <c r="C3087" s="125"/>
      <c r="E3087" s="123"/>
      <c r="F3087" s="79"/>
      <c r="G3087" s="123"/>
      <c r="H3087" s="123"/>
      <c r="I3087" s="123"/>
    </row>
    <row r="3088" spans="3:9" x14ac:dyDescent="0.25">
      <c r="C3088" s="125"/>
      <c r="E3088" s="123"/>
      <c r="F3088" s="79"/>
      <c r="G3088" s="123"/>
      <c r="H3088" s="123"/>
      <c r="I3088" s="123"/>
    </row>
    <row r="3089" spans="3:9" x14ac:dyDescent="0.25">
      <c r="C3089" s="123"/>
      <c r="E3089" s="123"/>
      <c r="F3089" s="79"/>
      <c r="G3089" s="123"/>
      <c r="H3089" s="123"/>
      <c r="I3089" s="123"/>
    </row>
    <row r="3090" spans="3:9" x14ac:dyDescent="0.25">
      <c r="C3090" s="123"/>
      <c r="E3090" s="123"/>
      <c r="F3090" s="79"/>
      <c r="G3090" s="123"/>
      <c r="H3090" s="123"/>
      <c r="I3090" s="123"/>
    </row>
    <row r="3091" spans="3:9" x14ac:dyDescent="0.25">
      <c r="C3091" s="123"/>
      <c r="E3091" s="123"/>
      <c r="F3091" s="79"/>
      <c r="G3091" s="123"/>
      <c r="H3091" s="123"/>
      <c r="I3091" s="123"/>
    </row>
    <row r="3092" spans="3:9" x14ac:dyDescent="0.25">
      <c r="C3092" s="123"/>
      <c r="E3092" s="123"/>
      <c r="F3092" s="79"/>
      <c r="G3092" s="123"/>
      <c r="H3092" s="123"/>
      <c r="I3092" s="123"/>
    </row>
    <row r="3093" spans="3:9" x14ac:dyDescent="0.25">
      <c r="C3093" s="123"/>
      <c r="E3093" s="123"/>
      <c r="F3093" s="79"/>
      <c r="G3093" s="123"/>
      <c r="H3093" s="123"/>
      <c r="I3093" s="123"/>
    </row>
    <row r="3094" spans="3:9" x14ac:dyDescent="0.25">
      <c r="C3094" s="123"/>
      <c r="E3094" s="123"/>
      <c r="F3094" s="79"/>
      <c r="G3094" s="123"/>
      <c r="H3094" s="123"/>
      <c r="I3094" s="123"/>
    </row>
    <row r="3095" spans="3:9" x14ac:dyDescent="0.25">
      <c r="C3095" s="123"/>
      <c r="E3095" s="123"/>
      <c r="F3095" s="79"/>
      <c r="G3095" s="123"/>
      <c r="H3095" s="123"/>
      <c r="I3095" s="123"/>
    </row>
    <row r="3096" spans="3:9" x14ac:dyDescent="0.25">
      <c r="C3096" s="123"/>
      <c r="E3096" s="123"/>
      <c r="F3096" s="79"/>
      <c r="G3096" s="123"/>
      <c r="H3096" s="123"/>
      <c r="I3096" s="123"/>
    </row>
    <row r="3097" spans="3:9" x14ac:dyDescent="0.25">
      <c r="C3097" s="123"/>
      <c r="E3097" s="123"/>
      <c r="F3097" s="79"/>
      <c r="G3097" s="123"/>
      <c r="H3097" s="123"/>
      <c r="I3097" s="123"/>
    </row>
    <row r="3098" spans="3:9" x14ac:dyDescent="0.25">
      <c r="C3098" s="123"/>
      <c r="E3098" s="123"/>
      <c r="F3098" s="79"/>
      <c r="G3098" s="123"/>
      <c r="H3098" s="123"/>
      <c r="I3098" s="123"/>
    </row>
    <row r="3099" spans="3:9" x14ac:dyDescent="0.25">
      <c r="C3099" s="123"/>
      <c r="E3099" s="123"/>
      <c r="F3099" s="79"/>
      <c r="G3099" s="123"/>
      <c r="H3099" s="123"/>
      <c r="I3099" s="123"/>
    </row>
    <row r="3100" spans="3:9" x14ac:dyDescent="0.25">
      <c r="C3100" s="123"/>
      <c r="E3100" s="123"/>
      <c r="F3100" s="79"/>
      <c r="G3100" s="123"/>
      <c r="H3100" s="123"/>
      <c r="I3100" s="123"/>
    </row>
    <row r="3101" spans="3:9" x14ac:dyDescent="0.25">
      <c r="C3101" s="123"/>
      <c r="E3101" s="123"/>
      <c r="F3101" s="79"/>
      <c r="G3101" s="123"/>
      <c r="H3101" s="123"/>
      <c r="I3101" s="123"/>
    </row>
    <row r="3102" spans="3:9" x14ac:dyDescent="0.25">
      <c r="C3102" s="123"/>
      <c r="E3102" s="123"/>
      <c r="F3102" s="79"/>
      <c r="G3102" s="123"/>
      <c r="H3102" s="123"/>
      <c r="I3102" s="123"/>
    </row>
    <row r="3103" spans="3:9" x14ac:dyDescent="0.25">
      <c r="C3103" s="123"/>
      <c r="E3103" s="123"/>
      <c r="F3103" s="79"/>
      <c r="G3103" s="123"/>
      <c r="H3103" s="123"/>
      <c r="I3103" s="123"/>
    </row>
    <row r="3104" spans="3:9" x14ac:dyDescent="0.25">
      <c r="C3104" s="123"/>
      <c r="E3104" s="123"/>
      <c r="F3104" s="79"/>
      <c r="G3104" s="123"/>
      <c r="H3104" s="123"/>
      <c r="I3104" s="123"/>
    </row>
    <row r="3105" spans="3:9" x14ac:dyDescent="0.25">
      <c r="C3105" s="123"/>
      <c r="E3105" s="123"/>
      <c r="F3105" s="79"/>
      <c r="G3105" s="123"/>
      <c r="H3105" s="123"/>
      <c r="I3105" s="123"/>
    </row>
    <row r="3106" spans="3:9" x14ac:dyDescent="0.25">
      <c r="C3106" s="123"/>
      <c r="E3106" s="123"/>
      <c r="F3106" s="79"/>
      <c r="G3106" s="123"/>
      <c r="H3106" s="123"/>
      <c r="I3106" s="123"/>
    </row>
    <row r="3107" spans="3:9" x14ac:dyDescent="0.25">
      <c r="C3107" s="123"/>
      <c r="E3107" s="123"/>
      <c r="F3107" s="79"/>
      <c r="G3107" s="123"/>
      <c r="H3107" s="123"/>
      <c r="I3107" s="123"/>
    </row>
    <row r="3108" spans="3:9" x14ac:dyDescent="0.25">
      <c r="C3108" s="123"/>
      <c r="E3108" s="123"/>
      <c r="F3108" s="79"/>
      <c r="G3108" s="123"/>
      <c r="H3108" s="123"/>
      <c r="I3108" s="123"/>
    </row>
    <row r="3109" spans="3:9" x14ac:dyDescent="0.25">
      <c r="C3109" s="123"/>
      <c r="E3109" s="123"/>
      <c r="F3109" s="79"/>
      <c r="G3109" s="123"/>
      <c r="H3109" s="123"/>
      <c r="I3109" s="123"/>
    </row>
    <row r="3110" spans="3:9" x14ac:dyDescent="0.25">
      <c r="C3110" s="123"/>
      <c r="E3110" s="123"/>
      <c r="F3110" s="79"/>
      <c r="G3110" s="123"/>
      <c r="H3110" s="123"/>
      <c r="I3110" s="123"/>
    </row>
    <row r="3111" spans="3:9" x14ac:dyDescent="0.25">
      <c r="C3111" s="123"/>
      <c r="E3111" s="123"/>
      <c r="F3111" s="79"/>
      <c r="G3111" s="123"/>
      <c r="H3111" s="123"/>
      <c r="I3111" s="123"/>
    </row>
    <row r="3112" spans="3:9" x14ac:dyDescent="0.25">
      <c r="C3112" s="123"/>
      <c r="E3112" s="123"/>
      <c r="F3112" s="79"/>
      <c r="G3112" s="123"/>
      <c r="H3112" s="123"/>
      <c r="I3112" s="123"/>
    </row>
    <row r="3113" spans="3:9" x14ac:dyDescent="0.25">
      <c r="C3113" s="125"/>
      <c r="E3113" s="123"/>
      <c r="F3113" s="79"/>
      <c r="G3113" s="123"/>
      <c r="H3113" s="123"/>
      <c r="I3113" s="123"/>
    </row>
    <row r="3114" spans="3:9" x14ac:dyDescent="0.25">
      <c r="C3114" s="123"/>
      <c r="E3114" s="123"/>
      <c r="F3114" s="79"/>
      <c r="G3114" s="123"/>
      <c r="I3114" s="123"/>
    </row>
    <row r="3115" spans="3:9" x14ac:dyDescent="0.25">
      <c r="C3115" s="123"/>
      <c r="E3115" s="123"/>
      <c r="F3115" s="79"/>
      <c r="G3115" s="123"/>
      <c r="I3115" s="123"/>
    </row>
    <row r="3116" spans="3:9" x14ac:dyDescent="0.25">
      <c r="C3116" s="123"/>
      <c r="E3116" s="123"/>
      <c r="F3116" s="79"/>
      <c r="G3116" s="123"/>
      <c r="H3116" s="123"/>
      <c r="I3116" s="123"/>
    </row>
    <row r="3117" spans="3:9" x14ac:dyDescent="0.25">
      <c r="C3117" s="123"/>
      <c r="E3117" s="123"/>
      <c r="F3117" s="79"/>
      <c r="G3117" s="123"/>
      <c r="H3117" s="123"/>
      <c r="I3117" s="123"/>
    </row>
    <row r="3118" spans="3:9" x14ac:dyDescent="0.25">
      <c r="C3118" s="123"/>
      <c r="E3118" s="123"/>
      <c r="F3118" s="79"/>
      <c r="G3118" s="123"/>
      <c r="H3118" s="123"/>
      <c r="I3118" s="123"/>
    </row>
    <row r="3119" spans="3:9" x14ac:dyDescent="0.25">
      <c r="C3119" s="123"/>
      <c r="E3119" s="123"/>
      <c r="F3119" s="79"/>
      <c r="G3119" s="123"/>
      <c r="I3119" s="123"/>
    </row>
    <row r="3120" spans="3:9" x14ac:dyDescent="0.25">
      <c r="C3120" s="123"/>
      <c r="E3120" s="123"/>
      <c r="F3120" s="79"/>
      <c r="G3120" s="123"/>
      <c r="I3120" s="123"/>
    </row>
    <row r="3121" spans="1:9" x14ac:dyDescent="0.25">
      <c r="C3121" s="123"/>
      <c r="E3121" s="123"/>
      <c r="F3121" s="79"/>
      <c r="G3121" s="123"/>
      <c r="H3121" s="123"/>
      <c r="I3121" s="123"/>
    </row>
    <row r="3122" spans="1:9" x14ac:dyDescent="0.25">
      <c r="C3122" s="123"/>
      <c r="E3122" s="123"/>
      <c r="F3122" s="79"/>
      <c r="G3122" s="123"/>
      <c r="H3122" s="123"/>
      <c r="I3122" s="123"/>
    </row>
    <row r="3123" spans="1:9" x14ac:dyDescent="0.25">
      <c r="C3123" s="123"/>
      <c r="E3123" s="123"/>
      <c r="F3123" s="79"/>
      <c r="G3123" s="123"/>
      <c r="H3123" s="123"/>
      <c r="I3123" s="123"/>
    </row>
    <row r="3124" spans="1:9" x14ac:dyDescent="0.25">
      <c r="C3124" s="123"/>
      <c r="E3124" s="123"/>
      <c r="F3124" s="79"/>
      <c r="G3124" s="123"/>
      <c r="H3124" s="123"/>
      <c r="I3124" s="123"/>
    </row>
    <row r="3125" spans="1:9" x14ac:dyDescent="0.25">
      <c r="C3125" s="123"/>
      <c r="E3125" s="123"/>
      <c r="F3125" s="79"/>
      <c r="G3125" s="123"/>
      <c r="H3125" s="123"/>
      <c r="I3125" s="123"/>
    </row>
    <row r="3126" spans="1:9" x14ac:dyDescent="0.25">
      <c r="C3126" s="123"/>
      <c r="E3126" s="123"/>
      <c r="F3126" s="79"/>
      <c r="G3126" s="123"/>
      <c r="H3126" s="123"/>
      <c r="I3126" s="123"/>
    </row>
    <row r="3127" spans="1:9" x14ac:dyDescent="0.25">
      <c r="C3127" s="123"/>
      <c r="E3127" s="123"/>
      <c r="F3127" s="79"/>
      <c r="G3127" s="123"/>
      <c r="H3127" s="123"/>
      <c r="I3127" s="123"/>
    </row>
    <row r="3128" spans="1:9" x14ac:dyDescent="0.25">
      <c r="C3128" s="123"/>
      <c r="E3128" s="123"/>
      <c r="F3128" s="79"/>
      <c r="G3128" s="123"/>
      <c r="H3128" s="123"/>
      <c r="I3128" s="123"/>
    </row>
    <row r="3129" spans="1:9" x14ac:dyDescent="0.25">
      <c r="C3129" s="123"/>
      <c r="E3129" s="123"/>
      <c r="F3129" s="79"/>
      <c r="G3129" s="123"/>
      <c r="H3129" s="123"/>
      <c r="I3129" s="123"/>
    </row>
    <row r="3130" spans="1:9" x14ac:dyDescent="0.25">
      <c r="C3130" s="123"/>
      <c r="E3130" s="123"/>
      <c r="F3130" s="79"/>
      <c r="G3130" s="123"/>
      <c r="I3130" s="123"/>
    </row>
    <row r="3131" spans="1:9" x14ac:dyDescent="0.25">
      <c r="C3131" s="123"/>
      <c r="E3131" s="123"/>
      <c r="F3131" s="79"/>
      <c r="G3131" s="123"/>
      <c r="I3131" s="123"/>
    </row>
    <row r="3132" spans="1:9" x14ac:dyDescent="0.25">
      <c r="C3132" s="123"/>
      <c r="E3132" s="123"/>
      <c r="F3132" s="79"/>
      <c r="G3132" s="123"/>
      <c r="I3132" s="123"/>
    </row>
    <row r="3133" spans="1:9" x14ac:dyDescent="0.25">
      <c r="C3133" s="123"/>
      <c r="E3133" s="123"/>
      <c r="F3133" s="79"/>
      <c r="G3133" s="123"/>
      <c r="I3133" s="123"/>
    </row>
    <row r="3134" spans="1:9" x14ac:dyDescent="0.25">
      <c r="A3134" s="123"/>
      <c r="B3134" s="123"/>
      <c r="C3134" s="123"/>
      <c r="E3134" s="123"/>
      <c r="F3134" s="79"/>
      <c r="G3134" s="123"/>
      <c r="I3134" s="123"/>
    </row>
    <row r="3135" spans="1:9" x14ac:dyDescent="0.25">
      <c r="A3135" s="123"/>
      <c r="B3135" s="123"/>
      <c r="C3135" s="123"/>
      <c r="E3135" s="123"/>
      <c r="F3135" s="79"/>
      <c r="G3135" s="123"/>
      <c r="I3135" s="123"/>
    </row>
    <row r="3136" spans="1:9" x14ac:dyDescent="0.25">
      <c r="A3136" s="123"/>
      <c r="B3136" s="123"/>
      <c r="C3136" s="123"/>
      <c r="E3136" s="123"/>
      <c r="F3136" s="79"/>
      <c r="G3136" s="123"/>
      <c r="I3136" s="123"/>
    </row>
    <row r="3137" spans="1:9" x14ac:dyDescent="0.25">
      <c r="A3137" s="123"/>
      <c r="B3137" s="123"/>
      <c r="C3137" s="123"/>
      <c r="E3137" s="123"/>
      <c r="F3137" s="79"/>
      <c r="G3137" s="123"/>
      <c r="I3137" s="123"/>
    </row>
    <row r="3138" spans="1:9" x14ac:dyDescent="0.25">
      <c r="A3138" s="123"/>
      <c r="B3138" s="123"/>
      <c r="C3138" s="123"/>
      <c r="E3138" s="123"/>
      <c r="F3138" s="79"/>
      <c r="G3138" s="123"/>
      <c r="I3138" s="123"/>
    </row>
    <row r="3139" spans="1:9" x14ac:dyDescent="0.25">
      <c r="A3139" s="123"/>
      <c r="B3139" s="123"/>
      <c r="C3139" s="122"/>
      <c r="D3139" s="146"/>
      <c r="E3139" s="147"/>
      <c r="F3139" s="122"/>
      <c r="G3139" s="122"/>
      <c r="H3139" s="122"/>
      <c r="I3139" s="123"/>
    </row>
    <row r="3140" spans="1:9" x14ac:dyDescent="0.25">
      <c r="A3140" s="123"/>
      <c r="B3140" s="123"/>
      <c r="C3140" s="122"/>
      <c r="D3140" s="146"/>
      <c r="E3140" s="147"/>
      <c r="F3140" s="122"/>
      <c r="G3140" s="122"/>
      <c r="H3140" s="122"/>
      <c r="I3140" s="123"/>
    </row>
    <row r="3141" spans="1:9" x14ac:dyDescent="0.25">
      <c r="A3141" s="123"/>
      <c r="B3141" s="123"/>
      <c r="C3141" s="122"/>
      <c r="D3141" s="146"/>
      <c r="E3141" s="147"/>
      <c r="F3141" s="122"/>
      <c r="G3141" s="122"/>
      <c r="H3141" s="122"/>
      <c r="I3141" s="123"/>
    </row>
    <row r="3142" spans="1:9" x14ac:dyDescent="0.25">
      <c r="A3142" s="123"/>
      <c r="B3142" s="123"/>
      <c r="C3142" s="122"/>
      <c r="D3142" s="146"/>
      <c r="E3142" s="147"/>
      <c r="F3142" s="122"/>
      <c r="G3142" s="122"/>
      <c r="H3142" s="122"/>
      <c r="I3142" s="123"/>
    </row>
    <row r="3143" spans="1:9" x14ac:dyDescent="0.25">
      <c r="A3143" s="123"/>
      <c r="B3143" s="123"/>
      <c r="C3143" s="122"/>
      <c r="D3143" s="146"/>
      <c r="E3143" s="147"/>
      <c r="F3143" s="122"/>
      <c r="G3143" s="122"/>
      <c r="H3143" s="122"/>
      <c r="I3143" s="123"/>
    </row>
    <row r="3144" spans="1:9" x14ac:dyDescent="0.25">
      <c r="A3144" s="123"/>
      <c r="B3144" s="123"/>
      <c r="C3144" s="122"/>
      <c r="D3144" s="146"/>
      <c r="E3144" s="147"/>
      <c r="F3144" s="122"/>
      <c r="G3144" s="122"/>
      <c r="H3144" s="122"/>
      <c r="I3144" s="123"/>
    </row>
    <row r="3145" spans="1:9" x14ac:dyDescent="0.25">
      <c r="A3145" s="123"/>
      <c r="B3145" s="123"/>
      <c r="C3145" s="148"/>
      <c r="D3145" s="149"/>
      <c r="E3145" s="150"/>
      <c r="F3145" s="119"/>
      <c r="G3145" s="119"/>
      <c r="H3145" s="158"/>
      <c r="I3145" s="123"/>
    </row>
    <row r="3146" spans="1:9" x14ac:dyDescent="0.25">
      <c r="A3146" s="123"/>
      <c r="B3146" s="123"/>
      <c r="C3146" s="148"/>
      <c r="D3146" s="151"/>
      <c r="E3146" s="150"/>
      <c r="F3146" s="152"/>
      <c r="G3146" s="159"/>
      <c r="H3146" s="152"/>
      <c r="I3146" s="123"/>
    </row>
    <row r="3147" spans="1:9" x14ac:dyDescent="0.25">
      <c r="A3147" s="123"/>
      <c r="B3147" s="123"/>
      <c r="C3147" s="153"/>
      <c r="D3147" s="149"/>
      <c r="E3147" s="154"/>
      <c r="F3147" s="119"/>
      <c r="G3147" s="119"/>
      <c r="H3147" s="119"/>
      <c r="I3147" s="123"/>
    </row>
    <row r="3148" spans="1:9" x14ac:dyDescent="0.25">
      <c r="A3148" s="123"/>
      <c r="B3148" s="123"/>
      <c r="C3148" s="153"/>
      <c r="D3148" s="149"/>
      <c r="E3148" s="150"/>
      <c r="F3148" s="119"/>
      <c r="G3148" s="119"/>
      <c r="H3148" s="119"/>
      <c r="I3148" s="123"/>
    </row>
    <row r="3149" spans="1:9" x14ac:dyDescent="0.25">
      <c r="A3149" s="123"/>
      <c r="B3149" s="123"/>
      <c r="C3149" s="155"/>
      <c r="D3149" s="156"/>
      <c r="E3149" s="157"/>
      <c r="F3149" s="122"/>
      <c r="G3149" s="122"/>
      <c r="H3149" s="122"/>
      <c r="I3149" s="123"/>
    </row>
    <row r="3150" spans="1:9" x14ac:dyDescent="0.25">
      <c r="A3150" s="123"/>
      <c r="B3150" s="123"/>
      <c r="C3150" s="155"/>
      <c r="D3150" s="156"/>
      <c r="E3150" s="157"/>
      <c r="F3150" s="122"/>
      <c r="G3150" s="122"/>
      <c r="H3150" s="122"/>
      <c r="I3150" s="123"/>
    </row>
    <row r="3151" spans="1:9" x14ac:dyDescent="0.25">
      <c r="A3151" s="123"/>
      <c r="B3151" s="123"/>
      <c r="C3151" s="155"/>
      <c r="D3151" s="156"/>
      <c r="E3151" s="157"/>
      <c r="F3151" s="122"/>
      <c r="G3151" s="122"/>
      <c r="H3151" s="122"/>
      <c r="I3151" s="123"/>
    </row>
    <row r="3152" spans="1:9" x14ac:dyDescent="0.25">
      <c r="A3152" s="123"/>
      <c r="B3152" s="123"/>
      <c r="C3152" s="155"/>
      <c r="D3152" s="156"/>
      <c r="E3152" s="157"/>
      <c r="F3152" s="122"/>
      <c r="G3152" s="122"/>
      <c r="H3152" s="122"/>
      <c r="I3152" s="123"/>
    </row>
    <row r="3153" spans="1:9" x14ac:dyDescent="0.25">
      <c r="A3153" s="123"/>
      <c r="B3153" s="123"/>
      <c r="C3153" s="155"/>
      <c r="D3153" s="156"/>
      <c r="E3153" s="157"/>
      <c r="F3153" s="122"/>
      <c r="G3153" s="122"/>
      <c r="H3153" s="122"/>
      <c r="I3153" s="123"/>
    </row>
    <row r="3154" spans="1:9" x14ac:dyDescent="0.25">
      <c r="A3154" s="123"/>
      <c r="B3154" s="123"/>
      <c r="C3154" s="155"/>
      <c r="D3154" s="156"/>
      <c r="E3154" s="157"/>
      <c r="F3154" s="122"/>
      <c r="G3154" s="122"/>
      <c r="H3154" s="122"/>
      <c r="I3154" s="123"/>
    </row>
    <row r="3155" spans="1:9" x14ac:dyDescent="0.25">
      <c r="A3155" s="123"/>
      <c r="B3155" s="123"/>
      <c r="C3155" s="155"/>
      <c r="D3155" s="156"/>
      <c r="E3155" s="157"/>
      <c r="F3155" s="122"/>
      <c r="G3155" s="122"/>
      <c r="H3155" s="122"/>
      <c r="I3155" s="123"/>
    </row>
    <row r="3156" spans="1:9" x14ac:dyDescent="0.25">
      <c r="A3156" s="123"/>
      <c r="B3156" s="123"/>
      <c r="C3156" s="155"/>
      <c r="D3156" s="156"/>
      <c r="E3156" s="157"/>
      <c r="F3156" s="122"/>
      <c r="G3156" s="122"/>
      <c r="H3156" s="122"/>
      <c r="I3156" s="123"/>
    </row>
    <row r="3157" spans="1:9" x14ac:dyDescent="0.25">
      <c r="A3157" s="123"/>
      <c r="B3157" s="123"/>
      <c r="C3157" s="155"/>
      <c r="D3157" s="156"/>
      <c r="E3157" s="157"/>
      <c r="F3157" s="122"/>
      <c r="G3157" s="122"/>
      <c r="H3157" s="122"/>
      <c r="I3157" s="123"/>
    </row>
    <row r="3158" spans="1:9" x14ac:dyDescent="0.25">
      <c r="A3158" s="123"/>
      <c r="B3158" s="123"/>
      <c r="C3158" s="155"/>
      <c r="D3158" s="156"/>
      <c r="E3158" s="157"/>
      <c r="F3158" s="122"/>
      <c r="G3158" s="122"/>
      <c r="H3158" s="122"/>
      <c r="I3158" s="123"/>
    </row>
    <row r="3159" spans="1:9" x14ac:dyDescent="0.25">
      <c r="A3159" s="123"/>
      <c r="B3159" s="123"/>
      <c r="C3159" s="122"/>
      <c r="D3159" s="146"/>
      <c r="E3159" s="147"/>
      <c r="F3159" s="122"/>
      <c r="G3159" s="122"/>
      <c r="H3159" s="122"/>
      <c r="I3159" s="123"/>
    </row>
    <row r="3160" spans="1:9" x14ac:dyDescent="0.25">
      <c r="A3160" s="123"/>
      <c r="B3160" s="123"/>
      <c r="C3160" s="155"/>
      <c r="D3160" s="156"/>
      <c r="E3160" s="157"/>
      <c r="F3160" s="122"/>
      <c r="G3160" s="122"/>
      <c r="H3160" s="122"/>
      <c r="I3160" s="123"/>
    </row>
    <row r="3161" spans="1:9" x14ac:dyDescent="0.25">
      <c r="A3161" s="123"/>
      <c r="B3161" s="123"/>
      <c r="C3161" s="155"/>
      <c r="D3161" s="156"/>
      <c r="E3161" s="157"/>
      <c r="F3161" s="122"/>
      <c r="G3161" s="122"/>
      <c r="H3161" s="122"/>
      <c r="I3161" s="123"/>
    </row>
    <row r="3162" spans="1:9" x14ac:dyDescent="0.25">
      <c r="A3162" s="123"/>
      <c r="B3162" s="123"/>
      <c r="C3162" s="155"/>
      <c r="D3162" s="156"/>
      <c r="E3162" s="157"/>
      <c r="F3162" s="122"/>
      <c r="G3162" s="122"/>
      <c r="H3162" s="122"/>
      <c r="I3162" s="123"/>
    </row>
    <row r="3163" spans="1:9" x14ac:dyDescent="0.25">
      <c r="A3163" s="123"/>
      <c r="B3163" s="123"/>
      <c r="C3163" s="155"/>
      <c r="D3163" s="156"/>
      <c r="E3163" s="157"/>
      <c r="F3163" s="122"/>
      <c r="G3163" s="122"/>
      <c r="H3163" s="122"/>
      <c r="I3163" s="123"/>
    </row>
    <row r="3164" spans="1:9" x14ac:dyDescent="0.25">
      <c r="A3164" s="123"/>
      <c r="B3164" s="123"/>
      <c r="C3164" s="155"/>
      <c r="D3164" s="156"/>
      <c r="E3164" s="157"/>
      <c r="F3164" s="122"/>
      <c r="G3164" s="122"/>
      <c r="H3164" s="122"/>
      <c r="I3164" s="123"/>
    </row>
    <row r="3165" spans="1:9" x14ac:dyDescent="0.25">
      <c r="A3165" s="123"/>
      <c r="B3165" s="123"/>
      <c r="C3165" s="122"/>
      <c r="D3165" s="146"/>
      <c r="E3165" s="147"/>
      <c r="F3165" s="122"/>
      <c r="G3165" s="122"/>
      <c r="H3165" s="122"/>
      <c r="I3165" s="123"/>
    </row>
    <row r="3166" spans="1:9" x14ac:dyDescent="0.25">
      <c r="A3166" s="123"/>
      <c r="B3166" s="123"/>
      <c r="C3166" s="122"/>
      <c r="D3166" s="146"/>
      <c r="E3166" s="147"/>
      <c r="F3166" s="122"/>
      <c r="G3166" s="122"/>
      <c r="H3166" s="122"/>
      <c r="I3166" s="123"/>
    </row>
    <row r="3167" spans="1:9" x14ac:dyDescent="0.25">
      <c r="A3167" s="123"/>
      <c r="B3167" s="123"/>
      <c r="C3167" s="122"/>
      <c r="D3167" s="146"/>
      <c r="E3167" s="147"/>
      <c r="F3167" s="122"/>
      <c r="G3167" s="122"/>
      <c r="H3167" s="122"/>
      <c r="I3167" s="123"/>
    </row>
    <row r="3168" spans="1:9" x14ac:dyDescent="0.25">
      <c r="A3168" s="123"/>
      <c r="B3168" s="123"/>
      <c r="C3168" s="122"/>
      <c r="D3168" s="146"/>
      <c r="E3168" s="147"/>
      <c r="F3168" s="122"/>
      <c r="G3168" s="122"/>
      <c r="H3168" s="122"/>
      <c r="I3168" s="123"/>
    </row>
    <row r="3169" spans="1:9" x14ac:dyDescent="0.25">
      <c r="A3169" s="123"/>
      <c r="B3169" s="123"/>
      <c r="C3169" s="122"/>
      <c r="D3169" s="146"/>
      <c r="E3169" s="147"/>
      <c r="F3169" s="122"/>
      <c r="G3169" s="122"/>
      <c r="H3169" s="122"/>
      <c r="I3169" s="123"/>
    </row>
    <row r="3170" spans="1:9" x14ac:dyDescent="0.25">
      <c r="A3170" s="123"/>
      <c r="B3170" s="123"/>
      <c r="C3170" s="122"/>
      <c r="D3170" s="146"/>
      <c r="E3170" s="147"/>
      <c r="F3170" s="122"/>
      <c r="G3170" s="122"/>
      <c r="H3170" s="122"/>
      <c r="I3170" s="123"/>
    </row>
    <row r="3171" spans="1:9" x14ac:dyDescent="0.25">
      <c r="A3171" s="123"/>
      <c r="B3171" s="123"/>
      <c r="C3171" s="122"/>
      <c r="D3171" s="146"/>
      <c r="E3171" s="147"/>
      <c r="F3171" s="122"/>
      <c r="G3171" s="122"/>
      <c r="H3171" s="122"/>
      <c r="I3171" s="123"/>
    </row>
    <row r="3172" spans="1:9" x14ac:dyDescent="0.25">
      <c r="A3172" s="123"/>
      <c r="B3172" s="123"/>
      <c r="C3172" s="122"/>
      <c r="D3172" s="146"/>
      <c r="E3172" s="147"/>
      <c r="F3172" s="122"/>
      <c r="G3172" s="122"/>
      <c r="H3172" s="122"/>
      <c r="I3172" s="123"/>
    </row>
    <row r="3173" spans="1:9" x14ac:dyDescent="0.25">
      <c r="A3173" s="123"/>
      <c r="B3173" s="123"/>
      <c r="C3173" s="122"/>
      <c r="D3173" s="146"/>
      <c r="E3173" s="147"/>
      <c r="F3173" s="122"/>
      <c r="G3173" s="122"/>
      <c r="H3173" s="122"/>
      <c r="I3173" s="123"/>
    </row>
    <row r="3174" spans="1:9" x14ac:dyDescent="0.25">
      <c r="A3174" s="123"/>
      <c r="B3174" s="123"/>
      <c r="C3174" s="122"/>
      <c r="D3174" s="146"/>
      <c r="E3174" s="147"/>
      <c r="F3174" s="122"/>
      <c r="G3174" s="122"/>
      <c r="H3174" s="122"/>
      <c r="I3174" s="123"/>
    </row>
    <row r="3175" spans="1:9" x14ac:dyDescent="0.25">
      <c r="A3175" s="123"/>
      <c r="B3175" s="123"/>
      <c r="C3175" s="122"/>
      <c r="D3175" s="146"/>
      <c r="E3175" s="147"/>
      <c r="F3175" s="122"/>
      <c r="G3175" s="122"/>
      <c r="H3175" s="122"/>
      <c r="I3175" s="123"/>
    </row>
    <row r="3176" spans="1:9" x14ac:dyDescent="0.25">
      <c r="A3176" s="123"/>
      <c r="B3176" s="123"/>
      <c r="C3176" s="122"/>
      <c r="D3176" s="146"/>
      <c r="E3176" s="147"/>
      <c r="F3176" s="122"/>
      <c r="G3176" s="122"/>
      <c r="H3176" s="122"/>
      <c r="I3176" s="123"/>
    </row>
    <row r="3177" spans="1:9" x14ac:dyDescent="0.25">
      <c r="A3177" s="123"/>
      <c r="B3177" s="123"/>
      <c r="C3177" s="122"/>
      <c r="D3177" s="146"/>
      <c r="E3177" s="147"/>
      <c r="F3177" s="122"/>
      <c r="G3177" s="122"/>
      <c r="H3177" s="122"/>
      <c r="I3177" s="123"/>
    </row>
    <row r="3178" spans="1:9" x14ac:dyDescent="0.25">
      <c r="A3178" s="123"/>
      <c r="B3178" s="123"/>
      <c r="C3178" s="122"/>
      <c r="D3178" s="146"/>
      <c r="E3178" s="147"/>
      <c r="F3178" s="122"/>
      <c r="G3178" s="122"/>
      <c r="H3178" s="122"/>
      <c r="I3178" s="123"/>
    </row>
    <row r="3179" spans="1:9" x14ac:dyDescent="0.25">
      <c r="A3179" s="123"/>
      <c r="B3179" s="123"/>
      <c r="C3179" s="122"/>
      <c r="D3179" s="146"/>
      <c r="E3179" s="147"/>
      <c r="F3179" s="122"/>
      <c r="G3179" s="122"/>
      <c r="H3179" s="122"/>
      <c r="I3179" s="123"/>
    </row>
    <row r="3180" spans="1:9" x14ac:dyDescent="0.25">
      <c r="A3180" s="123"/>
      <c r="B3180" s="123"/>
      <c r="C3180" s="122"/>
      <c r="D3180" s="146"/>
      <c r="E3180" s="147"/>
      <c r="F3180" s="122"/>
      <c r="G3180" s="122"/>
      <c r="H3180" s="122"/>
      <c r="I3180" s="123"/>
    </row>
    <row r="3181" spans="1:9" x14ac:dyDescent="0.25">
      <c r="A3181" s="123"/>
      <c r="B3181" s="123"/>
      <c r="C3181" s="122"/>
      <c r="D3181" s="146"/>
      <c r="E3181" s="147"/>
      <c r="F3181" s="122"/>
      <c r="G3181" s="122"/>
      <c r="H3181" s="122"/>
      <c r="I3181" s="123"/>
    </row>
    <row r="3182" spans="1:9" x14ac:dyDescent="0.25">
      <c r="A3182" s="123"/>
      <c r="B3182" s="123"/>
      <c r="C3182" s="122"/>
      <c r="D3182" s="146"/>
      <c r="E3182" s="147"/>
      <c r="F3182" s="122"/>
      <c r="G3182" s="122"/>
      <c r="H3182" s="122"/>
      <c r="I3182" s="123"/>
    </row>
    <row r="3183" spans="1:9" x14ac:dyDescent="0.25">
      <c r="A3183" s="123"/>
      <c r="B3183" s="123"/>
      <c r="C3183" s="122"/>
      <c r="D3183" s="146"/>
      <c r="E3183" s="147"/>
      <c r="F3183" s="122"/>
      <c r="G3183" s="122"/>
      <c r="H3183" s="122"/>
      <c r="I3183" s="123"/>
    </row>
    <row r="3184" spans="1:9" x14ac:dyDescent="0.25">
      <c r="A3184" s="123"/>
      <c r="B3184" s="123"/>
      <c r="C3184" s="122"/>
      <c r="D3184" s="146"/>
      <c r="E3184" s="147"/>
      <c r="F3184" s="122"/>
      <c r="G3184" s="122"/>
      <c r="H3184" s="122"/>
      <c r="I3184" s="123"/>
    </row>
    <row r="3185" spans="1:9" x14ac:dyDescent="0.25">
      <c r="A3185" s="123"/>
      <c r="B3185" s="123"/>
      <c r="C3185" s="122"/>
      <c r="D3185" s="146"/>
      <c r="E3185" s="147"/>
      <c r="F3185" s="122"/>
      <c r="G3185" s="122"/>
      <c r="H3185" s="122"/>
      <c r="I3185" s="123"/>
    </row>
    <row r="3186" spans="1:9" x14ac:dyDescent="0.25">
      <c r="A3186" s="123"/>
      <c r="B3186" s="123"/>
      <c r="C3186" s="122"/>
      <c r="D3186" s="146"/>
      <c r="E3186" s="147"/>
      <c r="F3186" s="122"/>
      <c r="G3186" s="122"/>
      <c r="H3186" s="122"/>
      <c r="I3186" s="123"/>
    </row>
    <row r="3187" spans="1:9" x14ac:dyDescent="0.25">
      <c r="A3187" s="123"/>
      <c r="B3187" s="123"/>
      <c r="C3187" s="122"/>
      <c r="D3187" s="146"/>
      <c r="E3187" s="147"/>
      <c r="F3187" s="122"/>
      <c r="G3187" s="122"/>
      <c r="H3187" s="122"/>
      <c r="I3187" s="123"/>
    </row>
    <row r="3188" spans="1:9" x14ac:dyDescent="0.25">
      <c r="A3188" s="123"/>
      <c r="B3188" s="123"/>
      <c r="C3188" s="122"/>
      <c r="D3188" s="146"/>
      <c r="E3188" s="147"/>
      <c r="F3188" s="122"/>
      <c r="G3188" s="122"/>
      <c r="H3188" s="122"/>
      <c r="I3188" s="123"/>
    </row>
    <row r="3189" spans="1:9" x14ac:dyDescent="0.25">
      <c r="A3189" s="123"/>
      <c r="B3189" s="123"/>
      <c r="C3189" s="122"/>
      <c r="D3189" s="146"/>
      <c r="E3189" s="147"/>
      <c r="F3189" s="122"/>
      <c r="G3189" s="122"/>
      <c r="H3189" s="122"/>
      <c r="I3189" s="123"/>
    </row>
    <row r="3190" spans="1:9" x14ac:dyDescent="0.25">
      <c r="A3190" s="123"/>
      <c r="B3190" s="123"/>
      <c r="C3190" s="122"/>
      <c r="D3190" s="146"/>
      <c r="E3190" s="147"/>
      <c r="F3190" s="122"/>
      <c r="G3190" s="122"/>
      <c r="H3190" s="122"/>
      <c r="I3190" s="123"/>
    </row>
    <row r="3191" spans="1:9" x14ac:dyDescent="0.25">
      <c r="A3191" s="123"/>
      <c r="B3191" s="123"/>
      <c r="C3191" s="122"/>
      <c r="D3191" s="146"/>
      <c r="E3191" s="147"/>
      <c r="F3191" s="122"/>
      <c r="G3191" s="122"/>
      <c r="H3191" s="122"/>
      <c r="I3191" s="123"/>
    </row>
    <row r="3192" spans="1:9" x14ac:dyDescent="0.25">
      <c r="A3192" s="123"/>
      <c r="B3192" s="123"/>
      <c r="C3192" s="122"/>
      <c r="D3192" s="146"/>
      <c r="E3192" s="147"/>
      <c r="F3192" s="122"/>
      <c r="G3192" s="122"/>
      <c r="H3192" s="122"/>
      <c r="I3192" s="123"/>
    </row>
    <row r="3193" spans="1:9" x14ac:dyDescent="0.25">
      <c r="A3193" s="123"/>
      <c r="B3193" s="123"/>
      <c r="C3193" s="122"/>
      <c r="D3193" s="146"/>
      <c r="E3193" s="147"/>
      <c r="F3193" s="122"/>
      <c r="G3193" s="122"/>
      <c r="H3193" s="122"/>
      <c r="I3193" s="123"/>
    </row>
    <row r="3194" spans="1:9" x14ac:dyDescent="0.25">
      <c r="A3194" s="123"/>
      <c r="B3194" s="123"/>
      <c r="C3194" s="122"/>
      <c r="D3194" s="146"/>
      <c r="E3194" s="147"/>
      <c r="F3194" s="122"/>
      <c r="G3194" s="122"/>
      <c r="H3194" s="122"/>
      <c r="I3194" s="123"/>
    </row>
    <row r="3195" spans="1:9" x14ac:dyDescent="0.25">
      <c r="A3195" s="123"/>
      <c r="B3195" s="123"/>
      <c r="C3195" s="122"/>
      <c r="D3195" s="146"/>
      <c r="E3195" s="147"/>
      <c r="F3195" s="122"/>
      <c r="G3195" s="122"/>
      <c r="H3195" s="122"/>
      <c r="I3195" s="123"/>
    </row>
    <row r="3196" spans="1:9" x14ac:dyDescent="0.25">
      <c r="A3196" s="123"/>
      <c r="B3196" s="123"/>
      <c r="C3196" s="122"/>
      <c r="D3196" s="146"/>
      <c r="E3196" s="147"/>
      <c r="F3196" s="122"/>
      <c r="G3196" s="122"/>
      <c r="H3196" s="122"/>
      <c r="I3196" s="123"/>
    </row>
    <row r="3197" spans="1:9" x14ac:dyDescent="0.25">
      <c r="B3197" s="123"/>
      <c r="F3197" s="79"/>
      <c r="I3197" s="123"/>
    </row>
    <row r="3198" spans="1:9" x14ac:dyDescent="0.25">
      <c r="B3198" s="123"/>
      <c r="F3198" s="79"/>
      <c r="I3198" s="123"/>
    </row>
    <row r="3199" spans="1:9" x14ac:dyDescent="0.25">
      <c r="B3199" s="123"/>
      <c r="F3199" s="79"/>
      <c r="I3199" s="123"/>
    </row>
    <row r="3200" spans="1:9" x14ac:dyDescent="0.25">
      <c r="B3200" s="123"/>
      <c r="F3200" s="79"/>
      <c r="I3200" s="123"/>
    </row>
    <row r="3201" spans="2:9" x14ac:dyDescent="0.25">
      <c r="B3201" s="123"/>
      <c r="F3201" s="79"/>
      <c r="I3201" s="123"/>
    </row>
    <row r="3202" spans="2:9" x14ac:dyDescent="0.25">
      <c r="B3202" s="123"/>
      <c r="F3202" s="79"/>
      <c r="I3202" s="123"/>
    </row>
    <row r="3203" spans="2:9" x14ac:dyDescent="0.25">
      <c r="B3203" s="123"/>
      <c r="F3203" s="79"/>
      <c r="I3203" s="123"/>
    </row>
    <row r="3204" spans="2:9" x14ac:dyDescent="0.25">
      <c r="B3204" s="123"/>
      <c r="F3204" s="79"/>
      <c r="I3204" s="123"/>
    </row>
    <row r="3205" spans="2:9" x14ac:dyDescent="0.25">
      <c r="B3205" s="123"/>
      <c r="F3205" s="79"/>
      <c r="I3205" s="123"/>
    </row>
    <row r="3206" spans="2:9" x14ac:dyDescent="0.25">
      <c r="B3206" s="123"/>
      <c r="F3206" s="79"/>
      <c r="I3206" s="123"/>
    </row>
    <row r="3207" spans="2:9" x14ac:dyDescent="0.25">
      <c r="B3207" s="123"/>
      <c r="F3207" s="79"/>
      <c r="I3207" s="123"/>
    </row>
    <row r="3208" spans="2:9" x14ac:dyDescent="0.25">
      <c r="B3208" s="123"/>
      <c r="F3208" s="79"/>
      <c r="I3208" s="123"/>
    </row>
    <row r="3209" spans="2:9" x14ac:dyDescent="0.25">
      <c r="B3209" s="123"/>
      <c r="F3209" s="79"/>
      <c r="I3209" s="123"/>
    </row>
    <row r="3210" spans="2:9" x14ac:dyDescent="0.25">
      <c r="B3210" s="123"/>
      <c r="F3210" s="79"/>
      <c r="I3210" s="123"/>
    </row>
    <row r="3211" spans="2:9" x14ac:dyDescent="0.25">
      <c r="B3211" s="123"/>
      <c r="F3211" s="79"/>
      <c r="I3211" s="123"/>
    </row>
    <row r="3212" spans="2:9" x14ac:dyDescent="0.25">
      <c r="B3212" s="123"/>
      <c r="F3212" s="79"/>
      <c r="I3212" s="123"/>
    </row>
    <row r="3213" spans="2:9" x14ac:dyDescent="0.25">
      <c r="B3213" s="123"/>
      <c r="F3213" s="79"/>
      <c r="I3213" s="123"/>
    </row>
    <row r="3214" spans="2:9" x14ac:dyDescent="0.25">
      <c r="B3214" s="123"/>
      <c r="F3214" s="79"/>
      <c r="I3214" s="123"/>
    </row>
    <row r="3215" spans="2:9" x14ac:dyDescent="0.25">
      <c r="B3215" s="123"/>
      <c r="F3215" s="79"/>
      <c r="I3215" s="123"/>
    </row>
    <row r="3216" spans="2:9" x14ac:dyDescent="0.25">
      <c r="B3216" s="123"/>
      <c r="F3216" s="79"/>
      <c r="I3216" s="123"/>
    </row>
    <row r="3217" spans="2:9" x14ac:dyDescent="0.25">
      <c r="B3217" s="123"/>
      <c r="F3217" s="79"/>
      <c r="I3217" s="123"/>
    </row>
    <row r="3218" spans="2:9" x14ac:dyDescent="0.25">
      <c r="B3218" s="123"/>
      <c r="F3218" s="79"/>
      <c r="I3218" s="123"/>
    </row>
    <row r="3219" spans="2:9" x14ac:dyDescent="0.25">
      <c r="B3219" s="123"/>
      <c r="F3219" s="79"/>
      <c r="I3219" s="123"/>
    </row>
    <row r="3220" spans="2:9" x14ac:dyDescent="0.25">
      <c r="B3220" s="123"/>
      <c r="F3220" s="79"/>
      <c r="I3220" s="123"/>
    </row>
    <row r="3221" spans="2:9" x14ac:dyDescent="0.25">
      <c r="B3221" s="123"/>
      <c r="F3221" s="79"/>
      <c r="I3221" s="123"/>
    </row>
    <row r="3222" spans="2:9" x14ac:dyDescent="0.25">
      <c r="B3222" s="123"/>
      <c r="F3222" s="79"/>
      <c r="I3222" s="123"/>
    </row>
    <row r="3223" spans="2:9" x14ac:dyDescent="0.25">
      <c r="B3223" s="123"/>
      <c r="F3223" s="79"/>
      <c r="I3223" s="123"/>
    </row>
    <row r="3224" spans="2:9" x14ac:dyDescent="0.25">
      <c r="B3224" s="123"/>
      <c r="F3224" s="79"/>
      <c r="I3224" s="123"/>
    </row>
    <row r="3225" spans="2:9" x14ac:dyDescent="0.25">
      <c r="B3225" s="123"/>
      <c r="F3225" s="79"/>
      <c r="I3225" s="123"/>
    </row>
    <row r="3226" spans="2:9" x14ac:dyDescent="0.25">
      <c r="B3226" s="123"/>
      <c r="F3226" s="79"/>
      <c r="I3226" s="123"/>
    </row>
    <row r="3227" spans="2:9" x14ac:dyDescent="0.25">
      <c r="B3227" s="123"/>
      <c r="F3227" s="79"/>
      <c r="I3227" s="123"/>
    </row>
    <row r="3228" spans="2:9" x14ac:dyDescent="0.25">
      <c r="B3228" s="123"/>
      <c r="F3228" s="79"/>
      <c r="I3228" s="123"/>
    </row>
    <row r="3229" spans="2:9" x14ac:dyDescent="0.25">
      <c r="B3229" s="123"/>
      <c r="F3229" s="79"/>
      <c r="I3229" s="123"/>
    </row>
    <row r="3230" spans="2:9" x14ac:dyDescent="0.25">
      <c r="B3230" s="123"/>
      <c r="F3230" s="79"/>
      <c r="I3230" s="123"/>
    </row>
    <row r="3231" spans="2:9" x14ac:dyDescent="0.25">
      <c r="B3231" s="123"/>
      <c r="F3231" s="79"/>
      <c r="I3231" s="123"/>
    </row>
    <row r="3232" spans="2:9" x14ac:dyDescent="0.25">
      <c r="B3232" s="123"/>
      <c r="F3232" s="79"/>
      <c r="I3232" s="123"/>
    </row>
    <row r="3233" spans="2:9" x14ac:dyDescent="0.25">
      <c r="B3233" s="123"/>
      <c r="F3233" s="79"/>
      <c r="I3233" s="123"/>
    </row>
    <row r="3234" spans="2:9" x14ac:dyDescent="0.25">
      <c r="B3234" s="123"/>
      <c r="F3234" s="79"/>
      <c r="I3234" s="123"/>
    </row>
    <row r="3235" spans="2:9" x14ac:dyDescent="0.25">
      <c r="B3235" s="123"/>
      <c r="F3235" s="79"/>
      <c r="I3235" s="123"/>
    </row>
    <row r="3236" spans="2:9" x14ac:dyDescent="0.25">
      <c r="B3236" s="123"/>
      <c r="F3236" s="79"/>
      <c r="I3236" s="123"/>
    </row>
    <row r="3237" spans="2:9" x14ac:dyDescent="0.25">
      <c r="B3237" s="123"/>
      <c r="F3237" s="79"/>
      <c r="I3237" s="123"/>
    </row>
    <row r="3238" spans="2:9" x14ac:dyDescent="0.25">
      <c r="B3238" s="123"/>
      <c r="F3238" s="79"/>
      <c r="I3238" s="123"/>
    </row>
    <row r="3239" spans="2:9" x14ac:dyDescent="0.25">
      <c r="B3239" s="123"/>
      <c r="F3239" s="79"/>
      <c r="I3239" s="123"/>
    </row>
    <row r="3240" spans="2:9" x14ac:dyDescent="0.25">
      <c r="B3240" s="123"/>
      <c r="F3240" s="79"/>
      <c r="I3240" s="123"/>
    </row>
    <row r="3241" spans="2:9" x14ac:dyDescent="0.25">
      <c r="B3241" s="123"/>
      <c r="F3241" s="79"/>
      <c r="I3241" s="123"/>
    </row>
    <row r="3242" spans="2:9" x14ac:dyDescent="0.25">
      <c r="B3242" s="123"/>
      <c r="F3242" s="79"/>
      <c r="I3242" s="123"/>
    </row>
    <row r="3243" spans="2:9" x14ac:dyDescent="0.25">
      <c r="B3243" s="123"/>
      <c r="F3243" s="79"/>
      <c r="I3243" s="123"/>
    </row>
    <row r="3244" spans="2:9" x14ac:dyDescent="0.25">
      <c r="B3244" s="123"/>
      <c r="F3244" s="79"/>
      <c r="I3244" s="123"/>
    </row>
    <row r="3245" spans="2:9" x14ac:dyDescent="0.25">
      <c r="B3245" s="123"/>
      <c r="F3245" s="79"/>
      <c r="I3245" s="123"/>
    </row>
    <row r="3246" spans="2:9" x14ac:dyDescent="0.25">
      <c r="B3246" s="123"/>
      <c r="F3246" s="79"/>
      <c r="I3246" s="123"/>
    </row>
    <row r="3247" spans="2:9" x14ac:dyDescent="0.25">
      <c r="B3247" s="123"/>
      <c r="F3247" s="79"/>
      <c r="I3247" s="123"/>
    </row>
    <row r="3248" spans="2:9" x14ac:dyDescent="0.25">
      <c r="B3248" s="123"/>
      <c r="F3248" s="79"/>
      <c r="I3248" s="123"/>
    </row>
    <row r="3249" spans="2:9" x14ac:dyDescent="0.25">
      <c r="B3249" s="123"/>
      <c r="F3249" s="79"/>
      <c r="I3249" s="123"/>
    </row>
    <row r="3250" spans="2:9" x14ac:dyDescent="0.25">
      <c r="B3250" s="123"/>
      <c r="F3250" s="79"/>
      <c r="I3250" s="123"/>
    </row>
    <row r="3251" spans="2:9" x14ac:dyDescent="0.25">
      <c r="B3251" s="123"/>
      <c r="F3251" s="79"/>
      <c r="I3251" s="123"/>
    </row>
    <row r="3252" spans="2:9" x14ac:dyDescent="0.25">
      <c r="B3252" s="123"/>
      <c r="F3252" s="79"/>
      <c r="I3252" s="123"/>
    </row>
    <row r="3253" spans="2:9" x14ac:dyDescent="0.25">
      <c r="B3253" s="123"/>
      <c r="F3253" s="79"/>
      <c r="I3253" s="123"/>
    </row>
    <row r="3254" spans="2:9" x14ac:dyDescent="0.25">
      <c r="B3254" s="123"/>
      <c r="F3254" s="79"/>
      <c r="I3254" s="123"/>
    </row>
    <row r="3255" spans="2:9" x14ac:dyDescent="0.25">
      <c r="B3255" s="123"/>
      <c r="F3255" s="79"/>
      <c r="I3255" s="123"/>
    </row>
    <row r="3256" spans="2:9" x14ac:dyDescent="0.25">
      <c r="B3256" s="123"/>
      <c r="F3256" s="79"/>
      <c r="I3256" s="123"/>
    </row>
    <row r="3257" spans="2:9" x14ac:dyDescent="0.25">
      <c r="B3257" s="123"/>
      <c r="F3257" s="79"/>
      <c r="I3257" s="123"/>
    </row>
    <row r="3258" spans="2:9" x14ac:dyDescent="0.25">
      <c r="B3258" s="123"/>
      <c r="F3258" s="79"/>
      <c r="I3258" s="123"/>
    </row>
    <row r="3259" spans="2:9" x14ac:dyDescent="0.25">
      <c r="B3259" s="123"/>
      <c r="F3259" s="79"/>
      <c r="I3259" s="123"/>
    </row>
    <row r="3260" spans="2:9" x14ac:dyDescent="0.25">
      <c r="B3260" s="123"/>
      <c r="F3260" s="79"/>
      <c r="I3260" s="123"/>
    </row>
    <row r="3261" spans="2:9" x14ac:dyDescent="0.25">
      <c r="B3261" s="123"/>
      <c r="F3261" s="79"/>
      <c r="I3261" s="123"/>
    </row>
    <row r="3262" spans="2:9" x14ac:dyDescent="0.25">
      <c r="B3262" s="123"/>
      <c r="F3262" s="79"/>
      <c r="I3262" s="123"/>
    </row>
    <row r="3263" spans="2:9" x14ac:dyDescent="0.25">
      <c r="B3263" s="123"/>
      <c r="F3263" s="79"/>
      <c r="I3263" s="123"/>
    </row>
    <row r="3264" spans="2:9" x14ac:dyDescent="0.25">
      <c r="B3264" s="123"/>
      <c r="F3264" s="79"/>
      <c r="I3264" s="123"/>
    </row>
    <row r="3265" spans="2:9" x14ac:dyDescent="0.25">
      <c r="B3265" s="123"/>
      <c r="F3265" s="79"/>
      <c r="I3265" s="123"/>
    </row>
    <row r="3266" spans="2:9" x14ac:dyDescent="0.25">
      <c r="B3266" s="123"/>
      <c r="F3266" s="79"/>
      <c r="I3266" s="123"/>
    </row>
    <row r="3267" spans="2:9" x14ac:dyDescent="0.25">
      <c r="B3267" s="123"/>
      <c r="F3267" s="79"/>
      <c r="I3267" s="123"/>
    </row>
    <row r="3268" spans="2:9" x14ac:dyDescent="0.25">
      <c r="B3268" s="123"/>
      <c r="F3268" s="79"/>
      <c r="I3268" s="123"/>
    </row>
    <row r="3269" spans="2:9" x14ac:dyDescent="0.25">
      <c r="B3269" s="123"/>
      <c r="F3269" s="79"/>
      <c r="I3269" s="123"/>
    </row>
    <row r="3270" spans="2:9" x14ac:dyDescent="0.25">
      <c r="B3270" s="123"/>
      <c r="F3270" s="79"/>
      <c r="I3270" s="123"/>
    </row>
    <row r="3271" spans="2:9" x14ac:dyDescent="0.25">
      <c r="B3271" s="123"/>
      <c r="F3271" s="79"/>
      <c r="I3271" s="123"/>
    </row>
    <row r="3272" spans="2:9" x14ac:dyDescent="0.25">
      <c r="B3272" s="123"/>
      <c r="F3272" s="79"/>
      <c r="I3272" s="123"/>
    </row>
    <row r="3273" spans="2:9" x14ac:dyDescent="0.25">
      <c r="B3273" s="123"/>
      <c r="F3273" s="79"/>
      <c r="I3273" s="123"/>
    </row>
    <row r="3274" spans="2:9" x14ac:dyDescent="0.25">
      <c r="B3274" s="123"/>
      <c r="F3274" s="79"/>
      <c r="I3274" s="123"/>
    </row>
    <row r="3275" spans="2:9" x14ac:dyDescent="0.25">
      <c r="B3275" s="123"/>
      <c r="F3275" s="79"/>
      <c r="I3275" s="123"/>
    </row>
    <row r="3276" spans="2:9" x14ac:dyDescent="0.25">
      <c r="B3276" s="123"/>
      <c r="F3276" s="79"/>
      <c r="I3276" s="123"/>
    </row>
    <row r="3277" spans="2:9" x14ac:dyDescent="0.25">
      <c r="B3277" s="123"/>
      <c r="F3277" s="79"/>
      <c r="I3277" s="123"/>
    </row>
    <row r="3278" spans="2:9" x14ac:dyDescent="0.25">
      <c r="B3278" s="123"/>
      <c r="F3278" s="79"/>
      <c r="I3278" s="123"/>
    </row>
    <row r="3279" spans="2:9" x14ac:dyDescent="0.25">
      <c r="B3279" s="123"/>
      <c r="F3279" s="79"/>
      <c r="I3279" s="123"/>
    </row>
    <row r="3280" spans="2:9" x14ac:dyDescent="0.25">
      <c r="B3280" s="123"/>
      <c r="F3280" s="79"/>
      <c r="I3280" s="123"/>
    </row>
    <row r="3281" spans="2:9" x14ac:dyDescent="0.25">
      <c r="B3281" s="123"/>
      <c r="F3281" s="79"/>
      <c r="I3281" s="123"/>
    </row>
    <row r="3282" spans="2:9" x14ac:dyDescent="0.25">
      <c r="B3282" s="123"/>
      <c r="F3282" s="79"/>
      <c r="I3282" s="123"/>
    </row>
    <row r="3283" spans="2:9" x14ac:dyDescent="0.25">
      <c r="B3283" s="123"/>
      <c r="F3283" s="79"/>
      <c r="I3283" s="123"/>
    </row>
    <row r="3284" spans="2:9" x14ac:dyDescent="0.25">
      <c r="B3284" s="123"/>
      <c r="F3284" s="79"/>
      <c r="I3284" s="123"/>
    </row>
    <row r="3285" spans="2:9" x14ac:dyDescent="0.25">
      <c r="B3285" s="123"/>
      <c r="F3285" s="79"/>
      <c r="I3285" s="123"/>
    </row>
    <row r="3286" spans="2:9" x14ac:dyDescent="0.25">
      <c r="B3286" s="123"/>
      <c r="F3286" s="79"/>
      <c r="I3286" s="123"/>
    </row>
    <row r="3287" spans="2:9" x14ac:dyDescent="0.25">
      <c r="B3287" s="123"/>
      <c r="F3287" s="79"/>
      <c r="I3287" s="123"/>
    </row>
    <row r="3288" spans="2:9" x14ac:dyDescent="0.25">
      <c r="B3288" s="123"/>
      <c r="F3288" s="79"/>
      <c r="I3288" s="123"/>
    </row>
    <row r="3289" spans="2:9" x14ac:dyDescent="0.25">
      <c r="B3289" s="123"/>
      <c r="F3289" s="79"/>
      <c r="I3289" s="123"/>
    </row>
    <row r="3290" spans="2:9" x14ac:dyDescent="0.25">
      <c r="B3290" s="123"/>
      <c r="F3290" s="79"/>
      <c r="I3290" s="123"/>
    </row>
    <row r="3291" spans="2:9" x14ac:dyDescent="0.25">
      <c r="B3291" s="123"/>
      <c r="F3291" s="79"/>
      <c r="I3291" s="123"/>
    </row>
    <row r="3292" spans="2:9" x14ac:dyDescent="0.25">
      <c r="B3292" s="123"/>
      <c r="F3292" s="79"/>
      <c r="I3292" s="123"/>
    </row>
    <row r="3293" spans="2:9" x14ac:dyDescent="0.25">
      <c r="B3293" s="123"/>
      <c r="F3293" s="79"/>
      <c r="I3293" s="123"/>
    </row>
    <row r="3294" spans="2:9" x14ac:dyDescent="0.25">
      <c r="B3294" s="123"/>
      <c r="F3294" s="79"/>
      <c r="I3294" s="123"/>
    </row>
    <row r="3295" spans="2:9" x14ac:dyDescent="0.25">
      <c r="B3295" s="123"/>
      <c r="F3295" s="79"/>
      <c r="I3295" s="123"/>
    </row>
    <row r="3296" spans="2:9" x14ac:dyDescent="0.25">
      <c r="B3296" s="123"/>
      <c r="F3296" s="79"/>
      <c r="I3296" s="123"/>
    </row>
    <row r="3297" spans="2:9" x14ac:dyDescent="0.25">
      <c r="B3297" s="123"/>
      <c r="F3297" s="79"/>
      <c r="I3297" s="123"/>
    </row>
    <row r="3298" spans="2:9" x14ac:dyDescent="0.25">
      <c r="B3298" s="123"/>
      <c r="F3298" s="79"/>
      <c r="I3298" s="123"/>
    </row>
    <row r="3299" spans="2:9" x14ac:dyDescent="0.25">
      <c r="B3299" s="123"/>
      <c r="F3299" s="79"/>
      <c r="I3299" s="123"/>
    </row>
    <row r="3300" spans="2:9" x14ac:dyDescent="0.25">
      <c r="B3300" s="123"/>
      <c r="F3300" s="79"/>
      <c r="I3300" s="123"/>
    </row>
    <row r="3301" spans="2:9" x14ac:dyDescent="0.25">
      <c r="B3301" s="123"/>
      <c r="F3301" s="79"/>
      <c r="I3301" s="123"/>
    </row>
    <row r="3302" spans="2:9" x14ac:dyDescent="0.25">
      <c r="B3302" s="123"/>
      <c r="F3302" s="79"/>
      <c r="I3302" s="123"/>
    </row>
    <row r="3303" spans="2:9" x14ac:dyDescent="0.25">
      <c r="B3303" s="123"/>
      <c r="F3303" s="79"/>
      <c r="I3303" s="123"/>
    </row>
    <row r="3304" spans="2:9" x14ac:dyDescent="0.25">
      <c r="B3304" s="123"/>
      <c r="F3304" s="79"/>
      <c r="I3304" s="123"/>
    </row>
    <row r="3305" spans="2:9" x14ac:dyDescent="0.25">
      <c r="B3305" s="123"/>
      <c r="F3305" s="79"/>
      <c r="I3305" s="123"/>
    </row>
    <row r="3306" spans="2:9" x14ac:dyDescent="0.25">
      <c r="B3306" s="123"/>
      <c r="F3306" s="79"/>
      <c r="I3306" s="123"/>
    </row>
    <row r="3307" spans="2:9" x14ac:dyDescent="0.25">
      <c r="B3307" s="123"/>
      <c r="F3307" s="79"/>
      <c r="I3307" s="123"/>
    </row>
    <row r="3308" spans="2:9" x14ac:dyDescent="0.25">
      <c r="B3308" s="123"/>
      <c r="F3308" s="79"/>
      <c r="I3308" s="123"/>
    </row>
    <row r="3309" spans="2:9" x14ac:dyDescent="0.25">
      <c r="B3309" s="123"/>
      <c r="F3309" s="79"/>
      <c r="I3309" s="123"/>
    </row>
    <row r="3310" spans="2:9" x14ac:dyDescent="0.25">
      <c r="B3310" s="123"/>
      <c r="F3310" s="79"/>
      <c r="I3310" s="123"/>
    </row>
    <row r="3311" spans="2:9" x14ac:dyDescent="0.25">
      <c r="B3311" s="123"/>
      <c r="F3311" s="79"/>
      <c r="I3311" s="123"/>
    </row>
    <row r="3312" spans="2:9" x14ac:dyDescent="0.25">
      <c r="B3312" s="123"/>
      <c r="F3312" s="79"/>
      <c r="I3312" s="123"/>
    </row>
    <row r="3313" spans="2:9" x14ac:dyDescent="0.25">
      <c r="B3313" s="123"/>
      <c r="F3313" s="79"/>
      <c r="I3313" s="123"/>
    </row>
    <row r="3314" spans="2:9" x14ac:dyDescent="0.25">
      <c r="B3314" s="123"/>
      <c r="F3314" s="79"/>
      <c r="I3314" s="123"/>
    </row>
    <row r="3315" spans="2:9" x14ac:dyDescent="0.25">
      <c r="B3315" s="123"/>
      <c r="F3315" s="79"/>
      <c r="I3315" s="123"/>
    </row>
    <row r="3316" spans="2:9" x14ac:dyDescent="0.25">
      <c r="B3316" s="123"/>
      <c r="F3316" s="79"/>
      <c r="I3316" s="123"/>
    </row>
    <row r="3317" spans="2:9" x14ac:dyDescent="0.25">
      <c r="B3317" s="123"/>
      <c r="F3317" s="79"/>
      <c r="I3317" s="123"/>
    </row>
    <row r="3318" spans="2:9" x14ac:dyDescent="0.25">
      <c r="B3318" s="123"/>
      <c r="F3318" s="79"/>
      <c r="I3318" s="123"/>
    </row>
    <row r="3319" spans="2:9" x14ac:dyDescent="0.25">
      <c r="B3319" s="123"/>
      <c r="F3319" s="79"/>
      <c r="I3319" s="123"/>
    </row>
    <row r="3320" spans="2:9" x14ac:dyDescent="0.25">
      <c r="B3320" s="123"/>
      <c r="F3320" s="79"/>
      <c r="I3320" s="123"/>
    </row>
    <row r="3321" spans="2:9" x14ac:dyDescent="0.25">
      <c r="B3321" s="123"/>
      <c r="F3321" s="79"/>
      <c r="I3321" s="123"/>
    </row>
    <row r="3322" spans="2:9" x14ac:dyDescent="0.25">
      <c r="B3322" s="123"/>
      <c r="F3322" s="79"/>
      <c r="I3322" s="123"/>
    </row>
    <row r="3323" spans="2:9" x14ac:dyDescent="0.25">
      <c r="B3323" s="123"/>
      <c r="F3323" s="79"/>
      <c r="I3323" s="123"/>
    </row>
    <row r="3324" spans="2:9" x14ac:dyDescent="0.25">
      <c r="B3324" s="123"/>
      <c r="F3324" s="79"/>
      <c r="I3324" s="123"/>
    </row>
    <row r="3325" spans="2:9" x14ac:dyDescent="0.25">
      <c r="B3325" s="123"/>
      <c r="F3325" s="79"/>
      <c r="I3325" s="123"/>
    </row>
    <row r="3326" spans="2:9" x14ac:dyDescent="0.25">
      <c r="B3326" s="123"/>
      <c r="F3326" s="79"/>
      <c r="I3326" s="123"/>
    </row>
    <row r="3327" spans="2:9" x14ac:dyDescent="0.25">
      <c r="B3327" s="123"/>
      <c r="F3327" s="79"/>
      <c r="I3327" s="123"/>
    </row>
    <row r="3328" spans="2:9" x14ac:dyDescent="0.25">
      <c r="B3328" s="123"/>
      <c r="F3328" s="79"/>
      <c r="I3328" s="123"/>
    </row>
    <row r="3329" spans="2:9" x14ac:dyDescent="0.25">
      <c r="B3329" s="123"/>
      <c r="F3329" s="79"/>
      <c r="I3329" s="123"/>
    </row>
    <row r="3330" spans="2:9" x14ac:dyDescent="0.25">
      <c r="B3330" s="123"/>
      <c r="F3330" s="79"/>
      <c r="I3330" s="123"/>
    </row>
    <row r="3331" spans="2:9" x14ac:dyDescent="0.25">
      <c r="B3331" s="123"/>
      <c r="F3331" s="79"/>
      <c r="I3331" s="123"/>
    </row>
    <row r="3332" spans="2:9" x14ac:dyDescent="0.25">
      <c r="B3332" s="123"/>
      <c r="F3332" s="79"/>
      <c r="I3332" s="123"/>
    </row>
    <row r="3333" spans="2:9" x14ac:dyDescent="0.25">
      <c r="B3333" s="123"/>
      <c r="F3333" s="79"/>
      <c r="I3333" s="123"/>
    </row>
    <row r="3334" spans="2:9" x14ac:dyDescent="0.25">
      <c r="B3334" s="123"/>
      <c r="F3334" s="79"/>
      <c r="I3334" s="123"/>
    </row>
    <row r="3335" spans="2:9" x14ac:dyDescent="0.25">
      <c r="B3335" s="123"/>
      <c r="F3335" s="79"/>
      <c r="I3335" s="123"/>
    </row>
    <row r="3336" spans="2:9" x14ac:dyDescent="0.25">
      <c r="B3336" s="123"/>
      <c r="F3336" s="79"/>
      <c r="I3336" s="123"/>
    </row>
    <row r="3337" spans="2:9" x14ac:dyDescent="0.25">
      <c r="B3337" s="123"/>
      <c r="F3337" s="79"/>
      <c r="I3337" s="123"/>
    </row>
    <row r="3338" spans="2:9" x14ac:dyDescent="0.25">
      <c r="B3338" s="123"/>
      <c r="F3338" s="79"/>
      <c r="I3338" s="123"/>
    </row>
    <row r="3339" spans="2:9" x14ac:dyDescent="0.25">
      <c r="B3339" s="123"/>
      <c r="F3339" s="79"/>
      <c r="I3339" s="123"/>
    </row>
    <row r="3340" spans="2:9" x14ac:dyDescent="0.25">
      <c r="B3340" s="123"/>
      <c r="F3340" s="79"/>
      <c r="I3340" s="123"/>
    </row>
    <row r="3341" spans="2:9" x14ac:dyDescent="0.25">
      <c r="B3341" s="123"/>
      <c r="F3341" s="79"/>
      <c r="I3341" s="123"/>
    </row>
    <row r="3342" spans="2:9" x14ac:dyDescent="0.25">
      <c r="B3342" s="123"/>
      <c r="F3342" s="79"/>
      <c r="I3342" s="123"/>
    </row>
    <row r="3343" spans="2:9" x14ac:dyDescent="0.25">
      <c r="B3343" s="123"/>
      <c r="F3343" s="79"/>
      <c r="I3343" s="123"/>
    </row>
    <row r="3344" spans="2:9" x14ac:dyDescent="0.25">
      <c r="B3344" s="123"/>
      <c r="F3344" s="79"/>
      <c r="I3344" s="123"/>
    </row>
    <row r="3345" spans="2:9" x14ac:dyDescent="0.25">
      <c r="B3345" s="123"/>
      <c r="F3345" s="79"/>
      <c r="I3345" s="123"/>
    </row>
    <row r="3346" spans="2:9" x14ac:dyDescent="0.25">
      <c r="B3346" s="123"/>
      <c r="F3346" s="79"/>
      <c r="I3346" s="123"/>
    </row>
    <row r="3347" spans="2:9" x14ac:dyDescent="0.25">
      <c r="B3347" s="123"/>
      <c r="F3347" s="79"/>
      <c r="I3347" s="123"/>
    </row>
    <row r="3348" spans="2:9" x14ac:dyDescent="0.25">
      <c r="B3348" s="123"/>
      <c r="F3348" s="79"/>
      <c r="I3348" s="123"/>
    </row>
    <row r="3349" spans="2:9" x14ac:dyDescent="0.25">
      <c r="B3349" s="123"/>
      <c r="F3349" s="79"/>
      <c r="I3349" s="123"/>
    </row>
    <row r="3350" spans="2:9" x14ac:dyDescent="0.25">
      <c r="B3350" s="123"/>
      <c r="F3350" s="79"/>
      <c r="I3350" s="123"/>
    </row>
    <row r="3351" spans="2:9" x14ac:dyDescent="0.25">
      <c r="B3351" s="123"/>
      <c r="F3351" s="79"/>
      <c r="I3351" s="123"/>
    </row>
    <row r="3352" spans="2:9" x14ac:dyDescent="0.25">
      <c r="B3352" s="123"/>
      <c r="F3352" s="79"/>
      <c r="I3352" s="123"/>
    </row>
    <row r="3353" spans="2:9" x14ac:dyDescent="0.25">
      <c r="B3353" s="123"/>
      <c r="F3353" s="79"/>
      <c r="I3353" s="123"/>
    </row>
    <row r="3354" spans="2:9" x14ac:dyDescent="0.25">
      <c r="B3354" s="123"/>
      <c r="F3354" s="79"/>
      <c r="I3354" s="123"/>
    </row>
    <row r="3355" spans="2:9" x14ac:dyDescent="0.25">
      <c r="B3355" s="123"/>
      <c r="F3355" s="79"/>
      <c r="I3355" s="123"/>
    </row>
    <row r="3356" spans="2:9" x14ac:dyDescent="0.25">
      <c r="B3356" s="123"/>
      <c r="F3356" s="79"/>
      <c r="I3356" s="123"/>
    </row>
    <row r="3357" spans="2:9" x14ac:dyDescent="0.25">
      <c r="B3357" s="123"/>
      <c r="F3357" s="79"/>
      <c r="I3357" s="123"/>
    </row>
    <row r="3358" spans="2:9" x14ac:dyDescent="0.25">
      <c r="B3358" s="123"/>
      <c r="F3358" s="79"/>
      <c r="I3358" s="123"/>
    </row>
    <row r="3359" spans="2:9" x14ac:dyDescent="0.25">
      <c r="B3359" s="123"/>
      <c r="F3359" s="79"/>
      <c r="I3359" s="123"/>
    </row>
    <row r="3360" spans="2:9" x14ac:dyDescent="0.25">
      <c r="B3360" s="123"/>
      <c r="F3360" s="79"/>
      <c r="I3360" s="123"/>
    </row>
    <row r="3361" spans="2:9" x14ac:dyDescent="0.25">
      <c r="B3361" s="123"/>
      <c r="F3361" s="79"/>
      <c r="I3361" s="123"/>
    </row>
    <row r="3362" spans="2:9" x14ac:dyDescent="0.25">
      <c r="B3362" s="123"/>
      <c r="F3362" s="79"/>
      <c r="I3362" s="123"/>
    </row>
    <row r="3363" spans="2:9" x14ac:dyDescent="0.25">
      <c r="B3363" s="123"/>
      <c r="F3363" s="79"/>
      <c r="I3363" s="123"/>
    </row>
    <row r="3364" spans="2:9" x14ac:dyDescent="0.25">
      <c r="B3364" s="123"/>
      <c r="F3364" s="79"/>
      <c r="I3364" s="123"/>
    </row>
    <row r="3365" spans="2:9" x14ac:dyDescent="0.25">
      <c r="B3365" s="123"/>
      <c r="F3365" s="79"/>
      <c r="I3365" s="123"/>
    </row>
    <row r="3366" spans="2:9" x14ac:dyDescent="0.25">
      <c r="B3366" s="123"/>
      <c r="F3366" s="79"/>
      <c r="I3366" s="123"/>
    </row>
    <row r="3367" spans="2:9" x14ac:dyDescent="0.25">
      <c r="B3367" s="123"/>
      <c r="F3367" s="79"/>
      <c r="I3367" s="123"/>
    </row>
    <row r="3368" spans="2:9" x14ac:dyDescent="0.25">
      <c r="B3368" s="123"/>
      <c r="F3368" s="79"/>
      <c r="I3368" s="123"/>
    </row>
    <row r="3369" spans="2:9" x14ac:dyDescent="0.25">
      <c r="B3369" s="123"/>
      <c r="F3369" s="79"/>
      <c r="I3369" s="123"/>
    </row>
    <row r="3370" spans="2:9" x14ac:dyDescent="0.25">
      <c r="B3370" s="123"/>
      <c r="F3370" s="79"/>
      <c r="I3370" s="123"/>
    </row>
    <row r="3371" spans="2:9" x14ac:dyDescent="0.25">
      <c r="B3371" s="123"/>
      <c r="F3371" s="79"/>
      <c r="I3371" s="123"/>
    </row>
    <row r="3372" spans="2:9" x14ac:dyDescent="0.25">
      <c r="B3372" s="123"/>
      <c r="F3372" s="79"/>
      <c r="I3372" s="123"/>
    </row>
    <row r="3373" spans="2:9" x14ac:dyDescent="0.25">
      <c r="B3373" s="123"/>
      <c r="F3373" s="79"/>
      <c r="I3373" s="123"/>
    </row>
    <row r="3374" spans="2:9" x14ac:dyDescent="0.25">
      <c r="B3374" s="123"/>
      <c r="F3374" s="79"/>
      <c r="I3374" s="123"/>
    </row>
    <row r="3375" spans="2:9" x14ac:dyDescent="0.25">
      <c r="B3375" s="123"/>
      <c r="F3375" s="79"/>
      <c r="I3375" s="123"/>
    </row>
    <row r="3376" spans="2:9" x14ac:dyDescent="0.25">
      <c r="B3376" s="123"/>
      <c r="F3376" s="79"/>
      <c r="I3376" s="123"/>
    </row>
    <row r="3377" spans="2:9" x14ac:dyDescent="0.25">
      <c r="B3377" s="123"/>
      <c r="F3377" s="79"/>
      <c r="I3377" s="123"/>
    </row>
    <row r="3378" spans="2:9" x14ac:dyDescent="0.25">
      <c r="B3378" s="123"/>
      <c r="F3378" s="79"/>
      <c r="I3378" s="123"/>
    </row>
    <row r="3379" spans="2:9" x14ac:dyDescent="0.25">
      <c r="B3379" s="123"/>
      <c r="F3379" s="79"/>
      <c r="I3379" s="123"/>
    </row>
    <row r="3380" spans="2:9" x14ac:dyDescent="0.25">
      <c r="B3380" s="123"/>
      <c r="F3380" s="79"/>
      <c r="I3380" s="123"/>
    </row>
    <row r="3381" spans="2:9" x14ac:dyDescent="0.25">
      <c r="B3381" s="123"/>
      <c r="F3381" s="79"/>
      <c r="I3381" s="123"/>
    </row>
    <row r="3382" spans="2:9" x14ac:dyDescent="0.25">
      <c r="B3382" s="123"/>
      <c r="F3382" s="79"/>
      <c r="I3382" s="123"/>
    </row>
    <row r="3383" spans="2:9" x14ac:dyDescent="0.25">
      <c r="B3383" s="123"/>
      <c r="F3383" s="79"/>
      <c r="I3383" s="123"/>
    </row>
    <row r="3384" spans="2:9" x14ac:dyDescent="0.25">
      <c r="B3384" s="123"/>
      <c r="F3384" s="79"/>
      <c r="I3384" s="123"/>
    </row>
    <row r="3385" spans="2:9" x14ac:dyDescent="0.25">
      <c r="B3385" s="123"/>
      <c r="F3385" s="79"/>
      <c r="I3385" s="123"/>
    </row>
    <row r="3386" spans="2:9" x14ac:dyDescent="0.25">
      <c r="B3386" s="123"/>
      <c r="F3386" s="79"/>
      <c r="I3386" s="123"/>
    </row>
    <row r="3387" spans="2:9" x14ac:dyDescent="0.25">
      <c r="B3387" s="123"/>
      <c r="F3387" s="79"/>
      <c r="I3387" s="123"/>
    </row>
    <row r="3388" spans="2:9" x14ac:dyDescent="0.25">
      <c r="B3388" s="123"/>
      <c r="F3388" s="79"/>
      <c r="I3388" s="123"/>
    </row>
    <row r="3389" spans="2:9" x14ac:dyDescent="0.25">
      <c r="B3389" s="123"/>
      <c r="F3389" s="79"/>
      <c r="I3389" s="123"/>
    </row>
    <row r="3390" spans="2:9" x14ac:dyDescent="0.25">
      <c r="B3390" s="123"/>
      <c r="F3390" s="79"/>
      <c r="I3390" s="123"/>
    </row>
    <row r="3391" spans="2:9" x14ac:dyDescent="0.25">
      <c r="B3391" s="123"/>
      <c r="F3391" s="79"/>
      <c r="I3391" s="123"/>
    </row>
    <row r="3392" spans="2:9" x14ac:dyDescent="0.25">
      <c r="B3392" s="123"/>
      <c r="F3392" s="79"/>
      <c r="I3392" s="123"/>
    </row>
    <row r="3393" spans="2:9" x14ac:dyDescent="0.25">
      <c r="B3393" s="123"/>
      <c r="F3393" s="79"/>
      <c r="I3393" s="123"/>
    </row>
    <row r="3394" spans="2:9" x14ac:dyDescent="0.25">
      <c r="B3394" s="123"/>
      <c r="F3394" s="79"/>
      <c r="I3394" s="123"/>
    </row>
    <row r="3395" spans="2:9" x14ac:dyDescent="0.25">
      <c r="B3395" s="123"/>
      <c r="F3395" s="79"/>
      <c r="I3395" s="123"/>
    </row>
    <row r="3396" spans="2:9" x14ac:dyDescent="0.25">
      <c r="B3396" s="123"/>
      <c r="F3396" s="79"/>
      <c r="I3396" s="123"/>
    </row>
    <row r="3397" spans="2:9" x14ac:dyDescent="0.25">
      <c r="B3397" s="123"/>
      <c r="F3397" s="79"/>
      <c r="I3397" s="123"/>
    </row>
    <row r="3398" spans="2:9" x14ac:dyDescent="0.25">
      <c r="B3398" s="123"/>
      <c r="F3398" s="79"/>
      <c r="I3398" s="123"/>
    </row>
    <row r="3399" spans="2:9" x14ac:dyDescent="0.25">
      <c r="B3399" s="123"/>
      <c r="F3399" s="79"/>
      <c r="I3399" s="123"/>
    </row>
    <row r="3400" spans="2:9" x14ac:dyDescent="0.25">
      <c r="B3400" s="123"/>
      <c r="F3400" s="79"/>
      <c r="I3400" s="123"/>
    </row>
    <row r="3401" spans="2:9" x14ac:dyDescent="0.25">
      <c r="B3401" s="123"/>
      <c r="F3401" s="79"/>
      <c r="I3401" s="123"/>
    </row>
    <row r="3402" spans="2:9" x14ac:dyDescent="0.25">
      <c r="B3402" s="123"/>
      <c r="F3402" s="79"/>
      <c r="I3402" s="123"/>
    </row>
    <row r="3403" spans="2:9" x14ac:dyDescent="0.25">
      <c r="B3403" s="123"/>
      <c r="F3403" s="79"/>
      <c r="I3403" s="123"/>
    </row>
    <row r="3404" spans="2:9" x14ac:dyDescent="0.25">
      <c r="B3404" s="123"/>
      <c r="F3404" s="79"/>
      <c r="I3404" s="123"/>
    </row>
    <row r="3405" spans="2:9" x14ac:dyDescent="0.25">
      <c r="B3405" s="123"/>
      <c r="F3405" s="79"/>
      <c r="I3405" s="123"/>
    </row>
    <row r="3406" spans="2:9" x14ac:dyDescent="0.25">
      <c r="B3406" s="123"/>
      <c r="F3406" s="79"/>
      <c r="I3406" s="123"/>
    </row>
    <row r="3407" spans="2:9" x14ac:dyDescent="0.25">
      <c r="B3407" s="123"/>
      <c r="F3407" s="79"/>
      <c r="I3407" s="123"/>
    </row>
    <row r="3408" spans="2:9" x14ac:dyDescent="0.25">
      <c r="B3408" s="123"/>
      <c r="F3408" s="79"/>
      <c r="I3408" s="123"/>
    </row>
    <row r="3409" spans="2:9" x14ac:dyDescent="0.25">
      <c r="B3409" s="123"/>
      <c r="F3409" s="79"/>
      <c r="I3409" s="123"/>
    </row>
    <row r="3410" spans="2:9" x14ac:dyDescent="0.25">
      <c r="B3410" s="123"/>
      <c r="F3410" s="79"/>
      <c r="I3410" s="123"/>
    </row>
    <row r="3411" spans="2:9" x14ac:dyDescent="0.25">
      <c r="B3411" s="123"/>
      <c r="F3411" s="79"/>
      <c r="I3411" s="123"/>
    </row>
    <row r="3412" spans="2:9" x14ac:dyDescent="0.25">
      <c r="B3412" s="123"/>
      <c r="F3412" s="79"/>
      <c r="I3412" s="123"/>
    </row>
    <row r="3413" spans="2:9" x14ac:dyDescent="0.25">
      <c r="B3413" s="123"/>
      <c r="F3413" s="79"/>
      <c r="I3413" s="123"/>
    </row>
    <row r="3414" spans="2:9" x14ac:dyDescent="0.25">
      <c r="B3414" s="123"/>
      <c r="F3414" s="79"/>
      <c r="I3414" s="123"/>
    </row>
    <row r="3415" spans="2:9" x14ac:dyDescent="0.25">
      <c r="B3415" s="123"/>
      <c r="F3415" s="79"/>
      <c r="I3415" s="123"/>
    </row>
    <row r="3416" spans="2:9" x14ac:dyDescent="0.25">
      <c r="B3416" s="123"/>
      <c r="F3416" s="79"/>
      <c r="I3416" s="123"/>
    </row>
    <row r="3417" spans="2:9" x14ac:dyDescent="0.25">
      <c r="B3417" s="123"/>
      <c r="F3417" s="79"/>
      <c r="I3417" s="123"/>
    </row>
    <row r="3418" spans="2:9" x14ac:dyDescent="0.25">
      <c r="B3418" s="123"/>
      <c r="F3418" s="79"/>
      <c r="I3418" s="123"/>
    </row>
    <row r="3419" spans="2:9" x14ac:dyDescent="0.25">
      <c r="B3419" s="123"/>
      <c r="F3419" s="79"/>
      <c r="I3419" s="123"/>
    </row>
    <row r="3420" spans="2:9" x14ac:dyDescent="0.25">
      <c r="B3420" s="123"/>
      <c r="F3420" s="79"/>
      <c r="I3420" s="123"/>
    </row>
    <row r="3421" spans="2:9" x14ac:dyDescent="0.25">
      <c r="B3421" s="123"/>
      <c r="F3421" s="79"/>
      <c r="I3421" s="123"/>
    </row>
    <row r="3422" spans="2:9" x14ac:dyDescent="0.25">
      <c r="B3422" s="123"/>
      <c r="F3422" s="79"/>
      <c r="I3422" s="123"/>
    </row>
    <row r="3423" spans="2:9" x14ac:dyDescent="0.25">
      <c r="B3423" s="123"/>
      <c r="F3423" s="79"/>
      <c r="I3423" s="123"/>
    </row>
    <row r="3424" spans="2:9" x14ac:dyDescent="0.25">
      <c r="B3424" s="123"/>
      <c r="F3424" s="79"/>
      <c r="I3424" s="123"/>
    </row>
    <row r="3425" spans="2:9" x14ac:dyDescent="0.25">
      <c r="B3425" s="123"/>
      <c r="F3425" s="79"/>
      <c r="I3425" s="123"/>
    </row>
    <row r="3426" spans="2:9" x14ac:dyDescent="0.25">
      <c r="B3426" s="123"/>
      <c r="F3426" s="79"/>
      <c r="I3426" s="123"/>
    </row>
    <row r="3427" spans="2:9" x14ac:dyDescent="0.25">
      <c r="B3427" s="123"/>
      <c r="F3427" s="79"/>
      <c r="I3427" s="123"/>
    </row>
    <row r="3428" spans="2:9" x14ac:dyDescent="0.25">
      <c r="B3428" s="123"/>
      <c r="F3428" s="79"/>
      <c r="I3428" s="123"/>
    </row>
    <row r="3429" spans="2:9" x14ac:dyDescent="0.25">
      <c r="B3429" s="123"/>
      <c r="F3429" s="79"/>
      <c r="I3429" s="123"/>
    </row>
    <row r="3430" spans="2:9" x14ac:dyDescent="0.25">
      <c r="B3430" s="123"/>
      <c r="F3430" s="79"/>
      <c r="I3430" s="123"/>
    </row>
    <row r="3431" spans="2:9" x14ac:dyDescent="0.25">
      <c r="B3431" s="123"/>
      <c r="F3431" s="79"/>
      <c r="I3431" s="123"/>
    </row>
    <row r="3432" spans="2:9" x14ac:dyDescent="0.25">
      <c r="B3432" s="123"/>
      <c r="F3432" s="79"/>
      <c r="I3432" s="123"/>
    </row>
    <row r="3433" spans="2:9" x14ac:dyDescent="0.25">
      <c r="B3433" s="123"/>
      <c r="F3433" s="79"/>
      <c r="I3433" s="123"/>
    </row>
    <row r="3434" spans="2:9" x14ac:dyDescent="0.25">
      <c r="B3434" s="123"/>
      <c r="F3434" s="79"/>
      <c r="I3434" s="123"/>
    </row>
    <row r="3435" spans="2:9" x14ac:dyDescent="0.25">
      <c r="B3435" s="123"/>
      <c r="F3435" s="79"/>
      <c r="I3435" s="123"/>
    </row>
    <row r="3436" spans="2:9" x14ac:dyDescent="0.25">
      <c r="B3436" s="123"/>
      <c r="F3436" s="79"/>
      <c r="I3436" s="123"/>
    </row>
    <row r="3437" spans="2:9" x14ac:dyDescent="0.25">
      <c r="B3437" s="123"/>
      <c r="F3437" s="79"/>
      <c r="I3437" s="123"/>
    </row>
    <row r="3438" spans="2:9" x14ac:dyDescent="0.25">
      <c r="B3438" s="123"/>
      <c r="F3438" s="79"/>
      <c r="I3438" s="123"/>
    </row>
    <row r="3439" spans="2:9" x14ac:dyDescent="0.25">
      <c r="B3439" s="123"/>
      <c r="F3439" s="79"/>
      <c r="I3439" s="123"/>
    </row>
    <row r="3440" spans="2:9" x14ac:dyDescent="0.25">
      <c r="B3440" s="123"/>
      <c r="F3440" s="79"/>
      <c r="I3440" s="123"/>
    </row>
    <row r="3441" spans="2:9" x14ac:dyDescent="0.25">
      <c r="B3441" s="123"/>
      <c r="F3441" s="79"/>
      <c r="I3441" s="123"/>
    </row>
    <row r="3442" spans="2:9" x14ac:dyDescent="0.25">
      <c r="B3442" s="123"/>
      <c r="F3442" s="79"/>
      <c r="I3442" s="123"/>
    </row>
    <row r="3443" spans="2:9" x14ac:dyDescent="0.25">
      <c r="B3443" s="123"/>
      <c r="F3443" s="79"/>
      <c r="I3443" s="123"/>
    </row>
    <row r="3444" spans="2:9" x14ac:dyDescent="0.25">
      <c r="B3444" s="123"/>
      <c r="F3444" s="79"/>
      <c r="I3444" s="123"/>
    </row>
    <row r="3445" spans="2:9" x14ac:dyDescent="0.25">
      <c r="B3445" s="123"/>
      <c r="F3445" s="79"/>
      <c r="I3445" s="123"/>
    </row>
    <row r="3446" spans="2:9" x14ac:dyDescent="0.25">
      <c r="B3446" s="123"/>
      <c r="F3446" s="79"/>
      <c r="I3446" s="123"/>
    </row>
    <row r="3447" spans="2:9" x14ac:dyDescent="0.25">
      <c r="B3447" s="123"/>
      <c r="F3447" s="79"/>
      <c r="I3447" s="123"/>
    </row>
    <row r="3448" spans="2:9" x14ac:dyDescent="0.25">
      <c r="B3448" s="123"/>
      <c r="F3448" s="79"/>
      <c r="I3448" s="123"/>
    </row>
    <row r="3449" spans="2:9" x14ac:dyDescent="0.25">
      <c r="B3449" s="123"/>
      <c r="F3449" s="79"/>
      <c r="I3449" s="123"/>
    </row>
    <row r="3450" spans="2:9" x14ac:dyDescent="0.25">
      <c r="B3450" s="123"/>
      <c r="F3450" s="79"/>
      <c r="I3450" s="123"/>
    </row>
    <row r="3451" spans="2:9" x14ac:dyDescent="0.25">
      <c r="B3451" s="123"/>
      <c r="F3451" s="79"/>
      <c r="I3451" s="123"/>
    </row>
    <row r="3452" spans="2:9" x14ac:dyDescent="0.25">
      <c r="B3452" s="123"/>
      <c r="F3452" s="79"/>
      <c r="I3452" s="123"/>
    </row>
    <row r="3453" spans="2:9" x14ac:dyDescent="0.25">
      <c r="B3453" s="123"/>
      <c r="F3453" s="79"/>
      <c r="I3453" s="123"/>
    </row>
    <row r="3454" spans="2:9" x14ac:dyDescent="0.25">
      <c r="B3454" s="123"/>
      <c r="F3454" s="79"/>
      <c r="I3454" s="123"/>
    </row>
    <row r="3455" spans="2:9" x14ac:dyDescent="0.25">
      <c r="B3455" s="123"/>
      <c r="F3455" s="79"/>
      <c r="I3455" s="123"/>
    </row>
    <row r="3456" spans="2:9" x14ac:dyDescent="0.25">
      <c r="B3456" s="123"/>
      <c r="F3456" s="79"/>
      <c r="I3456" s="123"/>
    </row>
    <row r="3457" spans="2:9" x14ac:dyDescent="0.25">
      <c r="B3457" s="123"/>
      <c r="F3457" s="79"/>
      <c r="I3457" s="123"/>
    </row>
    <row r="3458" spans="2:9" x14ac:dyDescent="0.25">
      <c r="B3458" s="123"/>
      <c r="F3458" s="79"/>
      <c r="I3458" s="123"/>
    </row>
    <row r="3459" spans="2:9" x14ac:dyDescent="0.25">
      <c r="B3459" s="123"/>
      <c r="F3459" s="79"/>
      <c r="I3459" s="123"/>
    </row>
    <row r="3460" spans="2:9" x14ac:dyDescent="0.25">
      <c r="B3460" s="123"/>
      <c r="F3460" s="79"/>
      <c r="I3460" s="123"/>
    </row>
    <row r="3461" spans="2:9" x14ac:dyDescent="0.25">
      <c r="B3461" s="123"/>
      <c r="F3461" s="79"/>
      <c r="I3461" s="123"/>
    </row>
    <row r="3462" spans="2:9" x14ac:dyDescent="0.25">
      <c r="B3462" s="123"/>
      <c r="F3462" s="79"/>
      <c r="I3462" s="123"/>
    </row>
    <row r="3463" spans="2:9" x14ac:dyDescent="0.25">
      <c r="B3463" s="123"/>
      <c r="F3463" s="79"/>
      <c r="I3463" s="123"/>
    </row>
    <row r="3464" spans="2:9" x14ac:dyDescent="0.25">
      <c r="B3464" s="123"/>
      <c r="F3464" s="79"/>
      <c r="I3464" s="123"/>
    </row>
    <row r="3465" spans="2:9" x14ac:dyDescent="0.25">
      <c r="B3465" s="123"/>
      <c r="F3465" s="79"/>
      <c r="I3465" s="123"/>
    </row>
    <row r="3466" spans="2:9" x14ac:dyDescent="0.25">
      <c r="B3466" s="123"/>
      <c r="F3466" s="79"/>
      <c r="I3466" s="123"/>
    </row>
    <row r="3467" spans="2:9" x14ac:dyDescent="0.25">
      <c r="B3467" s="123"/>
      <c r="F3467" s="79"/>
      <c r="I3467" s="123"/>
    </row>
    <row r="3468" spans="2:9" x14ac:dyDescent="0.25">
      <c r="B3468" s="123"/>
      <c r="F3468" s="79"/>
      <c r="I3468" s="123"/>
    </row>
    <row r="3469" spans="2:9" x14ac:dyDescent="0.25">
      <c r="B3469" s="123"/>
      <c r="F3469" s="79"/>
      <c r="I3469" s="123"/>
    </row>
    <row r="3470" spans="2:9" x14ac:dyDescent="0.25">
      <c r="B3470" s="123"/>
      <c r="F3470" s="79"/>
      <c r="I3470" s="123"/>
    </row>
    <row r="3471" spans="2:9" x14ac:dyDescent="0.25">
      <c r="B3471" s="123"/>
      <c r="F3471" s="79"/>
      <c r="I3471" s="123"/>
    </row>
    <row r="3472" spans="2:9" x14ac:dyDescent="0.25">
      <c r="B3472" s="123"/>
      <c r="F3472" s="79"/>
      <c r="I3472" s="123"/>
    </row>
    <row r="3473" spans="2:9" x14ac:dyDescent="0.25">
      <c r="B3473" s="123"/>
      <c r="F3473" s="79"/>
      <c r="I3473" s="123"/>
    </row>
    <row r="3474" spans="2:9" x14ac:dyDescent="0.25">
      <c r="B3474" s="123"/>
      <c r="F3474" s="79"/>
      <c r="I3474" s="123"/>
    </row>
    <row r="3475" spans="2:9" x14ac:dyDescent="0.25">
      <c r="B3475" s="123"/>
      <c r="F3475" s="79"/>
      <c r="I3475" s="123"/>
    </row>
    <row r="3476" spans="2:9" x14ac:dyDescent="0.25">
      <c r="B3476" s="123"/>
      <c r="F3476" s="79"/>
      <c r="I3476" s="123"/>
    </row>
    <row r="3477" spans="2:9" x14ac:dyDescent="0.25">
      <c r="B3477" s="123"/>
      <c r="F3477" s="79"/>
      <c r="I3477" s="123"/>
    </row>
    <row r="3478" spans="2:9" x14ac:dyDescent="0.25">
      <c r="B3478" s="123"/>
      <c r="F3478" s="79"/>
      <c r="I3478" s="123"/>
    </row>
    <row r="3479" spans="2:9" x14ac:dyDescent="0.25">
      <c r="B3479" s="123"/>
      <c r="F3479" s="79"/>
      <c r="I3479" s="123"/>
    </row>
    <row r="3480" spans="2:9" x14ac:dyDescent="0.25">
      <c r="B3480" s="123"/>
      <c r="F3480" s="79"/>
      <c r="I3480" s="123"/>
    </row>
    <row r="3481" spans="2:9" x14ac:dyDescent="0.25">
      <c r="B3481" s="123"/>
      <c r="F3481" s="79"/>
      <c r="I3481" s="123"/>
    </row>
    <row r="3482" spans="2:9" x14ac:dyDescent="0.25">
      <c r="B3482" s="123"/>
      <c r="F3482" s="79"/>
      <c r="I3482" s="123"/>
    </row>
    <row r="3483" spans="2:9" x14ac:dyDescent="0.25">
      <c r="B3483" s="123"/>
      <c r="F3483" s="79"/>
      <c r="I3483" s="123"/>
    </row>
    <row r="3484" spans="2:9" x14ac:dyDescent="0.25">
      <c r="B3484" s="123"/>
      <c r="F3484" s="79"/>
      <c r="I3484" s="123"/>
    </row>
    <row r="3485" spans="2:9" x14ac:dyDescent="0.25">
      <c r="B3485" s="123"/>
      <c r="F3485" s="79"/>
      <c r="I3485" s="123"/>
    </row>
    <row r="3486" spans="2:9" x14ac:dyDescent="0.25">
      <c r="B3486" s="123"/>
      <c r="F3486" s="79"/>
      <c r="I3486" s="123"/>
    </row>
    <row r="3487" spans="2:9" x14ac:dyDescent="0.25">
      <c r="B3487" s="123"/>
      <c r="F3487" s="79"/>
      <c r="I3487" s="123"/>
    </row>
    <row r="3488" spans="2:9" x14ac:dyDescent="0.25">
      <c r="B3488" s="123"/>
      <c r="F3488" s="79"/>
      <c r="I3488" s="123"/>
    </row>
    <row r="3489" spans="2:9" x14ac:dyDescent="0.25">
      <c r="B3489" s="123"/>
      <c r="F3489" s="79"/>
      <c r="I3489" s="123"/>
    </row>
    <row r="3490" spans="2:9" x14ac:dyDescent="0.25">
      <c r="B3490" s="123"/>
      <c r="F3490" s="79"/>
      <c r="I3490" s="123"/>
    </row>
    <row r="3491" spans="2:9" x14ac:dyDescent="0.25">
      <c r="B3491" s="123"/>
      <c r="F3491" s="79"/>
      <c r="I3491" s="123"/>
    </row>
    <row r="3492" spans="2:9" x14ac:dyDescent="0.25">
      <c r="B3492" s="123"/>
      <c r="F3492" s="79"/>
      <c r="I3492" s="123"/>
    </row>
    <row r="3493" spans="2:9" x14ac:dyDescent="0.25">
      <c r="B3493" s="123"/>
      <c r="F3493" s="79"/>
      <c r="I3493" s="123"/>
    </row>
    <row r="3494" spans="2:9" x14ac:dyDescent="0.25">
      <c r="B3494" s="123"/>
      <c r="F3494" s="79"/>
      <c r="I3494" s="123"/>
    </row>
    <row r="3495" spans="2:9" x14ac:dyDescent="0.25">
      <c r="B3495" s="123"/>
      <c r="F3495" s="79"/>
      <c r="I3495" s="123"/>
    </row>
    <row r="3496" spans="2:9" x14ac:dyDescent="0.25">
      <c r="B3496" s="123"/>
      <c r="F3496" s="79"/>
      <c r="I3496" s="123"/>
    </row>
    <row r="3497" spans="2:9" x14ac:dyDescent="0.25">
      <c r="B3497" s="123"/>
      <c r="F3497" s="79"/>
      <c r="I3497" s="123"/>
    </row>
    <row r="3498" spans="2:9" x14ac:dyDescent="0.25">
      <c r="B3498" s="123"/>
      <c r="F3498" s="79"/>
      <c r="I3498" s="123"/>
    </row>
    <row r="3499" spans="2:9" x14ac:dyDescent="0.25">
      <c r="B3499" s="123"/>
      <c r="F3499" s="79"/>
      <c r="I3499" s="123"/>
    </row>
    <row r="3500" spans="2:9" x14ac:dyDescent="0.25">
      <c r="B3500" s="123"/>
      <c r="F3500" s="79"/>
      <c r="I3500" s="123"/>
    </row>
    <row r="3501" spans="2:9" x14ac:dyDescent="0.25">
      <c r="B3501" s="123"/>
      <c r="F3501" s="79"/>
      <c r="I3501" s="123"/>
    </row>
    <row r="3502" spans="2:9" x14ac:dyDescent="0.25">
      <c r="B3502" s="123"/>
      <c r="F3502" s="79"/>
      <c r="I3502" s="123"/>
    </row>
    <row r="3503" spans="2:9" x14ac:dyDescent="0.25">
      <c r="B3503" s="123"/>
      <c r="F3503" s="79"/>
      <c r="I3503" s="123"/>
    </row>
    <row r="3504" spans="2:9" x14ac:dyDescent="0.25">
      <c r="B3504" s="123"/>
      <c r="F3504" s="79"/>
      <c r="I3504" s="123"/>
    </row>
    <row r="3505" spans="2:9" x14ac:dyDescent="0.25">
      <c r="B3505" s="123"/>
      <c r="F3505" s="79"/>
      <c r="I3505" s="123"/>
    </row>
    <row r="3506" spans="2:9" x14ac:dyDescent="0.25">
      <c r="B3506" s="123"/>
      <c r="F3506" s="79"/>
      <c r="I3506" s="123"/>
    </row>
    <row r="3507" spans="2:9" x14ac:dyDescent="0.25">
      <c r="B3507" s="123"/>
      <c r="F3507" s="79"/>
      <c r="I3507" s="123"/>
    </row>
    <row r="3508" spans="2:9" x14ac:dyDescent="0.25">
      <c r="B3508" s="123"/>
      <c r="F3508" s="79"/>
      <c r="I3508" s="123"/>
    </row>
    <row r="3509" spans="2:9" x14ac:dyDescent="0.25">
      <c r="B3509" s="123"/>
      <c r="F3509" s="79"/>
      <c r="I3509" s="123"/>
    </row>
    <row r="3510" spans="2:9" x14ac:dyDescent="0.25">
      <c r="B3510" s="123"/>
      <c r="F3510" s="79"/>
      <c r="I3510" s="123"/>
    </row>
    <row r="3511" spans="2:9" x14ac:dyDescent="0.25">
      <c r="B3511" s="123"/>
      <c r="F3511" s="79"/>
      <c r="I3511" s="123"/>
    </row>
    <row r="3512" spans="2:9" x14ac:dyDescent="0.25">
      <c r="B3512" s="123"/>
      <c r="F3512" s="79"/>
      <c r="I3512" s="123"/>
    </row>
    <row r="3513" spans="2:9" x14ac:dyDescent="0.25">
      <c r="B3513" s="123"/>
      <c r="F3513" s="79"/>
      <c r="I3513" s="123"/>
    </row>
    <row r="3514" spans="2:9" x14ac:dyDescent="0.25">
      <c r="B3514" s="123"/>
      <c r="F3514" s="79"/>
      <c r="I3514" s="123"/>
    </row>
    <row r="3515" spans="2:9" x14ac:dyDescent="0.25">
      <c r="B3515" s="123"/>
      <c r="F3515" s="79"/>
      <c r="I3515" s="123"/>
    </row>
    <row r="3516" spans="2:9" x14ac:dyDescent="0.25">
      <c r="B3516" s="123"/>
      <c r="F3516" s="79"/>
      <c r="I3516" s="123"/>
    </row>
    <row r="3517" spans="2:9" x14ac:dyDescent="0.25">
      <c r="B3517" s="123"/>
      <c r="F3517" s="79"/>
      <c r="I3517" s="123"/>
    </row>
    <row r="3518" spans="2:9" x14ac:dyDescent="0.25">
      <c r="B3518" s="123"/>
      <c r="F3518" s="79"/>
      <c r="I3518" s="123"/>
    </row>
    <row r="3519" spans="2:9" x14ac:dyDescent="0.25">
      <c r="B3519" s="123"/>
      <c r="F3519" s="79"/>
      <c r="I3519" s="123"/>
    </row>
    <row r="3520" spans="2:9" x14ac:dyDescent="0.25">
      <c r="B3520" s="123"/>
      <c r="F3520" s="79"/>
      <c r="I3520" s="123"/>
    </row>
    <row r="3521" spans="2:9" x14ac:dyDescent="0.25">
      <c r="B3521" s="123"/>
      <c r="F3521" s="79"/>
      <c r="I3521" s="123"/>
    </row>
    <row r="3522" spans="2:9" x14ac:dyDescent="0.25">
      <c r="B3522" s="123"/>
      <c r="F3522" s="79"/>
      <c r="I3522" s="123"/>
    </row>
    <row r="3523" spans="2:9" x14ac:dyDescent="0.25">
      <c r="B3523" s="123"/>
      <c r="F3523" s="79"/>
      <c r="I3523" s="123"/>
    </row>
    <row r="3524" spans="2:9" x14ac:dyDescent="0.25">
      <c r="B3524" s="123"/>
      <c r="F3524" s="79"/>
      <c r="I3524" s="123"/>
    </row>
    <row r="3525" spans="2:9" x14ac:dyDescent="0.25">
      <c r="B3525" s="123"/>
      <c r="F3525" s="79"/>
      <c r="I3525" s="123"/>
    </row>
    <row r="3526" spans="2:9" x14ac:dyDescent="0.25">
      <c r="B3526" s="123"/>
      <c r="F3526" s="79"/>
      <c r="I3526" s="123"/>
    </row>
    <row r="3527" spans="2:9" x14ac:dyDescent="0.25">
      <c r="B3527" s="123"/>
      <c r="F3527" s="79"/>
      <c r="I3527" s="123"/>
    </row>
    <row r="3528" spans="2:9" x14ac:dyDescent="0.25">
      <c r="B3528" s="123"/>
      <c r="F3528" s="79"/>
      <c r="I3528" s="123"/>
    </row>
    <row r="3529" spans="2:9" x14ac:dyDescent="0.25">
      <c r="B3529" s="123"/>
      <c r="F3529" s="79"/>
      <c r="I3529" s="123"/>
    </row>
    <row r="3530" spans="2:9" x14ac:dyDescent="0.25">
      <c r="B3530" s="123"/>
      <c r="F3530" s="79"/>
      <c r="I3530" s="123"/>
    </row>
    <row r="3531" spans="2:9" x14ac:dyDescent="0.25">
      <c r="B3531" s="123"/>
      <c r="F3531" s="79"/>
      <c r="I3531" s="123"/>
    </row>
    <row r="3532" spans="2:9" x14ac:dyDescent="0.25">
      <c r="B3532" s="123"/>
      <c r="F3532" s="79"/>
      <c r="I3532" s="123"/>
    </row>
    <row r="3533" spans="2:9" x14ac:dyDescent="0.25">
      <c r="B3533" s="123"/>
      <c r="F3533" s="79"/>
      <c r="I3533" s="123"/>
    </row>
    <row r="3534" spans="2:9" x14ac:dyDescent="0.25">
      <c r="B3534" s="123"/>
      <c r="F3534" s="79"/>
      <c r="I3534" s="123"/>
    </row>
    <row r="3535" spans="2:9" x14ac:dyDescent="0.25">
      <c r="B3535" s="123"/>
      <c r="F3535" s="79"/>
      <c r="I3535" s="123"/>
    </row>
    <row r="3536" spans="2:9" x14ac:dyDescent="0.25">
      <c r="B3536" s="123"/>
      <c r="F3536" s="79"/>
      <c r="I3536" s="123"/>
    </row>
    <row r="3537" spans="2:9" x14ac:dyDescent="0.25">
      <c r="B3537" s="123"/>
      <c r="F3537" s="79"/>
      <c r="I3537" s="123"/>
    </row>
    <row r="3538" spans="2:9" x14ac:dyDescent="0.25">
      <c r="B3538" s="123"/>
      <c r="F3538" s="79"/>
      <c r="I3538" s="123"/>
    </row>
    <row r="3539" spans="2:9" x14ac:dyDescent="0.25">
      <c r="B3539" s="123"/>
      <c r="F3539" s="79"/>
      <c r="I3539" s="123"/>
    </row>
    <row r="3540" spans="2:9" x14ac:dyDescent="0.25">
      <c r="B3540" s="123"/>
      <c r="F3540" s="79"/>
      <c r="I3540" s="123"/>
    </row>
    <row r="3541" spans="2:9" x14ac:dyDescent="0.25">
      <c r="B3541" s="123"/>
      <c r="F3541" s="79"/>
      <c r="I3541" s="123"/>
    </row>
    <row r="3542" spans="2:9" x14ac:dyDescent="0.25">
      <c r="B3542" s="123"/>
      <c r="F3542" s="79"/>
      <c r="I3542" s="123"/>
    </row>
    <row r="3543" spans="2:9" x14ac:dyDescent="0.25">
      <c r="B3543" s="123"/>
      <c r="F3543" s="79"/>
      <c r="I3543" s="123"/>
    </row>
    <row r="3544" spans="2:9" x14ac:dyDescent="0.25">
      <c r="B3544" s="123"/>
      <c r="F3544" s="79"/>
      <c r="I3544" s="123"/>
    </row>
    <row r="3545" spans="2:9" x14ac:dyDescent="0.25">
      <c r="B3545" s="123"/>
      <c r="F3545" s="79"/>
      <c r="I3545" s="123"/>
    </row>
    <row r="3546" spans="2:9" x14ac:dyDescent="0.25">
      <c r="B3546" s="123"/>
      <c r="F3546" s="79"/>
      <c r="I3546" s="123"/>
    </row>
    <row r="3547" spans="2:9" x14ac:dyDescent="0.25">
      <c r="B3547" s="123"/>
      <c r="F3547" s="79"/>
      <c r="I3547" s="123"/>
    </row>
    <row r="3548" spans="2:9" x14ac:dyDescent="0.25">
      <c r="B3548" s="123"/>
      <c r="F3548" s="79"/>
      <c r="I3548" s="123"/>
    </row>
    <row r="3549" spans="2:9" x14ac:dyDescent="0.25">
      <c r="B3549" s="123"/>
      <c r="F3549" s="79"/>
      <c r="I3549" s="123"/>
    </row>
    <row r="3550" spans="2:9" x14ac:dyDescent="0.25">
      <c r="B3550" s="123"/>
      <c r="F3550" s="79"/>
      <c r="I3550" s="123"/>
    </row>
    <row r="3551" spans="2:9" x14ac:dyDescent="0.25">
      <c r="B3551" s="123"/>
      <c r="F3551" s="79"/>
      <c r="I3551" s="123"/>
    </row>
    <row r="3552" spans="2:9" x14ac:dyDescent="0.25">
      <c r="B3552" s="123"/>
      <c r="F3552" s="79"/>
      <c r="I3552" s="123"/>
    </row>
    <row r="3553" spans="2:9" x14ac:dyDescent="0.25">
      <c r="B3553" s="123"/>
      <c r="F3553" s="79"/>
      <c r="I3553" s="123"/>
    </row>
    <row r="3554" spans="2:9" x14ac:dyDescent="0.25">
      <c r="B3554" s="123"/>
      <c r="F3554" s="79"/>
      <c r="I3554" s="123"/>
    </row>
    <row r="3555" spans="2:9" x14ac:dyDescent="0.25">
      <c r="B3555" s="123"/>
      <c r="F3555" s="79"/>
      <c r="I3555" s="123"/>
    </row>
    <row r="3556" spans="2:9" x14ac:dyDescent="0.25">
      <c r="B3556" s="123"/>
      <c r="F3556" s="79"/>
      <c r="I3556" s="123"/>
    </row>
    <row r="3557" spans="2:9" x14ac:dyDescent="0.25">
      <c r="B3557" s="123"/>
      <c r="F3557" s="79"/>
      <c r="I3557" s="123"/>
    </row>
    <row r="3558" spans="2:9" x14ac:dyDescent="0.25">
      <c r="B3558" s="123"/>
      <c r="F3558" s="79"/>
      <c r="I3558" s="123"/>
    </row>
    <row r="3559" spans="2:9" x14ac:dyDescent="0.25">
      <c r="B3559" s="123"/>
      <c r="F3559" s="79"/>
      <c r="I3559" s="123"/>
    </row>
    <row r="3560" spans="2:9" x14ac:dyDescent="0.25">
      <c r="B3560" s="123"/>
      <c r="F3560" s="79"/>
      <c r="I3560" s="123"/>
    </row>
    <row r="3561" spans="2:9" x14ac:dyDescent="0.25">
      <c r="B3561" s="123"/>
      <c r="F3561" s="79"/>
      <c r="I3561" s="123"/>
    </row>
    <row r="3562" spans="2:9" x14ac:dyDescent="0.25">
      <c r="B3562" s="123"/>
      <c r="F3562" s="79"/>
      <c r="I3562" s="123"/>
    </row>
    <row r="3563" spans="2:9" x14ac:dyDescent="0.25">
      <c r="B3563" s="123"/>
      <c r="F3563" s="79"/>
      <c r="I3563" s="123"/>
    </row>
    <row r="3564" spans="2:9" x14ac:dyDescent="0.25">
      <c r="B3564" s="123"/>
      <c r="F3564" s="79"/>
      <c r="I3564" s="123"/>
    </row>
    <row r="3565" spans="2:9" x14ac:dyDescent="0.25">
      <c r="B3565" s="123"/>
      <c r="F3565" s="79"/>
      <c r="I3565" s="123"/>
    </row>
    <row r="3566" spans="2:9" x14ac:dyDescent="0.25">
      <c r="B3566" s="123"/>
      <c r="F3566" s="79"/>
      <c r="I3566" s="123"/>
    </row>
    <row r="3567" spans="2:9" x14ac:dyDescent="0.25">
      <c r="B3567" s="123"/>
      <c r="F3567" s="79"/>
      <c r="I3567" s="123"/>
    </row>
    <row r="3568" spans="2:9" x14ac:dyDescent="0.25">
      <c r="B3568" s="123"/>
      <c r="F3568" s="79"/>
      <c r="I3568" s="123"/>
    </row>
    <row r="3569" spans="2:9" x14ac:dyDescent="0.25">
      <c r="B3569" s="123"/>
      <c r="F3569" s="79"/>
      <c r="I3569" s="123"/>
    </row>
    <row r="3570" spans="2:9" x14ac:dyDescent="0.25">
      <c r="B3570" s="123"/>
      <c r="F3570" s="79"/>
      <c r="I3570" s="123"/>
    </row>
    <row r="3571" spans="2:9" x14ac:dyDescent="0.25">
      <c r="B3571" s="123"/>
      <c r="F3571" s="79"/>
      <c r="I3571" s="123"/>
    </row>
    <row r="3572" spans="2:9" x14ac:dyDescent="0.25">
      <c r="B3572" s="123"/>
      <c r="F3572" s="79"/>
      <c r="I3572" s="123"/>
    </row>
    <row r="3573" spans="2:9" x14ac:dyDescent="0.25">
      <c r="B3573" s="123"/>
      <c r="F3573" s="79"/>
      <c r="I3573" s="123"/>
    </row>
    <row r="3574" spans="2:9" x14ac:dyDescent="0.25">
      <c r="B3574" s="123"/>
      <c r="F3574" s="79"/>
      <c r="I3574" s="123"/>
    </row>
    <row r="3575" spans="2:9" x14ac:dyDescent="0.25">
      <c r="B3575" s="123"/>
      <c r="F3575" s="79"/>
      <c r="I3575" s="123"/>
    </row>
    <row r="3576" spans="2:9" x14ac:dyDescent="0.25">
      <c r="B3576" s="123"/>
      <c r="F3576" s="79"/>
      <c r="I3576" s="123"/>
    </row>
    <row r="3577" spans="2:9" x14ac:dyDescent="0.25">
      <c r="B3577" s="123"/>
      <c r="F3577" s="79"/>
      <c r="I3577" s="123"/>
    </row>
    <row r="3578" spans="2:9" x14ac:dyDescent="0.25">
      <c r="B3578" s="123"/>
      <c r="F3578" s="79"/>
      <c r="I3578" s="123"/>
    </row>
    <row r="3579" spans="2:9" x14ac:dyDescent="0.25">
      <c r="B3579" s="123"/>
      <c r="F3579" s="79"/>
      <c r="I3579" s="123"/>
    </row>
    <row r="3580" spans="2:9" x14ac:dyDescent="0.25">
      <c r="B3580" s="123"/>
      <c r="F3580" s="79"/>
      <c r="I3580" s="123"/>
    </row>
    <row r="3581" spans="2:9" x14ac:dyDescent="0.25">
      <c r="B3581" s="123"/>
      <c r="F3581" s="79"/>
      <c r="I3581" s="123"/>
    </row>
    <row r="3582" spans="2:9" x14ac:dyDescent="0.25">
      <c r="B3582" s="123"/>
      <c r="F3582" s="79"/>
      <c r="I3582" s="123"/>
    </row>
    <row r="3583" spans="2:9" x14ac:dyDescent="0.25">
      <c r="B3583" s="123"/>
      <c r="F3583" s="79"/>
      <c r="I3583" s="123"/>
    </row>
    <row r="3584" spans="2:9" x14ac:dyDescent="0.25">
      <c r="B3584" s="123"/>
      <c r="F3584" s="79"/>
      <c r="I3584" s="123"/>
    </row>
    <row r="3585" spans="2:9" x14ac:dyDescent="0.25">
      <c r="B3585" s="123"/>
      <c r="F3585" s="79"/>
      <c r="I3585" s="123"/>
    </row>
    <row r="3586" spans="2:9" x14ac:dyDescent="0.25">
      <c r="B3586" s="123"/>
      <c r="F3586" s="79"/>
      <c r="I3586" s="123"/>
    </row>
    <row r="3587" spans="2:9" x14ac:dyDescent="0.25">
      <c r="B3587" s="123"/>
      <c r="F3587" s="79"/>
      <c r="I3587" s="123"/>
    </row>
    <row r="3588" spans="2:9" x14ac:dyDescent="0.25">
      <c r="B3588" s="123"/>
      <c r="F3588" s="79"/>
      <c r="I3588" s="123"/>
    </row>
    <row r="3589" spans="2:9" x14ac:dyDescent="0.25">
      <c r="B3589" s="123"/>
      <c r="F3589" s="79"/>
      <c r="I3589" s="123"/>
    </row>
    <row r="3590" spans="2:9" x14ac:dyDescent="0.25">
      <c r="B3590" s="123"/>
      <c r="F3590" s="79"/>
      <c r="I3590" s="123"/>
    </row>
    <row r="3591" spans="2:9" x14ac:dyDescent="0.25">
      <c r="B3591" s="123"/>
      <c r="F3591" s="79"/>
      <c r="I3591" s="123"/>
    </row>
    <row r="3592" spans="2:9" x14ac:dyDescent="0.25">
      <c r="B3592" s="123"/>
      <c r="F3592" s="79"/>
      <c r="I3592" s="123"/>
    </row>
    <row r="3593" spans="2:9" x14ac:dyDescent="0.25">
      <c r="B3593" s="123"/>
      <c r="F3593" s="79"/>
      <c r="I3593" s="123"/>
    </row>
    <row r="3594" spans="2:9" x14ac:dyDescent="0.25">
      <c r="B3594" s="123"/>
      <c r="F3594" s="79"/>
      <c r="I3594" s="123"/>
    </row>
    <row r="3595" spans="2:9" x14ac:dyDescent="0.25">
      <c r="B3595" s="123"/>
      <c r="F3595" s="79"/>
      <c r="I3595" s="123"/>
    </row>
    <row r="3596" spans="2:9" x14ac:dyDescent="0.25">
      <c r="B3596" s="123"/>
      <c r="F3596" s="79"/>
      <c r="I3596" s="123"/>
    </row>
    <row r="3597" spans="2:9" x14ac:dyDescent="0.25">
      <c r="B3597" s="123"/>
      <c r="F3597" s="79"/>
      <c r="I3597" s="123"/>
    </row>
    <row r="3598" spans="2:9" x14ac:dyDescent="0.25">
      <c r="B3598" s="123"/>
      <c r="F3598" s="79"/>
      <c r="I3598" s="123"/>
    </row>
    <row r="3599" spans="2:9" x14ac:dyDescent="0.25">
      <c r="B3599" s="123"/>
      <c r="F3599" s="79"/>
      <c r="I3599" s="123"/>
    </row>
    <row r="3600" spans="2:9" x14ac:dyDescent="0.25">
      <c r="B3600" s="123"/>
      <c r="F3600" s="79"/>
      <c r="I3600" s="123"/>
    </row>
    <row r="3601" spans="2:9" x14ac:dyDescent="0.25">
      <c r="B3601" s="123"/>
      <c r="F3601" s="79"/>
      <c r="I3601" s="123"/>
    </row>
    <row r="3602" spans="2:9" x14ac:dyDescent="0.25">
      <c r="B3602" s="123"/>
      <c r="F3602" s="79"/>
      <c r="I3602" s="123"/>
    </row>
    <row r="3603" spans="2:9" x14ac:dyDescent="0.25">
      <c r="B3603" s="123"/>
      <c r="F3603" s="79"/>
      <c r="I3603" s="123"/>
    </row>
    <row r="3604" spans="2:9" x14ac:dyDescent="0.25">
      <c r="B3604" s="123"/>
      <c r="F3604" s="79"/>
      <c r="I3604" s="123"/>
    </row>
    <row r="3605" spans="2:9" x14ac:dyDescent="0.25">
      <c r="B3605" s="123"/>
      <c r="F3605" s="79"/>
      <c r="I3605" s="123"/>
    </row>
    <row r="3606" spans="2:9" x14ac:dyDescent="0.25">
      <c r="B3606" s="123"/>
      <c r="F3606" s="79"/>
      <c r="I3606" s="123"/>
    </row>
    <row r="3607" spans="2:9" x14ac:dyDescent="0.25">
      <c r="B3607" s="123"/>
      <c r="F3607" s="79"/>
      <c r="I3607" s="123"/>
    </row>
    <row r="3608" spans="2:9" x14ac:dyDescent="0.25">
      <c r="B3608" s="123"/>
      <c r="F3608" s="79"/>
      <c r="I3608" s="123"/>
    </row>
    <row r="3609" spans="2:9" x14ac:dyDescent="0.25">
      <c r="B3609" s="123"/>
      <c r="F3609" s="79"/>
      <c r="I3609" s="123"/>
    </row>
    <row r="3610" spans="2:9" x14ac:dyDescent="0.25">
      <c r="B3610" s="123"/>
      <c r="F3610" s="79"/>
      <c r="I3610" s="123"/>
    </row>
    <row r="3611" spans="2:9" x14ac:dyDescent="0.25">
      <c r="B3611" s="123"/>
      <c r="F3611" s="79"/>
      <c r="I3611" s="123"/>
    </row>
    <row r="3612" spans="2:9" x14ac:dyDescent="0.25">
      <c r="B3612" s="123"/>
      <c r="F3612" s="79"/>
      <c r="I3612" s="123"/>
    </row>
    <row r="3613" spans="2:9" x14ac:dyDescent="0.25">
      <c r="B3613" s="123"/>
      <c r="F3613" s="79"/>
      <c r="I3613" s="123"/>
    </row>
    <row r="3614" spans="2:9" x14ac:dyDescent="0.25">
      <c r="B3614" s="123"/>
      <c r="F3614" s="79"/>
      <c r="I3614" s="123"/>
    </row>
    <row r="3615" spans="2:9" x14ac:dyDescent="0.25">
      <c r="B3615" s="123"/>
      <c r="F3615" s="79"/>
      <c r="I3615" s="123"/>
    </row>
    <row r="3616" spans="2:9" x14ac:dyDescent="0.25">
      <c r="B3616" s="123"/>
      <c r="F3616" s="79"/>
      <c r="I3616" s="123"/>
    </row>
    <row r="3617" spans="2:9" x14ac:dyDescent="0.25">
      <c r="B3617" s="123"/>
      <c r="F3617" s="79"/>
      <c r="I3617" s="123"/>
    </row>
    <row r="3618" spans="2:9" x14ac:dyDescent="0.25">
      <c r="B3618" s="123"/>
      <c r="F3618" s="79"/>
      <c r="I3618" s="123"/>
    </row>
    <row r="3619" spans="2:9" x14ac:dyDescent="0.25">
      <c r="B3619" s="123"/>
      <c r="F3619" s="79"/>
      <c r="I3619" s="123"/>
    </row>
    <row r="3620" spans="2:9" x14ac:dyDescent="0.25">
      <c r="B3620" s="123"/>
      <c r="F3620" s="79"/>
      <c r="I3620" s="123"/>
    </row>
    <row r="3621" spans="2:9" x14ac:dyDescent="0.25">
      <c r="B3621" s="123"/>
      <c r="F3621" s="79"/>
      <c r="I3621" s="123"/>
    </row>
    <row r="3622" spans="2:9" x14ac:dyDescent="0.25">
      <c r="B3622" s="123"/>
      <c r="F3622" s="79"/>
      <c r="I3622" s="123"/>
    </row>
    <row r="3623" spans="2:9" x14ac:dyDescent="0.25">
      <c r="B3623" s="123"/>
      <c r="F3623" s="79"/>
      <c r="I3623" s="123"/>
    </row>
    <row r="3624" spans="2:9" x14ac:dyDescent="0.25">
      <c r="B3624" s="123"/>
      <c r="F3624" s="79"/>
      <c r="I3624" s="123"/>
    </row>
    <row r="3625" spans="2:9" x14ac:dyDescent="0.25">
      <c r="B3625" s="123"/>
      <c r="F3625" s="79"/>
      <c r="I3625" s="123"/>
    </row>
    <row r="3626" spans="2:9" x14ac:dyDescent="0.25">
      <c r="B3626" s="123"/>
      <c r="F3626" s="79"/>
      <c r="I3626" s="123"/>
    </row>
    <row r="3627" spans="2:9" x14ac:dyDescent="0.25">
      <c r="B3627" s="123"/>
      <c r="F3627" s="79"/>
      <c r="I3627" s="123"/>
    </row>
    <row r="3628" spans="2:9" x14ac:dyDescent="0.25">
      <c r="B3628" s="123"/>
      <c r="F3628" s="79"/>
      <c r="I3628" s="123"/>
    </row>
    <row r="3629" spans="2:9" x14ac:dyDescent="0.25">
      <c r="B3629" s="123"/>
      <c r="F3629" s="79"/>
      <c r="I3629" s="123"/>
    </row>
    <row r="3630" spans="2:9" x14ac:dyDescent="0.25">
      <c r="B3630" s="123"/>
      <c r="F3630" s="79"/>
      <c r="I3630" s="123"/>
    </row>
    <row r="3631" spans="2:9" x14ac:dyDescent="0.25">
      <c r="B3631" s="123"/>
      <c r="F3631" s="79"/>
      <c r="I3631" s="123"/>
    </row>
    <row r="3632" spans="2:9" x14ac:dyDescent="0.25">
      <c r="B3632" s="123"/>
      <c r="F3632" s="79"/>
      <c r="I3632" s="123"/>
    </row>
    <row r="3633" spans="2:9" x14ac:dyDescent="0.25">
      <c r="B3633" s="123"/>
      <c r="F3633" s="79"/>
      <c r="I3633" s="123"/>
    </row>
    <row r="3634" spans="2:9" x14ac:dyDescent="0.25">
      <c r="B3634" s="123"/>
      <c r="F3634" s="79"/>
      <c r="I3634" s="123"/>
    </row>
    <row r="3635" spans="2:9" x14ac:dyDescent="0.25">
      <c r="B3635" s="123"/>
      <c r="F3635" s="79"/>
      <c r="I3635" s="123"/>
    </row>
    <row r="3636" spans="2:9" x14ac:dyDescent="0.25">
      <c r="B3636" s="123"/>
      <c r="F3636" s="79"/>
      <c r="I3636" s="123"/>
    </row>
    <row r="3637" spans="2:9" x14ac:dyDescent="0.25">
      <c r="B3637" s="123"/>
      <c r="F3637" s="79"/>
      <c r="I3637" s="123"/>
    </row>
    <row r="3638" spans="2:9" x14ac:dyDescent="0.25">
      <c r="B3638" s="123"/>
      <c r="F3638" s="79"/>
      <c r="I3638" s="123"/>
    </row>
    <row r="3639" spans="2:9" x14ac:dyDescent="0.25">
      <c r="B3639" s="123"/>
      <c r="F3639" s="79"/>
      <c r="I3639" s="123"/>
    </row>
    <row r="3640" spans="2:9" x14ac:dyDescent="0.25">
      <c r="B3640" s="123"/>
      <c r="F3640" s="79"/>
      <c r="I3640" s="123"/>
    </row>
    <row r="3641" spans="2:9" x14ac:dyDescent="0.25">
      <c r="B3641" s="123"/>
      <c r="F3641" s="79"/>
      <c r="I3641" s="123"/>
    </row>
    <row r="3642" spans="2:9" x14ac:dyDescent="0.25">
      <c r="B3642" s="123"/>
      <c r="F3642" s="79"/>
      <c r="I3642" s="123"/>
    </row>
    <row r="3643" spans="2:9" x14ac:dyDescent="0.25">
      <c r="B3643" s="123"/>
      <c r="F3643" s="79"/>
      <c r="I3643" s="123"/>
    </row>
    <row r="3644" spans="2:9" x14ac:dyDescent="0.25">
      <c r="B3644" s="123"/>
      <c r="F3644" s="79"/>
      <c r="I3644" s="123"/>
    </row>
    <row r="3645" spans="2:9" x14ac:dyDescent="0.25">
      <c r="B3645" s="123"/>
      <c r="F3645" s="79"/>
      <c r="I3645" s="123"/>
    </row>
    <row r="3646" spans="2:9" x14ac:dyDescent="0.25">
      <c r="B3646" s="123"/>
      <c r="F3646" s="79"/>
      <c r="I3646" s="123"/>
    </row>
    <row r="3647" spans="2:9" x14ac:dyDescent="0.25">
      <c r="B3647" s="123"/>
      <c r="F3647" s="79"/>
      <c r="I3647" s="123"/>
    </row>
    <row r="3648" spans="2:9" x14ac:dyDescent="0.25">
      <c r="B3648" s="123"/>
      <c r="F3648" s="79"/>
      <c r="I3648" s="123"/>
    </row>
    <row r="3649" spans="2:9" x14ac:dyDescent="0.25">
      <c r="B3649" s="123"/>
      <c r="F3649" s="79"/>
      <c r="I3649" s="123"/>
    </row>
    <row r="3650" spans="2:9" x14ac:dyDescent="0.25">
      <c r="B3650" s="123"/>
      <c r="F3650" s="79"/>
      <c r="I3650" s="123"/>
    </row>
    <row r="3651" spans="2:9" x14ac:dyDescent="0.25">
      <c r="B3651" s="123"/>
      <c r="F3651" s="79"/>
      <c r="I3651" s="123"/>
    </row>
    <row r="3652" spans="2:9" x14ac:dyDescent="0.25">
      <c r="B3652" s="123"/>
      <c r="F3652" s="79"/>
      <c r="I3652" s="123"/>
    </row>
    <row r="3653" spans="2:9" x14ac:dyDescent="0.25">
      <c r="B3653" s="123"/>
      <c r="F3653" s="79"/>
      <c r="I3653" s="123"/>
    </row>
    <row r="3654" spans="2:9" x14ac:dyDescent="0.25">
      <c r="B3654" s="123"/>
      <c r="F3654" s="79"/>
      <c r="I3654" s="123"/>
    </row>
    <row r="3655" spans="2:9" x14ac:dyDescent="0.25">
      <c r="B3655" s="123"/>
      <c r="F3655" s="79"/>
      <c r="I3655" s="123"/>
    </row>
    <row r="3656" spans="2:9" x14ac:dyDescent="0.25">
      <c r="B3656" s="123"/>
      <c r="F3656" s="79"/>
      <c r="I3656" s="123"/>
    </row>
    <row r="3657" spans="2:9" x14ac:dyDescent="0.25">
      <c r="B3657" s="123"/>
      <c r="F3657" s="79"/>
      <c r="I3657" s="123"/>
    </row>
    <row r="3658" spans="2:9" x14ac:dyDescent="0.25">
      <c r="B3658" s="123"/>
      <c r="F3658" s="79"/>
      <c r="I3658" s="123"/>
    </row>
    <row r="3659" spans="2:9" x14ac:dyDescent="0.25">
      <c r="B3659" s="123"/>
      <c r="F3659" s="79"/>
      <c r="I3659" s="123"/>
    </row>
    <row r="3660" spans="2:9" x14ac:dyDescent="0.25">
      <c r="B3660" s="123"/>
      <c r="F3660" s="79"/>
      <c r="I3660" s="123"/>
    </row>
    <row r="3661" spans="2:9" x14ac:dyDescent="0.25">
      <c r="B3661" s="123"/>
      <c r="F3661" s="79"/>
      <c r="I3661" s="123"/>
    </row>
    <row r="3662" spans="2:9" x14ac:dyDescent="0.25">
      <c r="B3662" s="123"/>
      <c r="F3662" s="79"/>
      <c r="I3662" s="123"/>
    </row>
    <row r="3663" spans="2:9" x14ac:dyDescent="0.25">
      <c r="B3663" s="123"/>
      <c r="F3663" s="79"/>
      <c r="I3663" s="123"/>
    </row>
    <row r="3664" spans="2:9" x14ac:dyDescent="0.25">
      <c r="B3664" s="123"/>
      <c r="F3664" s="79"/>
      <c r="I3664" s="123"/>
    </row>
    <row r="3665" spans="2:9" x14ac:dyDescent="0.25">
      <c r="B3665" s="123"/>
      <c r="F3665" s="79"/>
      <c r="I3665" s="123"/>
    </row>
    <row r="3666" spans="2:9" x14ac:dyDescent="0.25">
      <c r="B3666" s="123"/>
      <c r="F3666" s="79"/>
      <c r="I3666" s="123"/>
    </row>
    <row r="3667" spans="2:9" x14ac:dyDescent="0.25">
      <c r="B3667" s="123"/>
      <c r="F3667" s="79"/>
      <c r="I3667" s="123"/>
    </row>
    <row r="3668" spans="2:9" x14ac:dyDescent="0.25">
      <c r="B3668" s="123"/>
      <c r="F3668" s="79"/>
      <c r="I3668" s="123"/>
    </row>
    <row r="3669" spans="2:9" x14ac:dyDescent="0.25">
      <c r="B3669" s="123"/>
      <c r="F3669" s="79"/>
      <c r="I3669" s="123"/>
    </row>
    <row r="3670" spans="2:9" x14ac:dyDescent="0.25">
      <c r="B3670" s="123"/>
      <c r="F3670" s="79"/>
      <c r="I3670" s="123"/>
    </row>
    <row r="3671" spans="2:9" x14ac:dyDescent="0.25">
      <c r="B3671" s="123"/>
      <c r="F3671" s="79"/>
      <c r="I3671" s="123"/>
    </row>
    <row r="3672" spans="2:9" x14ac:dyDescent="0.25">
      <c r="B3672" s="123"/>
      <c r="F3672" s="79"/>
      <c r="I3672" s="123"/>
    </row>
    <row r="3673" spans="2:9" x14ac:dyDescent="0.25">
      <c r="B3673" s="123"/>
      <c r="F3673" s="79"/>
      <c r="I3673" s="123"/>
    </row>
    <row r="3674" spans="2:9" x14ac:dyDescent="0.25">
      <c r="B3674" s="123"/>
      <c r="F3674" s="79"/>
      <c r="I3674" s="123"/>
    </row>
    <row r="3675" spans="2:9" x14ac:dyDescent="0.25">
      <c r="B3675" s="123"/>
      <c r="F3675" s="79"/>
      <c r="I3675" s="123"/>
    </row>
    <row r="3676" spans="2:9" x14ac:dyDescent="0.25">
      <c r="B3676" s="123"/>
      <c r="F3676" s="79"/>
      <c r="I3676" s="123"/>
    </row>
    <row r="3677" spans="2:9" x14ac:dyDescent="0.25">
      <c r="B3677" s="123"/>
      <c r="F3677" s="79"/>
      <c r="I3677" s="123"/>
    </row>
    <row r="3678" spans="2:9" x14ac:dyDescent="0.25">
      <c r="B3678" s="123"/>
      <c r="F3678" s="79"/>
      <c r="I3678" s="123"/>
    </row>
    <row r="3679" spans="2:9" x14ac:dyDescent="0.25">
      <c r="B3679" s="123"/>
      <c r="F3679" s="79"/>
      <c r="I3679" s="123"/>
    </row>
    <row r="3680" spans="2:9" x14ac:dyDescent="0.25">
      <c r="B3680" s="123"/>
      <c r="F3680" s="79"/>
      <c r="I3680" s="123"/>
    </row>
    <row r="3681" spans="2:9" x14ac:dyDescent="0.25">
      <c r="B3681" s="123"/>
      <c r="F3681" s="79"/>
      <c r="I3681" s="123"/>
    </row>
    <row r="3682" spans="2:9" x14ac:dyDescent="0.25">
      <c r="B3682" s="123"/>
      <c r="F3682" s="79"/>
      <c r="I3682" s="123"/>
    </row>
    <row r="3683" spans="2:9" x14ac:dyDescent="0.25">
      <c r="B3683" s="123"/>
      <c r="F3683" s="79"/>
      <c r="I3683" s="123"/>
    </row>
    <row r="3684" spans="2:9" x14ac:dyDescent="0.25">
      <c r="B3684" s="123"/>
      <c r="F3684" s="79"/>
      <c r="I3684" s="123"/>
    </row>
    <row r="3685" spans="2:9" x14ac:dyDescent="0.25">
      <c r="B3685" s="123"/>
      <c r="F3685" s="79"/>
      <c r="I3685" s="123"/>
    </row>
    <row r="3686" spans="2:9" x14ac:dyDescent="0.25">
      <c r="B3686" s="123"/>
      <c r="F3686" s="79"/>
      <c r="I3686" s="123"/>
    </row>
    <row r="3687" spans="2:9" x14ac:dyDescent="0.25">
      <c r="B3687" s="123"/>
      <c r="F3687" s="79"/>
      <c r="I3687" s="123"/>
    </row>
    <row r="3688" spans="2:9" x14ac:dyDescent="0.25">
      <c r="B3688" s="123"/>
      <c r="F3688" s="79"/>
      <c r="I3688" s="123"/>
    </row>
    <row r="3689" spans="2:9" x14ac:dyDescent="0.25">
      <c r="B3689" s="123"/>
      <c r="F3689" s="79"/>
      <c r="I3689" s="123"/>
    </row>
    <row r="3690" spans="2:9" x14ac:dyDescent="0.25">
      <c r="B3690" s="123"/>
      <c r="F3690" s="79"/>
      <c r="I3690" s="123"/>
    </row>
    <row r="3691" spans="2:9" x14ac:dyDescent="0.25">
      <c r="B3691" s="123"/>
      <c r="F3691" s="79"/>
      <c r="I3691" s="123"/>
    </row>
    <row r="3692" spans="2:9" x14ac:dyDescent="0.25">
      <c r="B3692" s="123"/>
      <c r="F3692" s="79"/>
      <c r="I3692" s="123"/>
    </row>
    <row r="3693" spans="2:9" x14ac:dyDescent="0.25">
      <c r="B3693" s="123"/>
      <c r="F3693" s="79"/>
      <c r="I3693" s="123"/>
    </row>
    <row r="3694" spans="2:9" x14ac:dyDescent="0.25">
      <c r="B3694" s="123"/>
      <c r="F3694" s="79"/>
      <c r="I3694" s="123"/>
    </row>
    <row r="3695" spans="2:9" x14ac:dyDescent="0.25">
      <c r="B3695" s="123"/>
      <c r="F3695" s="79"/>
      <c r="I3695" s="123"/>
    </row>
    <row r="3696" spans="2:9" x14ac:dyDescent="0.25">
      <c r="B3696" s="123"/>
      <c r="F3696" s="79"/>
      <c r="I3696" s="123"/>
    </row>
    <row r="3697" spans="2:9" x14ac:dyDescent="0.25">
      <c r="B3697" s="123"/>
      <c r="F3697" s="79"/>
      <c r="I3697" s="123"/>
    </row>
    <row r="3698" spans="2:9" x14ac:dyDescent="0.25">
      <c r="B3698" s="123"/>
      <c r="F3698" s="79"/>
      <c r="I3698" s="123"/>
    </row>
    <row r="3699" spans="2:9" x14ac:dyDescent="0.25">
      <c r="B3699" s="123"/>
      <c r="F3699" s="79"/>
      <c r="I3699" s="123"/>
    </row>
    <row r="3700" spans="2:9" x14ac:dyDescent="0.25">
      <c r="B3700" s="123"/>
      <c r="F3700" s="79"/>
      <c r="I3700" s="123"/>
    </row>
    <row r="3701" spans="2:9" x14ac:dyDescent="0.25">
      <c r="B3701" s="123"/>
      <c r="F3701" s="79"/>
      <c r="I3701" s="123"/>
    </row>
    <row r="3702" spans="2:9" x14ac:dyDescent="0.25">
      <c r="B3702" s="123"/>
      <c r="F3702" s="79"/>
      <c r="I3702" s="123"/>
    </row>
    <row r="3703" spans="2:9" x14ac:dyDescent="0.25">
      <c r="B3703" s="123"/>
      <c r="F3703" s="79"/>
      <c r="I3703" s="123"/>
    </row>
    <row r="3704" spans="2:9" x14ac:dyDescent="0.25">
      <c r="B3704" s="123"/>
      <c r="F3704" s="79"/>
      <c r="I3704" s="123"/>
    </row>
    <row r="3705" spans="2:9" x14ac:dyDescent="0.25">
      <c r="B3705" s="123"/>
      <c r="F3705" s="79"/>
      <c r="I3705" s="123"/>
    </row>
    <row r="3706" spans="2:9" x14ac:dyDescent="0.25">
      <c r="B3706" s="123"/>
      <c r="F3706" s="79"/>
      <c r="I3706" s="123"/>
    </row>
    <row r="3707" spans="2:9" x14ac:dyDescent="0.25">
      <c r="B3707" s="123"/>
      <c r="F3707" s="79"/>
      <c r="I3707" s="123"/>
    </row>
    <row r="3708" spans="2:9" x14ac:dyDescent="0.25">
      <c r="B3708" s="123"/>
      <c r="F3708" s="79"/>
      <c r="I3708" s="123"/>
    </row>
    <row r="3709" spans="2:9" x14ac:dyDescent="0.25">
      <c r="B3709" s="123"/>
      <c r="F3709" s="79"/>
      <c r="I3709" s="123"/>
    </row>
    <row r="3710" spans="2:9" x14ac:dyDescent="0.25">
      <c r="B3710" s="123"/>
      <c r="F3710" s="79"/>
      <c r="I3710" s="123"/>
    </row>
    <row r="3711" spans="2:9" x14ac:dyDescent="0.25">
      <c r="B3711" s="123"/>
      <c r="F3711" s="79"/>
      <c r="I3711" s="123"/>
    </row>
    <row r="3712" spans="2:9" x14ac:dyDescent="0.25">
      <c r="B3712" s="123"/>
      <c r="F3712" s="79"/>
      <c r="I3712" s="123"/>
    </row>
    <row r="3713" spans="2:9" x14ac:dyDescent="0.25">
      <c r="B3713" s="123"/>
      <c r="F3713" s="79"/>
      <c r="I3713" s="123"/>
    </row>
    <row r="3714" spans="2:9" x14ac:dyDescent="0.25">
      <c r="B3714" s="123"/>
      <c r="F3714" s="79"/>
      <c r="I3714" s="123"/>
    </row>
    <row r="3715" spans="2:9" x14ac:dyDescent="0.25">
      <c r="B3715" s="123"/>
      <c r="F3715" s="79"/>
      <c r="I3715" s="123"/>
    </row>
    <row r="3716" spans="2:9" x14ac:dyDescent="0.25">
      <c r="B3716" s="123"/>
      <c r="F3716" s="79"/>
      <c r="I3716" s="123"/>
    </row>
    <row r="3717" spans="2:9" x14ac:dyDescent="0.25">
      <c r="B3717" s="123"/>
      <c r="F3717" s="79"/>
      <c r="I3717" s="123"/>
    </row>
    <row r="3718" spans="2:9" x14ac:dyDescent="0.25">
      <c r="B3718" s="123"/>
      <c r="F3718" s="79"/>
      <c r="I3718" s="123"/>
    </row>
    <row r="3719" spans="2:9" x14ac:dyDescent="0.25">
      <c r="B3719" s="123"/>
      <c r="F3719" s="79"/>
      <c r="I3719" s="123"/>
    </row>
    <row r="3720" spans="2:9" x14ac:dyDescent="0.25">
      <c r="B3720" s="123"/>
      <c r="F3720" s="79"/>
      <c r="I3720" s="123"/>
    </row>
    <row r="3721" spans="2:9" x14ac:dyDescent="0.25">
      <c r="B3721" s="123"/>
      <c r="F3721" s="79"/>
      <c r="I3721" s="123"/>
    </row>
    <row r="3722" spans="2:9" x14ac:dyDescent="0.25">
      <c r="B3722" s="123"/>
      <c r="F3722" s="79"/>
      <c r="I3722" s="123"/>
    </row>
    <row r="3723" spans="2:9" x14ac:dyDescent="0.25">
      <c r="B3723" s="123"/>
      <c r="F3723" s="79"/>
      <c r="I3723" s="123"/>
    </row>
    <row r="3724" spans="2:9" x14ac:dyDescent="0.25">
      <c r="B3724" s="123"/>
      <c r="F3724" s="79"/>
      <c r="I3724" s="123"/>
    </row>
    <row r="3725" spans="2:9" x14ac:dyDescent="0.25">
      <c r="B3725" s="123"/>
      <c r="F3725" s="79"/>
      <c r="I3725" s="123"/>
    </row>
    <row r="3726" spans="2:9" x14ac:dyDescent="0.25">
      <c r="B3726" s="123"/>
      <c r="F3726" s="79"/>
      <c r="I3726" s="123"/>
    </row>
    <row r="3727" spans="2:9" x14ac:dyDescent="0.25">
      <c r="B3727" s="123"/>
      <c r="F3727" s="79"/>
      <c r="I3727" s="123"/>
    </row>
    <row r="3728" spans="2:9" x14ac:dyDescent="0.25">
      <c r="B3728" s="123"/>
      <c r="F3728" s="79"/>
      <c r="I3728" s="123"/>
    </row>
    <row r="3729" spans="2:9" x14ac:dyDescent="0.25">
      <c r="B3729" s="123"/>
      <c r="F3729" s="79"/>
      <c r="I3729" s="123"/>
    </row>
    <row r="3730" spans="2:9" x14ac:dyDescent="0.25">
      <c r="B3730" s="123"/>
      <c r="F3730" s="79"/>
      <c r="I3730" s="123"/>
    </row>
    <row r="3731" spans="2:9" x14ac:dyDescent="0.25">
      <c r="B3731" s="123"/>
      <c r="F3731" s="79"/>
      <c r="I3731" s="123"/>
    </row>
    <row r="3732" spans="2:9" x14ac:dyDescent="0.25">
      <c r="B3732" s="123"/>
      <c r="F3732" s="79"/>
      <c r="I3732" s="123"/>
    </row>
    <row r="3733" spans="2:9" x14ac:dyDescent="0.25">
      <c r="B3733" s="123"/>
      <c r="F3733" s="79"/>
      <c r="I3733" s="123"/>
    </row>
    <row r="3734" spans="2:9" x14ac:dyDescent="0.25">
      <c r="B3734" s="123"/>
      <c r="F3734" s="79"/>
      <c r="I3734" s="123"/>
    </row>
    <row r="3735" spans="2:9" x14ac:dyDescent="0.25">
      <c r="B3735" s="123"/>
      <c r="F3735" s="79"/>
      <c r="I3735" s="123"/>
    </row>
    <row r="3736" spans="2:9" x14ac:dyDescent="0.25">
      <c r="B3736" s="123"/>
      <c r="F3736" s="79"/>
      <c r="I3736" s="123"/>
    </row>
    <row r="3737" spans="2:9" x14ac:dyDescent="0.25">
      <c r="B3737" s="123"/>
      <c r="F3737" s="79"/>
      <c r="I3737" s="123"/>
    </row>
    <row r="3738" spans="2:9" x14ac:dyDescent="0.25">
      <c r="B3738" s="123"/>
      <c r="F3738" s="79"/>
      <c r="I3738" s="123"/>
    </row>
    <row r="3739" spans="2:9" x14ac:dyDescent="0.25">
      <c r="B3739" s="123"/>
      <c r="F3739" s="79"/>
      <c r="I3739" s="123"/>
    </row>
    <row r="3740" spans="2:9" x14ac:dyDescent="0.25">
      <c r="B3740" s="123"/>
      <c r="F3740" s="79"/>
      <c r="I3740" s="123"/>
    </row>
    <row r="3741" spans="2:9" x14ac:dyDescent="0.25">
      <c r="B3741" s="123"/>
      <c r="F3741" s="79"/>
      <c r="I3741" s="123"/>
    </row>
    <row r="3742" spans="2:9" x14ac:dyDescent="0.25">
      <c r="B3742" s="123"/>
      <c r="F3742" s="79"/>
      <c r="I3742" s="123"/>
    </row>
    <row r="3743" spans="2:9" x14ac:dyDescent="0.25">
      <c r="B3743" s="123"/>
      <c r="F3743" s="79"/>
      <c r="I3743" s="123"/>
    </row>
    <row r="3744" spans="2:9" x14ac:dyDescent="0.25">
      <c r="B3744" s="123"/>
      <c r="F3744" s="79"/>
      <c r="I3744" s="123"/>
    </row>
    <row r="3745" spans="2:9" x14ac:dyDescent="0.25">
      <c r="B3745" s="123"/>
      <c r="F3745" s="79"/>
      <c r="I3745" s="123"/>
    </row>
    <row r="3746" spans="2:9" x14ac:dyDescent="0.25">
      <c r="B3746" s="123"/>
      <c r="F3746" s="79"/>
      <c r="I3746" s="123"/>
    </row>
    <row r="3747" spans="2:9" x14ac:dyDescent="0.25">
      <c r="B3747" s="123"/>
      <c r="F3747" s="79"/>
      <c r="I3747" s="123"/>
    </row>
    <row r="3748" spans="2:9" x14ac:dyDescent="0.25">
      <c r="B3748" s="123"/>
      <c r="F3748" s="79"/>
      <c r="I3748" s="123"/>
    </row>
    <row r="3749" spans="2:9" x14ac:dyDescent="0.25">
      <c r="B3749" s="123"/>
      <c r="F3749" s="79"/>
      <c r="I3749" s="123"/>
    </row>
    <row r="3750" spans="2:9" x14ac:dyDescent="0.25">
      <c r="B3750" s="123"/>
      <c r="F3750" s="79"/>
      <c r="I3750" s="123"/>
    </row>
    <row r="3751" spans="2:9" x14ac:dyDescent="0.25">
      <c r="B3751" s="123"/>
      <c r="F3751" s="79"/>
      <c r="I3751" s="123"/>
    </row>
    <row r="3752" spans="2:9" x14ac:dyDescent="0.25">
      <c r="B3752" s="123"/>
      <c r="F3752" s="79"/>
      <c r="I3752" s="123"/>
    </row>
    <row r="3753" spans="2:9" x14ac:dyDescent="0.25">
      <c r="B3753" s="123"/>
      <c r="F3753" s="79"/>
      <c r="I3753" s="123"/>
    </row>
    <row r="3754" spans="2:9" x14ac:dyDescent="0.25">
      <c r="B3754" s="123"/>
      <c r="F3754" s="79"/>
      <c r="I3754" s="123"/>
    </row>
    <row r="3755" spans="2:9" x14ac:dyDescent="0.25">
      <c r="B3755" s="123"/>
      <c r="F3755" s="79"/>
      <c r="I3755" s="123"/>
    </row>
    <row r="3756" spans="2:9" x14ac:dyDescent="0.25">
      <c r="B3756" s="123"/>
      <c r="F3756" s="79"/>
      <c r="I3756" s="123"/>
    </row>
    <row r="3757" spans="2:9" x14ac:dyDescent="0.25">
      <c r="B3757" s="123"/>
      <c r="F3757" s="79"/>
      <c r="I3757" s="123"/>
    </row>
    <row r="3758" spans="2:9" x14ac:dyDescent="0.25">
      <c r="B3758" s="123"/>
      <c r="F3758" s="79"/>
      <c r="I3758" s="123"/>
    </row>
    <row r="3759" spans="2:9" x14ac:dyDescent="0.25">
      <c r="B3759" s="123"/>
      <c r="F3759" s="79"/>
      <c r="I3759" s="123"/>
    </row>
    <row r="3760" spans="2:9" x14ac:dyDescent="0.25">
      <c r="B3760" s="123"/>
      <c r="F3760" s="79"/>
      <c r="I3760" s="123"/>
    </row>
    <row r="3761" spans="2:9" x14ac:dyDescent="0.25">
      <c r="B3761" s="123"/>
      <c r="F3761" s="79"/>
      <c r="I3761" s="123"/>
    </row>
    <row r="3762" spans="2:9" x14ac:dyDescent="0.25">
      <c r="B3762" s="123"/>
      <c r="F3762" s="79"/>
      <c r="I3762" s="123"/>
    </row>
    <row r="3763" spans="2:9" x14ac:dyDescent="0.25">
      <c r="B3763" s="123"/>
      <c r="F3763" s="79"/>
      <c r="I3763" s="123"/>
    </row>
    <row r="3764" spans="2:9" x14ac:dyDescent="0.25">
      <c r="B3764" s="123"/>
      <c r="F3764" s="79"/>
      <c r="I3764" s="123"/>
    </row>
    <row r="3765" spans="2:9" x14ac:dyDescent="0.25">
      <c r="B3765" s="123"/>
      <c r="F3765" s="79"/>
      <c r="I3765" s="123"/>
    </row>
    <row r="3766" spans="2:9" x14ac:dyDescent="0.25">
      <c r="B3766" s="123"/>
      <c r="F3766" s="79"/>
      <c r="I3766" s="123"/>
    </row>
    <row r="3767" spans="2:9" x14ac:dyDescent="0.25">
      <c r="B3767" s="123"/>
      <c r="F3767" s="79"/>
      <c r="I3767" s="123"/>
    </row>
    <row r="3768" spans="2:9" x14ac:dyDescent="0.25">
      <c r="B3768" s="123"/>
      <c r="F3768" s="79"/>
      <c r="I3768" s="123"/>
    </row>
    <row r="3769" spans="2:9" x14ac:dyDescent="0.25">
      <c r="B3769" s="123"/>
      <c r="F3769" s="79"/>
      <c r="I3769" s="123"/>
    </row>
    <row r="3770" spans="2:9" x14ac:dyDescent="0.25">
      <c r="B3770" s="123"/>
      <c r="F3770" s="79"/>
      <c r="I3770" s="123"/>
    </row>
    <row r="3771" spans="2:9" x14ac:dyDescent="0.25">
      <c r="B3771" s="123"/>
      <c r="F3771" s="79"/>
      <c r="I3771" s="123"/>
    </row>
    <row r="3772" spans="2:9" x14ac:dyDescent="0.25">
      <c r="B3772" s="123"/>
      <c r="F3772" s="79"/>
      <c r="I3772" s="123"/>
    </row>
    <row r="3773" spans="2:9" x14ac:dyDescent="0.25">
      <c r="B3773" s="123"/>
      <c r="F3773" s="79"/>
      <c r="I3773" s="123"/>
    </row>
    <row r="3774" spans="2:9" x14ac:dyDescent="0.25">
      <c r="B3774" s="123"/>
      <c r="F3774" s="79"/>
      <c r="I3774" s="123"/>
    </row>
    <row r="3775" spans="2:9" x14ac:dyDescent="0.25">
      <c r="B3775" s="123"/>
      <c r="F3775" s="79"/>
      <c r="I3775" s="123"/>
    </row>
    <row r="3776" spans="2:9" x14ac:dyDescent="0.25">
      <c r="B3776" s="123"/>
      <c r="F3776" s="79"/>
      <c r="I3776" s="123"/>
    </row>
    <row r="3777" spans="2:9" x14ac:dyDescent="0.25">
      <c r="B3777" s="123"/>
      <c r="F3777" s="79"/>
      <c r="I3777" s="123"/>
    </row>
    <row r="3778" spans="2:9" x14ac:dyDescent="0.25">
      <c r="B3778" s="123"/>
      <c r="F3778" s="79"/>
      <c r="I3778" s="123"/>
    </row>
    <row r="3779" spans="2:9" x14ac:dyDescent="0.25">
      <c r="B3779" s="123"/>
      <c r="F3779" s="79"/>
      <c r="I3779" s="123"/>
    </row>
    <row r="3780" spans="2:9" x14ac:dyDescent="0.25">
      <c r="B3780" s="123"/>
      <c r="F3780" s="79"/>
      <c r="I3780" s="123"/>
    </row>
    <row r="3781" spans="2:9" x14ac:dyDescent="0.25">
      <c r="B3781" s="123"/>
      <c r="F3781" s="79"/>
      <c r="I3781" s="123"/>
    </row>
    <row r="3782" spans="2:9" x14ac:dyDescent="0.25">
      <c r="B3782" s="123"/>
      <c r="F3782" s="79"/>
      <c r="I3782" s="123"/>
    </row>
    <row r="3783" spans="2:9" x14ac:dyDescent="0.25">
      <c r="B3783" s="123"/>
      <c r="F3783" s="79"/>
      <c r="I3783" s="123"/>
    </row>
    <row r="3784" spans="2:9" x14ac:dyDescent="0.25">
      <c r="B3784" s="123"/>
      <c r="F3784" s="79"/>
      <c r="I3784" s="123"/>
    </row>
    <row r="3785" spans="2:9" x14ac:dyDescent="0.25">
      <c r="B3785" s="123"/>
      <c r="F3785" s="79"/>
      <c r="I3785" s="123"/>
    </row>
    <row r="3786" spans="2:9" x14ac:dyDescent="0.25">
      <c r="B3786" s="123"/>
      <c r="F3786" s="79"/>
      <c r="I3786" s="123"/>
    </row>
    <row r="3787" spans="2:9" x14ac:dyDescent="0.25">
      <c r="B3787" s="123"/>
      <c r="F3787" s="79"/>
      <c r="I3787" s="123"/>
    </row>
    <row r="3788" spans="2:9" x14ac:dyDescent="0.25">
      <c r="B3788" s="123"/>
      <c r="F3788" s="79"/>
      <c r="I3788" s="123"/>
    </row>
    <row r="3789" spans="2:9" x14ac:dyDescent="0.25">
      <c r="B3789" s="123"/>
      <c r="F3789" s="79"/>
      <c r="I3789" s="123"/>
    </row>
    <row r="3790" spans="2:9" x14ac:dyDescent="0.25">
      <c r="B3790" s="123"/>
      <c r="F3790" s="79"/>
      <c r="I3790" s="123"/>
    </row>
    <row r="3791" spans="2:9" x14ac:dyDescent="0.25">
      <c r="B3791" s="123"/>
      <c r="F3791" s="79"/>
      <c r="I3791" s="123"/>
    </row>
    <row r="3792" spans="2:9" x14ac:dyDescent="0.25">
      <c r="B3792" s="123"/>
      <c r="F3792" s="79"/>
      <c r="I3792" s="123"/>
    </row>
    <row r="3793" spans="2:9" x14ac:dyDescent="0.25">
      <c r="B3793" s="123"/>
      <c r="F3793" s="79"/>
      <c r="I3793" s="123"/>
    </row>
    <row r="3794" spans="2:9" x14ac:dyDescent="0.25">
      <c r="B3794" s="123"/>
      <c r="F3794" s="79"/>
      <c r="I3794" s="123"/>
    </row>
    <row r="3795" spans="2:9" x14ac:dyDescent="0.25">
      <c r="B3795" s="123"/>
      <c r="F3795" s="79"/>
      <c r="I3795" s="123"/>
    </row>
    <row r="3796" spans="2:9" x14ac:dyDescent="0.25">
      <c r="B3796" s="123"/>
      <c r="F3796" s="79"/>
      <c r="I3796" s="123"/>
    </row>
    <row r="3797" spans="2:9" x14ac:dyDescent="0.25">
      <c r="B3797" s="123"/>
      <c r="F3797" s="79"/>
      <c r="I3797" s="123"/>
    </row>
    <row r="3798" spans="2:9" x14ac:dyDescent="0.25">
      <c r="B3798" s="123"/>
      <c r="F3798" s="79"/>
      <c r="I3798" s="123"/>
    </row>
    <row r="3799" spans="2:9" x14ac:dyDescent="0.25">
      <c r="B3799" s="123"/>
      <c r="F3799" s="79"/>
      <c r="I3799" s="123"/>
    </row>
    <row r="3800" spans="2:9" x14ac:dyDescent="0.25">
      <c r="B3800" s="123"/>
      <c r="G3800" s="79"/>
      <c r="I3800" s="123"/>
    </row>
    <row r="3801" spans="2:9" x14ac:dyDescent="0.25">
      <c r="B3801" s="123"/>
      <c r="G3801" s="79"/>
      <c r="I3801" s="123"/>
    </row>
    <row r="3802" spans="2:9" x14ac:dyDescent="0.25">
      <c r="B3802" s="123"/>
      <c r="G3802" s="79"/>
      <c r="I3802" s="123"/>
    </row>
    <row r="3803" spans="2:9" x14ac:dyDescent="0.25">
      <c r="B3803" s="123"/>
      <c r="G3803" s="79"/>
      <c r="I3803" s="123"/>
    </row>
    <row r="3804" spans="2:9" x14ac:dyDescent="0.25">
      <c r="B3804" s="123"/>
      <c r="G3804" s="79"/>
      <c r="I3804" s="123"/>
    </row>
    <row r="3805" spans="2:9" x14ac:dyDescent="0.25">
      <c r="B3805" s="123"/>
      <c r="G3805" s="79"/>
      <c r="I3805" s="123"/>
    </row>
    <row r="3806" spans="2:9" x14ac:dyDescent="0.25">
      <c r="B3806" s="123"/>
      <c r="F3806" s="79"/>
      <c r="I3806" s="123"/>
    </row>
    <row r="3807" spans="2:9" x14ac:dyDescent="0.25">
      <c r="B3807" s="123"/>
      <c r="F3807" s="79"/>
      <c r="I3807" s="123"/>
    </row>
    <row r="3808" spans="2:9" x14ac:dyDescent="0.25">
      <c r="B3808" s="123"/>
      <c r="F3808" s="79"/>
      <c r="I3808" s="123"/>
    </row>
    <row r="3809" spans="2:9" x14ac:dyDescent="0.25">
      <c r="B3809" s="123"/>
      <c r="F3809" s="79"/>
      <c r="I3809" s="123"/>
    </row>
    <row r="3810" spans="2:9" x14ac:dyDescent="0.25">
      <c r="B3810" s="123"/>
      <c r="F3810" s="79"/>
      <c r="I3810" s="123"/>
    </row>
    <row r="3811" spans="2:9" x14ac:dyDescent="0.25">
      <c r="B3811" s="123"/>
      <c r="F3811" s="79"/>
      <c r="I3811" s="123"/>
    </row>
    <row r="3812" spans="2:9" x14ac:dyDescent="0.25">
      <c r="B3812" s="123"/>
      <c r="F3812" s="79"/>
      <c r="I3812" s="123"/>
    </row>
    <row r="3813" spans="2:9" x14ac:dyDescent="0.25">
      <c r="B3813" s="123"/>
      <c r="F3813" s="79"/>
      <c r="I3813" s="123"/>
    </row>
    <row r="3814" spans="2:9" x14ac:dyDescent="0.25">
      <c r="B3814" s="123"/>
      <c r="F3814" s="79"/>
      <c r="I3814" s="123"/>
    </row>
    <row r="3815" spans="2:9" x14ac:dyDescent="0.25">
      <c r="B3815" s="123"/>
      <c r="F3815" s="79"/>
      <c r="I3815" s="123"/>
    </row>
    <row r="3816" spans="2:9" x14ac:dyDescent="0.25">
      <c r="B3816" s="123"/>
      <c r="F3816" s="79"/>
      <c r="I3816" s="123"/>
    </row>
    <row r="3817" spans="2:9" x14ac:dyDescent="0.25">
      <c r="B3817" s="123"/>
      <c r="F3817" s="79"/>
      <c r="I3817" s="123"/>
    </row>
    <row r="3818" spans="2:9" x14ac:dyDescent="0.25">
      <c r="B3818" s="123"/>
      <c r="F3818" s="79"/>
      <c r="I3818" s="123"/>
    </row>
    <row r="3819" spans="2:9" x14ac:dyDescent="0.25">
      <c r="B3819" s="123"/>
      <c r="F3819" s="79"/>
      <c r="I3819" s="123"/>
    </row>
    <row r="3820" spans="2:9" x14ac:dyDescent="0.25">
      <c r="B3820" s="123"/>
      <c r="F3820" s="79"/>
      <c r="I3820" s="123"/>
    </row>
    <row r="3821" spans="2:9" x14ac:dyDescent="0.25">
      <c r="B3821" s="123"/>
      <c r="F3821" s="79"/>
      <c r="I3821" s="123"/>
    </row>
    <row r="3822" spans="2:9" x14ac:dyDescent="0.25">
      <c r="B3822" s="123"/>
      <c r="F3822" s="79"/>
      <c r="I3822" s="123"/>
    </row>
    <row r="3823" spans="2:9" x14ac:dyDescent="0.25">
      <c r="B3823" s="123"/>
      <c r="F3823" s="79"/>
      <c r="I3823" s="123"/>
    </row>
    <row r="3824" spans="2:9" x14ac:dyDescent="0.25">
      <c r="B3824" s="123"/>
      <c r="F3824" s="79"/>
      <c r="I3824" s="123"/>
    </row>
    <row r="3825" spans="2:9" x14ac:dyDescent="0.25">
      <c r="B3825" s="123"/>
      <c r="F3825" s="79"/>
      <c r="I3825" s="123"/>
    </row>
    <row r="3826" spans="2:9" x14ac:dyDescent="0.25">
      <c r="B3826" s="123"/>
      <c r="F3826" s="79"/>
      <c r="I3826" s="123"/>
    </row>
    <row r="3827" spans="2:9" x14ac:dyDescent="0.25">
      <c r="B3827" s="123"/>
      <c r="F3827" s="79"/>
      <c r="I3827" s="123"/>
    </row>
    <row r="3828" spans="2:9" x14ac:dyDescent="0.25">
      <c r="B3828" s="123"/>
      <c r="F3828" s="79"/>
      <c r="I3828" s="123"/>
    </row>
    <row r="3829" spans="2:9" x14ac:dyDescent="0.25">
      <c r="B3829" s="123"/>
      <c r="F3829" s="79"/>
      <c r="I3829" s="123"/>
    </row>
    <row r="3830" spans="2:9" x14ac:dyDescent="0.25">
      <c r="B3830" s="123"/>
      <c r="F3830" s="79"/>
      <c r="I3830" s="123"/>
    </row>
    <row r="3831" spans="2:9" x14ac:dyDescent="0.25">
      <c r="B3831" s="123"/>
      <c r="F3831" s="79"/>
      <c r="I3831" s="123"/>
    </row>
    <row r="3832" spans="2:9" x14ac:dyDescent="0.25">
      <c r="B3832" s="123"/>
      <c r="F3832" s="79"/>
      <c r="I3832" s="123"/>
    </row>
    <row r="3833" spans="2:9" x14ac:dyDescent="0.25">
      <c r="B3833" s="123"/>
      <c r="F3833" s="79"/>
      <c r="I3833" s="123"/>
    </row>
    <row r="3834" spans="2:9" x14ac:dyDescent="0.25">
      <c r="B3834" s="123"/>
      <c r="F3834" s="79"/>
      <c r="I3834" s="123"/>
    </row>
    <row r="3835" spans="2:9" x14ac:dyDescent="0.25">
      <c r="B3835" s="123"/>
      <c r="F3835" s="79"/>
      <c r="I3835" s="123"/>
    </row>
    <row r="3836" spans="2:9" x14ac:dyDescent="0.25">
      <c r="B3836" s="123"/>
      <c r="F3836" s="79"/>
      <c r="I3836" s="123"/>
    </row>
    <row r="3837" spans="2:9" x14ac:dyDescent="0.25">
      <c r="B3837" s="123"/>
      <c r="F3837" s="79"/>
      <c r="I3837" s="123"/>
    </row>
    <row r="3838" spans="2:9" x14ac:dyDescent="0.25">
      <c r="B3838" s="123"/>
      <c r="F3838" s="79"/>
      <c r="I3838" s="123"/>
    </row>
    <row r="3839" spans="2:9" x14ac:dyDescent="0.25">
      <c r="B3839" s="123"/>
      <c r="F3839" s="79"/>
      <c r="I3839" s="123"/>
    </row>
    <row r="3840" spans="2:9" x14ac:dyDescent="0.25">
      <c r="B3840" s="123"/>
      <c r="F3840" s="79"/>
      <c r="I3840" s="123"/>
    </row>
    <row r="3841" spans="2:9" x14ac:dyDescent="0.25">
      <c r="B3841" s="123"/>
      <c r="F3841" s="79"/>
      <c r="I3841" s="123"/>
    </row>
    <row r="3842" spans="2:9" x14ac:dyDescent="0.25">
      <c r="B3842" s="123"/>
      <c r="F3842" s="79"/>
      <c r="I3842" s="123"/>
    </row>
    <row r="3843" spans="2:9" x14ac:dyDescent="0.25">
      <c r="B3843" s="123"/>
      <c r="F3843" s="79"/>
      <c r="I3843" s="123"/>
    </row>
    <row r="3844" spans="2:9" x14ac:dyDescent="0.25">
      <c r="B3844" s="123"/>
      <c r="F3844" s="79"/>
      <c r="I3844" s="123"/>
    </row>
    <row r="3845" spans="2:9" x14ac:dyDescent="0.25">
      <c r="B3845" s="123"/>
      <c r="F3845" s="79"/>
      <c r="I3845" s="123"/>
    </row>
    <row r="3846" spans="2:9" x14ac:dyDescent="0.25">
      <c r="B3846" s="123"/>
      <c r="F3846" s="79"/>
      <c r="I3846" s="123"/>
    </row>
    <row r="3847" spans="2:9" x14ac:dyDescent="0.25">
      <c r="B3847" s="123"/>
      <c r="F3847" s="79"/>
      <c r="I3847" s="123"/>
    </row>
    <row r="3848" spans="2:9" x14ac:dyDescent="0.25">
      <c r="B3848" s="123"/>
      <c r="F3848" s="79"/>
      <c r="I3848" s="123"/>
    </row>
    <row r="3849" spans="2:9" x14ac:dyDescent="0.25">
      <c r="B3849" s="123"/>
      <c r="F3849" s="79"/>
      <c r="I3849" s="123"/>
    </row>
    <row r="3850" spans="2:9" x14ac:dyDescent="0.25">
      <c r="B3850" s="123"/>
      <c r="F3850" s="79"/>
      <c r="I3850" s="123"/>
    </row>
    <row r="3851" spans="2:9" x14ac:dyDescent="0.25">
      <c r="B3851" s="123"/>
      <c r="C3851" s="99"/>
      <c r="F3851" s="79"/>
      <c r="I3851" s="123"/>
    </row>
    <row r="3852" spans="2:9" x14ac:dyDescent="0.25">
      <c r="B3852" s="123"/>
      <c r="F3852" s="79"/>
      <c r="I3852" s="123"/>
    </row>
    <row r="3853" spans="2:9" x14ac:dyDescent="0.25">
      <c r="B3853" s="123"/>
      <c r="C3853" s="99"/>
      <c r="F3853" s="79"/>
      <c r="I3853" s="123"/>
    </row>
    <row r="3854" spans="2:9" x14ac:dyDescent="0.25">
      <c r="B3854" s="123"/>
      <c r="F3854" s="79"/>
      <c r="I3854" s="123"/>
    </row>
    <row r="3855" spans="2:9" x14ac:dyDescent="0.25">
      <c r="B3855" s="123"/>
      <c r="F3855" s="79"/>
      <c r="I3855" s="123"/>
    </row>
    <row r="3856" spans="2:9" x14ac:dyDescent="0.25">
      <c r="B3856" s="123"/>
      <c r="C3856" s="99"/>
      <c r="F3856" s="79"/>
      <c r="I3856" s="123"/>
    </row>
    <row r="3857" spans="2:9" x14ac:dyDescent="0.25">
      <c r="B3857" s="123"/>
      <c r="C3857" s="99"/>
      <c r="F3857" s="79"/>
      <c r="I3857" s="123"/>
    </row>
    <row r="3858" spans="2:9" x14ac:dyDescent="0.25">
      <c r="B3858" s="123"/>
      <c r="C3858" s="99"/>
      <c r="F3858" s="79"/>
      <c r="I3858" s="123"/>
    </row>
    <row r="3859" spans="2:9" x14ac:dyDescent="0.25">
      <c r="B3859" s="123"/>
      <c r="C3859" s="99"/>
      <c r="F3859" s="79"/>
      <c r="I3859" s="123"/>
    </row>
    <row r="3860" spans="2:9" x14ac:dyDescent="0.25">
      <c r="B3860" s="123"/>
      <c r="F3860" s="79"/>
      <c r="I3860" s="123"/>
    </row>
    <row r="3861" spans="2:9" x14ac:dyDescent="0.25">
      <c r="B3861" s="123"/>
      <c r="F3861" s="79"/>
      <c r="I3861" s="123"/>
    </row>
    <row r="3862" spans="2:9" x14ac:dyDescent="0.25">
      <c r="B3862" s="123"/>
      <c r="C3862" s="99"/>
      <c r="F3862" s="79"/>
      <c r="I3862" s="123"/>
    </row>
    <row r="3863" spans="2:9" x14ac:dyDescent="0.25">
      <c r="B3863" s="123"/>
      <c r="F3863" s="79"/>
      <c r="I3863" s="123"/>
    </row>
    <row r="3864" spans="2:9" x14ac:dyDescent="0.25">
      <c r="B3864" s="123"/>
      <c r="F3864" s="79"/>
      <c r="I3864" s="123"/>
    </row>
    <row r="3865" spans="2:9" x14ac:dyDescent="0.25">
      <c r="B3865" s="123"/>
      <c r="C3865" s="99"/>
      <c r="F3865" s="79"/>
      <c r="I3865" s="123"/>
    </row>
    <row r="3866" spans="2:9" x14ac:dyDescent="0.25">
      <c r="B3866" s="123"/>
      <c r="F3866" s="79"/>
      <c r="I3866" s="123"/>
    </row>
    <row r="3867" spans="2:9" x14ac:dyDescent="0.25">
      <c r="B3867" s="123"/>
      <c r="F3867" s="79"/>
      <c r="I3867" s="123"/>
    </row>
    <row r="3868" spans="2:9" x14ac:dyDescent="0.25">
      <c r="B3868" s="123"/>
      <c r="F3868" s="79"/>
      <c r="I3868" s="123"/>
    </row>
    <row r="3869" spans="2:9" x14ac:dyDescent="0.25">
      <c r="B3869" s="123"/>
      <c r="F3869" s="79"/>
      <c r="I3869" s="123"/>
    </row>
    <row r="3870" spans="2:9" x14ac:dyDescent="0.25">
      <c r="B3870" s="123"/>
      <c r="F3870" s="79"/>
      <c r="I3870" s="123"/>
    </row>
    <row r="3871" spans="2:9" x14ac:dyDescent="0.25">
      <c r="B3871" s="123"/>
      <c r="C3871" s="99"/>
      <c r="F3871" s="79"/>
      <c r="I3871" s="123"/>
    </row>
    <row r="3872" spans="2:9" x14ac:dyDescent="0.25">
      <c r="B3872" s="123"/>
      <c r="C3872" s="99"/>
      <c r="F3872" s="79"/>
      <c r="I3872" s="123"/>
    </row>
    <row r="3873" spans="2:9" x14ac:dyDescent="0.25">
      <c r="B3873" s="123"/>
      <c r="F3873" s="79"/>
      <c r="I3873" s="123"/>
    </row>
    <row r="3874" spans="2:9" x14ac:dyDescent="0.25">
      <c r="B3874" s="123"/>
      <c r="C3874" s="99"/>
      <c r="F3874" s="79"/>
      <c r="I3874" s="123"/>
    </row>
    <row r="3875" spans="2:9" x14ac:dyDescent="0.25">
      <c r="B3875" s="123"/>
      <c r="C3875" s="99"/>
      <c r="F3875" s="79"/>
      <c r="I3875" s="123"/>
    </row>
    <row r="3876" spans="2:9" x14ac:dyDescent="0.25">
      <c r="B3876" s="123"/>
      <c r="C3876" s="99"/>
      <c r="F3876" s="79"/>
      <c r="I3876" s="123"/>
    </row>
    <row r="3877" spans="2:9" x14ac:dyDescent="0.25">
      <c r="B3877" s="123"/>
      <c r="C3877" s="99"/>
      <c r="F3877" s="79"/>
      <c r="I3877" s="123"/>
    </row>
    <row r="3878" spans="2:9" x14ac:dyDescent="0.25">
      <c r="B3878" s="123"/>
      <c r="C3878" s="99"/>
      <c r="F3878" s="79"/>
      <c r="I3878" s="123"/>
    </row>
    <row r="3879" spans="2:9" x14ac:dyDescent="0.25">
      <c r="B3879" s="123"/>
      <c r="F3879" s="79"/>
      <c r="I3879" s="123"/>
    </row>
    <row r="3880" spans="2:9" x14ac:dyDescent="0.25">
      <c r="B3880" s="123"/>
      <c r="F3880" s="79"/>
      <c r="I3880" s="123"/>
    </row>
    <row r="3881" spans="2:9" x14ac:dyDescent="0.25">
      <c r="B3881" s="123"/>
      <c r="F3881" s="79"/>
      <c r="I3881" s="123"/>
    </row>
    <row r="3882" spans="2:9" x14ac:dyDescent="0.25">
      <c r="B3882" s="123"/>
      <c r="F3882" s="79"/>
      <c r="I3882" s="123"/>
    </row>
    <row r="3883" spans="2:9" x14ac:dyDescent="0.25">
      <c r="B3883" s="123"/>
      <c r="F3883" s="79"/>
      <c r="I3883" s="123"/>
    </row>
    <row r="3884" spans="2:9" x14ac:dyDescent="0.25">
      <c r="B3884" s="123"/>
      <c r="F3884" s="79"/>
      <c r="I3884" s="123"/>
    </row>
    <row r="3885" spans="2:9" x14ac:dyDescent="0.25">
      <c r="B3885" s="123"/>
      <c r="F3885" s="79"/>
      <c r="I3885" s="123"/>
    </row>
    <row r="3886" spans="2:9" x14ac:dyDescent="0.25">
      <c r="B3886" s="123"/>
      <c r="F3886" s="79"/>
      <c r="I3886" s="123"/>
    </row>
    <row r="3887" spans="2:9" x14ac:dyDescent="0.25">
      <c r="B3887" s="123"/>
      <c r="C3887" s="99"/>
      <c r="F3887" s="79"/>
      <c r="I3887" s="123"/>
    </row>
    <row r="3888" spans="2:9" x14ac:dyDescent="0.25">
      <c r="B3888" s="123"/>
      <c r="C3888" s="99"/>
      <c r="F3888" s="79"/>
      <c r="I3888" s="123"/>
    </row>
    <row r="3889" spans="2:9" x14ac:dyDescent="0.25">
      <c r="B3889" s="123"/>
      <c r="C3889" s="99"/>
      <c r="F3889" s="79"/>
      <c r="I3889" s="123"/>
    </row>
    <row r="3890" spans="2:9" x14ac:dyDescent="0.25">
      <c r="B3890" s="123"/>
      <c r="F3890" s="79"/>
      <c r="I3890" s="123"/>
    </row>
    <row r="3891" spans="2:9" x14ac:dyDescent="0.25">
      <c r="B3891" s="123"/>
      <c r="F3891" s="79"/>
      <c r="I3891" s="123"/>
    </row>
    <row r="3892" spans="2:9" x14ac:dyDescent="0.25">
      <c r="B3892" s="123"/>
      <c r="C3892" s="99"/>
      <c r="F3892" s="79"/>
      <c r="I3892" s="123"/>
    </row>
    <row r="3893" spans="2:9" x14ac:dyDescent="0.25">
      <c r="B3893" s="123"/>
      <c r="F3893" s="79"/>
      <c r="I3893" s="123"/>
    </row>
    <row r="3894" spans="2:9" x14ac:dyDescent="0.25">
      <c r="B3894" s="123"/>
      <c r="F3894" s="79"/>
      <c r="I3894" s="123"/>
    </row>
    <row r="3895" spans="2:9" x14ac:dyDescent="0.25">
      <c r="B3895" s="123"/>
      <c r="C3895" s="99"/>
      <c r="F3895" s="79"/>
      <c r="I3895" s="123"/>
    </row>
    <row r="3896" spans="2:9" x14ac:dyDescent="0.25">
      <c r="B3896" s="123"/>
      <c r="F3896" s="79"/>
      <c r="I3896" s="123"/>
    </row>
    <row r="3897" spans="2:9" x14ac:dyDescent="0.25">
      <c r="B3897" s="123"/>
      <c r="C3897" s="99"/>
      <c r="F3897" s="79"/>
      <c r="I3897" s="123"/>
    </row>
    <row r="3898" spans="2:9" x14ac:dyDescent="0.25">
      <c r="B3898" s="123"/>
      <c r="C3898" s="99"/>
      <c r="F3898" s="79"/>
      <c r="I3898" s="123"/>
    </row>
    <row r="3899" spans="2:9" x14ac:dyDescent="0.25">
      <c r="B3899" s="123"/>
      <c r="C3899" s="99"/>
      <c r="F3899" s="79"/>
      <c r="I3899" s="123"/>
    </row>
    <row r="3900" spans="2:9" x14ac:dyDescent="0.25">
      <c r="B3900" s="123"/>
      <c r="C3900" s="99"/>
      <c r="F3900" s="79"/>
      <c r="I3900" s="123"/>
    </row>
    <row r="3901" spans="2:9" x14ac:dyDescent="0.25">
      <c r="B3901" s="123"/>
      <c r="C3901" s="99"/>
      <c r="F3901" s="79"/>
      <c r="I3901" s="123"/>
    </row>
    <row r="3902" spans="2:9" x14ac:dyDescent="0.25">
      <c r="B3902" s="123"/>
      <c r="F3902" s="79"/>
      <c r="I3902" s="123"/>
    </row>
    <row r="3903" spans="2:9" x14ac:dyDescent="0.25">
      <c r="B3903" s="123"/>
      <c r="F3903" s="79"/>
      <c r="I3903" s="123"/>
    </row>
    <row r="3904" spans="2:9" x14ac:dyDescent="0.25">
      <c r="B3904" s="123"/>
      <c r="F3904" s="79"/>
      <c r="I3904" s="123"/>
    </row>
    <row r="3905" spans="2:9" x14ac:dyDescent="0.25">
      <c r="B3905" s="123"/>
      <c r="F3905" s="79"/>
      <c r="I3905" s="123"/>
    </row>
    <row r="3906" spans="2:9" x14ac:dyDescent="0.25">
      <c r="B3906" s="123"/>
      <c r="C3906" s="99"/>
      <c r="F3906" s="79"/>
      <c r="I3906" s="123"/>
    </row>
    <row r="3907" spans="2:9" x14ac:dyDescent="0.25">
      <c r="B3907" s="123"/>
      <c r="C3907" s="99"/>
      <c r="F3907" s="79"/>
      <c r="I3907" s="123"/>
    </row>
    <row r="3908" spans="2:9" x14ac:dyDescent="0.25">
      <c r="B3908" s="123"/>
      <c r="C3908" s="99"/>
      <c r="F3908" s="79"/>
      <c r="I3908" s="123"/>
    </row>
    <row r="3909" spans="2:9" x14ac:dyDescent="0.25">
      <c r="B3909" s="123"/>
      <c r="F3909" s="79"/>
      <c r="I3909" s="123"/>
    </row>
    <row r="3910" spans="2:9" x14ac:dyDescent="0.25">
      <c r="B3910" s="123"/>
      <c r="F3910" s="79"/>
      <c r="I3910" s="123"/>
    </row>
    <row r="3911" spans="2:9" x14ac:dyDescent="0.25">
      <c r="B3911" s="123"/>
      <c r="F3911" s="79"/>
      <c r="I3911" s="123"/>
    </row>
    <row r="3912" spans="2:9" x14ac:dyDescent="0.25">
      <c r="B3912" s="123"/>
      <c r="C3912" s="99"/>
      <c r="F3912" s="79"/>
      <c r="I3912" s="123"/>
    </row>
    <row r="3913" spans="2:9" x14ac:dyDescent="0.25">
      <c r="B3913" s="123"/>
      <c r="C3913" s="99"/>
      <c r="F3913" s="79"/>
      <c r="I3913" s="123"/>
    </row>
    <row r="3914" spans="2:9" x14ac:dyDescent="0.25">
      <c r="B3914" s="123"/>
      <c r="C3914" s="99"/>
      <c r="F3914" s="79"/>
      <c r="I3914" s="123"/>
    </row>
    <row r="3915" spans="2:9" x14ac:dyDescent="0.25">
      <c r="B3915" s="123"/>
      <c r="F3915" s="79"/>
      <c r="I3915" s="123"/>
    </row>
    <row r="3916" spans="2:9" x14ac:dyDescent="0.25">
      <c r="B3916" s="123"/>
      <c r="C3916" s="99"/>
      <c r="F3916" s="79"/>
      <c r="I3916" s="123"/>
    </row>
    <row r="3917" spans="2:9" x14ac:dyDescent="0.25">
      <c r="B3917" s="123"/>
      <c r="C3917" s="99"/>
      <c r="F3917" s="79"/>
      <c r="I3917" s="123"/>
    </row>
    <row r="3918" spans="2:9" x14ac:dyDescent="0.25">
      <c r="B3918" s="123"/>
      <c r="F3918" s="79"/>
      <c r="I3918" s="123"/>
    </row>
    <row r="3919" spans="2:9" x14ac:dyDescent="0.25">
      <c r="B3919" s="123"/>
      <c r="F3919" s="79"/>
      <c r="I3919" s="123"/>
    </row>
    <row r="3920" spans="2:9" x14ac:dyDescent="0.25">
      <c r="B3920" s="123"/>
      <c r="F3920" s="79"/>
      <c r="I3920" s="123"/>
    </row>
    <row r="3921" spans="2:9" x14ac:dyDescent="0.25">
      <c r="B3921" s="123"/>
      <c r="F3921" s="79"/>
      <c r="I3921" s="123"/>
    </row>
    <row r="3922" spans="2:9" x14ac:dyDescent="0.25">
      <c r="B3922" s="123"/>
      <c r="F3922" s="79"/>
      <c r="I3922" s="123"/>
    </row>
    <row r="3923" spans="2:9" x14ac:dyDescent="0.25">
      <c r="B3923" s="123"/>
      <c r="F3923" s="79"/>
      <c r="I3923" s="123"/>
    </row>
    <row r="3924" spans="2:9" x14ac:dyDescent="0.25">
      <c r="B3924" s="123"/>
      <c r="F3924" s="79"/>
      <c r="I3924" s="123"/>
    </row>
    <row r="3925" spans="2:9" x14ac:dyDescent="0.25">
      <c r="B3925" s="123"/>
      <c r="F3925" s="79"/>
      <c r="I3925" s="123"/>
    </row>
    <row r="3926" spans="2:9" x14ac:dyDescent="0.25">
      <c r="B3926" s="123"/>
      <c r="F3926" s="79"/>
      <c r="I3926" s="123"/>
    </row>
    <row r="3927" spans="2:9" x14ac:dyDescent="0.25">
      <c r="B3927" s="123"/>
      <c r="C3927" s="99"/>
      <c r="F3927" s="79"/>
      <c r="I3927" s="123"/>
    </row>
    <row r="3928" spans="2:9" x14ac:dyDescent="0.25">
      <c r="B3928" s="123"/>
      <c r="C3928" s="99"/>
      <c r="F3928" s="79"/>
      <c r="I3928" s="123"/>
    </row>
    <row r="3929" spans="2:9" x14ac:dyDescent="0.25">
      <c r="B3929" s="123"/>
      <c r="C3929" s="99"/>
      <c r="F3929" s="79"/>
      <c r="I3929" s="123"/>
    </row>
    <row r="3930" spans="2:9" x14ac:dyDescent="0.25">
      <c r="B3930" s="123"/>
      <c r="F3930" s="79"/>
      <c r="I3930" s="123"/>
    </row>
    <row r="3931" spans="2:9" x14ac:dyDescent="0.25">
      <c r="B3931" s="123"/>
      <c r="F3931" s="79"/>
      <c r="I3931" s="123"/>
    </row>
    <row r="3932" spans="2:9" x14ac:dyDescent="0.25">
      <c r="B3932" s="123"/>
      <c r="C3932" s="99"/>
      <c r="F3932" s="79"/>
      <c r="I3932" s="123"/>
    </row>
    <row r="3933" spans="2:9" x14ac:dyDescent="0.25">
      <c r="B3933" s="123"/>
      <c r="C3933" s="99"/>
      <c r="F3933" s="79"/>
      <c r="I3933" s="123"/>
    </row>
    <row r="3934" spans="2:9" x14ac:dyDescent="0.25">
      <c r="B3934" s="123"/>
      <c r="C3934" s="99"/>
      <c r="F3934" s="79"/>
      <c r="I3934" s="123"/>
    </row>
    <row r="3935" spans="2:9" x14ac:dyDescent="0.25">
      <c r="B3935" s="123"/>
      <c r="C3935" s="99"/>
      <c r="F3935" s="79"/>
      <c r="I3935" s="123"/>
    </row>
    <row r="3936" spans="2:9" x14ac:dyDescent="0.25">
      <c r="B3936" s="123"/>
      <c r="F3936" s="79"/>
      <c r="I3936" s="123"/>
    </row>
    <row r="3937" spans="2:9" x14ac:dyDescent="0.25">
      <c r="B3937" s="123"/>
      <c r="F3937" s="79"/>
      <c r="I3937" s="123"/>
    </row>
    <row r="3938" spans="2:9" x14ac:dyDescent="0.25">
      <c r="B3938" s="123"/>
      <c r="F3938" s="79"/>
      <c r="I3938" s="123"/>
    </row>
    <row r="3939" spans="2:9" x14ac:dyDescent="0.25">
      <c r="B3939" s="123"/>
      <c r="C3939" s="99"/>
      <c r="F3939" s="79"/>
      <c r="I3939" s="123"/>
    </row>
    <row r="3940" spans="2:9" x14ac:dyDescent="0.25">
      <c r="B3940" s="123"/>
      <c r="C3940" s="99"/>
      <c r="F3940" s="79"/>
      <c r="I3940" s="123"/>
    </row>
    <row r="3941" spans="2:9" x14ac:dyDescent="0.25">
      <c r="B3941" s="123"/>
      <c r="C3941" s="99"/>
      <c r="F3941" s="79"/>
      <c r="I3941" s="123"/>
    </row>
    <row r="3942" spans="2:9" x14ac:dyDescent="0.25">
      <c r="B3942" s="123"/>
      <c r="F3942" s="79"/>
      <c r="I3942" s="123"/>
    </row>
    <row r="3943" spans="2:9" x14ac:dyDescent="0.25">
      <c r="B3943" s="123"/>
      <c r="C3943" s="99"/>
      <c r="F3943" s="79"/>
      <c r="I3943" s="123"/>
    </row>
    <row r="3944" spans="2:9" x14ac:dyDescent="0.25">
      <c r="B3944" s="123"/>
      <c r="F3944" s="79"/>
      <c r="I3944" s="123"/>
    </row>
    <row r="3945" spans="2:9" x14ac:dyDescent="0.25">
      <c r="B3945" s="123"/>
      <c r="F3945" s="79"/>
      <c r="I3945" s="123"/>
    </row>
    <row r="3946" spans="2:9" x14ac:dyDescent="0.25">
      <c r="B3946" s="123"/>
      <c r="F3946" s="79"/>
      <c r="I3946" s="123"/>
    </row>
    <row r="3947" spans="2:9" x14ac:dyDescent="0.25">
      <c r="B3947" s="123"/>
      <c r="F3947" s="79"/>
      <c r="I3947" s="123"/>
    </row>
    <row r="3948" spans="2:9" x14ac:dyDescent="0.25">
      <c r="B3948" s="123"/>
      <c r="F3948" s="79"/>
      <c r="I3948" s="123"/>
    </row>
    <row r="3949" spans="2:9" x14ac:dyDescent="0.25">
      <c r="B3949" s="123"/>
      <c r="F3949" s="79"/>
      <c r="I3949" s="123"/>
    </row>
    <row r="3950" spans="2:9" x14ac:dyDescent="0.25">
      <c r="B3950" s="123"/>
      <c r="F3950" s="79"/>
      <c r="I3950" s="123"/>
    </row>
    <row r="3951" spans="2:9" x14ac:dyDescent="0.25">
      <c r="B3951" s="123"/>
      <c r="F3951" s="79"/>
      <c r="I3951" s="123"/>
    </row>
    <row r="3952" spans="2:9" x14ac:dyDescent="0.25">
      <c r="B3952" s="123"/>
      <c r="F3952" s="79"/>
      <c r="I3952" s="123"/>
    </row>
    <row r="3953" spans="2:9" x14ac:dyDescent="0.25">
      <c r="B3953" s="123"/>
      <c r="F3953" s="79"/>
      <c r="I3953" s="123"/>
    </row>
    <row r="3954" spans="2:9" x14ac:dyDescent="0.25">
      <c r="B3954" s="123"/>
      <c r="F3954" s="79"/>
      <c r="I3954" s="123"/>
    </row>
    <row r="3955" spans="2:9" x14ac:dyDescent="0.25">
      <c r="B3955" s="123"/>
      <c r="F3955" s="79"/>
      <c r="I3955" s="123"/>
    </row>
    <row r="3956" spans="2:9" x14ac:dyDescent="0.25">
      <c r="B3956" s="123"/>
      <c r="C3956" s="99"/>
      <c r="F3956" s="79"/>
      <c r="I3956" s="123"/>
    </row>
    <row r="3957" spans="2:9" x14ac:dyDescent="0.25">
      <c r="B3957" s="123"/>
      <c r="C3957" s="99"/>
      <c r="F3957" s="79"/>
      <c r="I3957" s="123"/>
    </row>
    <row r="3958" spans="2:9" x14ac:dyDescent="0.25">
      <c r="B3958" s="123"/>
      <c r="C3958" s="99"/>
      <c r="F3958" s="79"/>
      <c r="I3958" s="123"/>
    </row>
    <row r="3959" spans="2:9" x14ac:dyDescent="0.25">
      <c r="B3959" s="123"/>
      <c r="F3959" s="79"/>
      <c r="I3959" s="123"/>
    </row>
    <row r="3960" spans="2:9" x14ac:dyDescent="0.25">
      <c r="B3960" s="123"/>
      <c r="F3960" s="79"/>
      <c r="I3960" s="123"/>
    </row>
    <row r="3961" spans="2:9" x14ac:dyDescent="0.25">
      <c r="B3961" s="123"/>
      <c r="F3961" s="79"/>
      <c r="I3961" s="123"/>
    </row>
    <row r="3962" spans="2:9" x14ac:dyDescent="0.25">
      <c r="B3962" s="123"/>
      <c r="C3962" s="99"/>
      <c r="F3962" s="79"/>
      <c r="I3962" s="123"/>
    </row>
    <row r="3963" spans="2:9" x14ac:dyDescent="0.25">
      <c r="B3963" s="123"/>
      <c r="F3963" s="79"/>
      <c r="I3963" s="123"/>
    </row>
    <row r="3964" spans="2:9" x14ac:dyDescent="0.25">
      <c r="B3964" s="123"/>
      <c r="F3964" s="79"/>
      <c r="I3964" s="123"/>
    </row>
    <row r="3965" spans="2:9" x14ac:dyDescent="0.25">
      <c r="B3965" s="123"/>
      <c r="F3965" s="79"/>
      <c r="I3965" s="123"/>
    </row>
    <row r="3966" spans="2:9" x14ac:dyDescent="0.25">
      <c r="B3966" s="123"/>
      <c r="F3966" s="79"/>
      <c r="I3966" s="123"/>
    </row>
    <row r="3967" spans="2:9" x14ac:dyDescent="0.25">
      <c r="B3967" s="123"/>
      <c r="C3967" s="99"/>
      <c r="F3967" s="79"/>
      <c r="I3967" s="123"/>
    </row>
    <row r="3968" spans="2:9" x14ac:dyDescent="0.25">
      <c r="B3968" s="123"/>
      <c r="F3968" s="79"/>
      <c r="I3968" s="123"/>
    </row>
    <row r="3969" spans="2:9" x14ac:dyDescent="0.25">
      <c r="B3969" s="123"/>
      <c r="F3969" s="79"/>
      <c r="I3969" s="123"/>
    </row>
    <row r="3970" spans="2:9" x14ac:dyDescent="0.25">
      <c r="B3970" s="123"/>
      <c r="C3970" s="99"/>
      <c r="F3970" s="79"/>
      <c r="I3970" s="123"/>
    </row>
    <row r="3971" spans="2:9" x14ac:dyDescent="0.25">
      <c r="B3971" s="123"/>
      <c r="F3971" s="79"/>
      <c r="I3971" s="123"/>
    </row>
    <row r="3972" spans="2:9" x14ac:dyDescent="0.25">
      <c r="B3972" s="123"/>
      <c r="F3972" s="79"/>
      <c r="I3972" s="123"/>
    </row>
    <row r="3973" spans="2:9" x14ac:dyDescent="0.25">
      <c r="B3973" s="123"/>
      <c r="F3973" s="79"/>
      <c r="I3973" s="123"/>
    </row>
    <row r="3974" spans="2:9" x14ac:dyDescent="0.25">
      <c r="B3974" s="123"/>
      <c r="C3974" s="99"/>
      <c r="F3974" s="79"/>
      <c r="I3974" s="123"/>
    </row>
    <row r="3975" spans="2:9" x14ac:dyDescent="0.25">
      <c r="B3975" s="123"/>
      <c r="F3975" s="79"/>
      <c r="I3975" s="123"/>
    </row>
    <row r="3976" spans="2:9" x14ac:dyDescent="0.25">
      <c r="B3976" s="123"/>
      <c r="F3976" s="79"/>
      <c r="I3976" s="123"/>
    </row>
    <row r="3977" spans="2:9" x14ac:dyDescent="0.25">
      <c r="B3977" s="123"/>
      <c r="F3977" s="79"/>
      <c r="I3977" s="123"/>
    </row>
    <row r="3978" spans="2:9" x14ac:dyDescent="0.25">
      <c r="B3978" s="123"/>
      <c r="F3978" s="79"/>
      <c r="I3978" s="123"/>
    </row>
    <row r="3979" spans="2:9" x14ac:dyDescent="0.25">
      <c r="B3979" s="123"/>
      <c r="F3979" s="79"/>
      <c r="I3979" s="123"/>
    </row>
    <row r="3980" spans="2:9" x14ac:dyDescent="0.25">
      <c r="B3980" s="123"/>
      <c r="F3980" s="79"/>
      <c r="I3980" s="123"/>
    </row>
    <row r="3981" spans="2:9" x14ac:dyDescent="0.25">
      <c r="B3981" s="123"/>
      <c r="F3981" s="79"/>
      <c r="I3981" s="123"/>
    </row>
    <row r="3982" spans="2:9" x14ac:dyDescent="0.25">
      <c r="B3982" s="123"/>
      <c r="F3982" s="79"/>
      <c r="I3982" s="123"/>
    </row>
    <row r="3983" spans="2:9" x14ac:dyDescent="0.25">
      <c r="B3983" s="123"/>
      <c r="F3983" s="79"/>
      <c r="I3983" s="123"/>
    </row>
    <row r="3984" spans="2:9" x14ac:dyDescent="0.25">
      <c r="B3984" s="123"/>
      <c r="F3984" s="79"/>
      <c r="I3984" s="123"/>
    </row>
    <row r="3985" spans="2:9" x14ac:dyDescent="0.25">
      <c r="B3985" s="123"/>
      <c r="C3985" s="99"/>
      <c r="F3985" s="79"/>
      <c r="I3985" s="123"/>
    </row>
    <row r="3986" spans="2:9" x14ac:dyDescent="0.25">
      <c r="B3986" s="123"/>
      <c r="C3986" s="99"/>
      <c r="F3986" s="79"/>
      <c r="I3986" s="123"/>
    </row>
    <row r="3987" spans="2:9" x14ac:dyDescent="0.25">
      <c r="B3987" s="123"/>
      <c r="C3987" s="99"/>
      <c r="F3987" s="79"/>
      <c r="I3987" s="123"/>
    </row>
    <row r="3988" spans="2:9" x14ac:dyDescent="0.25">
      <c r="B3988" s="123"/>
      <c r="F3988" s="79"/>
      <c r="I3988" s="123"/>
    </row>
    <row r="3989" spans="2:9" x14ac:dyDescent="0.25">
      <c r="B3989" s="123"/>
      <c r="F3989" s="79"/>
      <c r="I3989" s="123"/>
    </row>
    <row r="3990" spans="2:9" x14ac:dyDescent="0.25">
      <c r="B3990" s="123"/>
      <c r="F3990" s="79"/>
      <c r="I3990" s="123"/>
    </row>
    <row r="3991" spans="2:9" x14ac:dyDescent="0.25">
      <c r="B3991" s="123"/>
      <c r="F3991" s="79"/>
      <c r="I3991" s="123"/>
    </row>
    <row r="3992" spans="2:9" x14ac:dyDescent="0.25">
      <c r="B3992" s="123"/>
      <c r="F3992" s="79"/>
      <c r="I3992" s="123"/>
    </row>
    <row r="3993" spans="2:9" x14ac:dyDescent="0.25">
      <c r="B3993" s="123"/>
      <c r="F3993" s="79"/>
      <c r="I3993" s="123"/>
    </row>
    <row r="3994" spans="2:9" x14ac:dyDescent="0.25">
      <c r="B3994" s="123"/>
      <c r="F3994" s="79"/>
      <c r="I3994" s="123"/>
    </row>
    <row r="3995" spans="2:9" x14ac:dyDescent="0.25">
      <c r="B3995" s="123"/>
      <c r="C3995" s="99"/>
      <c r="F3995" s="79"/>
      <c r="I3995" s="123"/>
    </row>
    <row r="3996" spans="2:9" x14ac:dyDescent="0.25">
      <c r="B3996" s="123"/>
      <c r="F3996" s="79"/>
      <c r="I3996" s="123"/>
    </row>
    <row r="3997" spans="2:9" x14ac:dyDescent="0.25">
      <c r="B3997" s="123"/>
      <c r="F3997" s="79"/>
      <c r="I3997" s="123"/>
    </row>
    <row r="3998" spans="2:9" x14ac:dyDescent="0.25">
      <c r="B3998" s="123"/>
      <c r="F3998" s="79"/>
      <c r="I3998" s="123"/>
    </row>
    <row r="3999" spans="2:9" x14ac:dyDescent="0.25">
      <c r="B3999" s="123"/>
      <c r="F3999" s="79"/>
      <c r="I3999" s="123"/>
    </row>
    <row r="4000" spans="2:9" x14ac:dyDescent="0.25">
      <c r="B4000" s="123"/>
      <c r="F4000" s="79"/>
      <c r="I4000" s="123"/>
    </row>
    <row r="4001" spans="2:9" x14ac:dyDescent="0.25">
      <c r="B4001" s="123"/>
      <c r="F4001" s="79"/>
      <c r="I4001" s="123"/>
    </row>
    <row r="4002" spans="2:9" x14ac:dyDescent="0.25">
      <c r="B4002" s="123"/>
      <c r="F4002" s="79"/>
      <c r="I4002" s="123"/>
    </row>
    <row r="4003" spans="2:9" x14ac:dyDescent="0.25">
      <c r="B4003" s="123"/>
      <c r="F4003" s="79"/>
      <c r="I4003" s="123"/>
    </row>
    <row r="4004" spans="2:9" x14ac:dyDescent="0.25">
      <c r="B4004" s="123"/>
      <c r="F4004" s="79"/>
      <c r="I4004" s="123"/>
    </row>
    <row r="4005" spans="2:9" x14ac:dyDescent="0.25">
      <c r="B4005" s="123"/>
      <c r="F4005" s="79"/>
      <c r="I4005" s="123"/>
    </row>
    <row r="4006" spans="2:9" x14ac:dyDescent="0.25">
      <c r="B4006" s="123"/>
      <c r="F4006" s="79"/>
      <c r="I4006" s="123"/>
    </row>
    <row r="4007" spans="2:9" x14ac:dyDescent="0.25">
      <c r="B4007" s="123"/>
      <c r="F4007" s="79"/>
      <c r="I4007" s="123"/>
    </row>
    <row r="4008" spans="2:9" x14ac:dyDescent="0.25">
      <c r="B4008" s="123"/>
      <c r="F4008" s="79"/>
      <c r="I4008" s="123"/>
    </row>
    <row r="4009" spans="2:9" x14ac:dyDescent="0.25">
      <c r="B4009" s="123"/>
      <c r="F4009" s="79"/>
      <c r="I4009" s="123"/>
    </row>
    <row r="4010" spans="2:9" x14ac:dyDescent="0.25">
      <c r="B4010" s="123"/>
      <c r="F4010" s="79"/>
      <c r="I4010" s="123"/>
    </row>
    <row r="4011" spans="2:9" x14ac:dyDescent="0.25">
      <c r="B4011" s="123"/>
      <c r="F4011" s="79"/>
      <c r="I4011" s="123"/>
    </row>
    <row r="4012" spans="2:9" x14ac:dyDescent="0.25">
      <c r="B4012" s="123"/>
      <c r="F4012" s="79"/>
      <c r="I4012" s="123"/>
    </row>
    <row r="4013" spans="2:9" x14ac:dyDescent="0.25">
      <c r="B4013" s="123"/>
      <c r="F4013" s="79"/>
      <c r="I4013" s="123"/>
    </row>
    <row r="4014" spans="2:9" x14ac:dyDescent="0.25">
      <c r="B4014" s="123"/>
      <c r="F4014" s="79"/>
      <c r="I4014" s="123"/>
    </row>
    <row r="4015" spans="2:9" x14ac:dyDescent="0.25">
      <c r="B4015" s="123"/>
      <c r="F4015" s="79"/>
      <c r="I4015" s="123"/>
    </row>
    <row r="4016" spans="2:9" x14ac:dyDescent="0.25">
      <c r="B4016" s="123"/>
      <c r="F4016" s="79"/>
      <c r="I4016" s="123"/>
    </row>
    <row r="4017" spans="2:9" x14ac:dyDescent="0.25">
      <c r="B4017" s="123"/>
      <c r="F4017" s="79"/>
      <c r="I4017" s="123"/>
    </row>
    <row r="4018" spans="2:9" x14ac:dyDescent="0.25">
      <c r="B4018" s="123"/>
      <c r="F4018" s="79"/>
      <c r="I4018" s="123"/>
    </row>
    <row r="4019" spans="2:9" x14ac:dyDescent="0.25">
      <c r="B4019" s="123"/>
      <c r="F4019" s="79"/>
      <c r="I4019" s="123"/>
    </row>
    <row r="4020" spans="2:9" x14ac:dyDescent="0.25">
      <c r="B4020" s="123"/>
      <c r="F4020" s="79"/>
      <c r="I4020" s="123"/>
    </row>
    <row r="4021" spans="2:9" x14ac:dyDescent="0.25">
      <c r="B4021" s="123"/>
      <c r="F4021" s="79"/>
      <c r="I4021" s="123"/>
    </row>
    <row r="4022" spans="2:9" x14ac:dyDescent="0.25">
      <c r="B4022" s="123"/>
      <c r="F4022" s="79"/>
      <c r="I4022" s="123"/>
    </row>
    <row r="4023" spans="2:9" x14ac:dyDescent="0.25">
      <c r="B4023" s="123"/>
      <c r="F4023" s="79"/>
      <c r="I4023" s="123"/>
    </row>
    <row r="4024" spans="2:9" x14ac:dyDescent="0.25">
      <c r="B4024" s="123"/>
      <c r="F4024" s="79"/>
      <c r="I4024" s="123"/>
    </row>
    <row r="4025" spans="2:9" x14ac:dyDescent="0.25">
      <c r="B4025" s="123"/>
      <c r="F4025" s="79"/>
      <c r="I4025" s="123"/>
    </row>
    <row r="4026" spans="2:9" x14ac:dyDescent="0.25">
      <c r="B4026" s="123"/>
      <c r="F4026" s="79"/>
      <c r="I4026" s="123"/>
    </row>
    <row r="4027" spans="2:9" x14ac:dyDescent="0.25">
      <c r="B4027" s="123"/>
      <c r="F4027" s="79"/>
      <c r="I4027" s="123"/>
    </row>
    <row r="4028" spans="2:9" x14ac:dyDescent="0.25">
      <c r="B4028" s="123"/>
      <c r="F4028" s="79"/>
      <c r="I4028" s="123"/>
    </row>
    <row r="4029" spans="2:9" x14ac:dyDescent="0.25">
      <c r="B4029" s="123"/>
      <c r="F4029" s="79"/>
      <c r="I4029" s="123"/>
    </row>
    <row r="4030" spans="2:9" x14ac:dyDescent="0.25">
      <c r="B4030" s="123"/>
      <c r="F4030" s="79"/>
      <c r="I4030" s="123"/>
    </row>
    <row r="4031" spans="2:9" x14ac:dyDescent="0.25">
      <c r="B4031" s="123"/>
      <c r="F4031" s="79"/>
      <c r="I4031" s="123"/>
    </row>
    <row r="4032" spans="2:9" x14ac:dyDescent="0.25">
      <c r="B4032" s="123"/>
      <c r="F4032" s="79"/>
      <c r="I4032" s="123"/>
    </row>
    <row r="4033" spans="2:9" x14ac:dyDescent="0.25">
      <c r="B4033" s="123"/>
      <c r="F4033" s="79"/>
      <c r="I4033" s="123"/>
    </row>
    <row r="4034" spans="2:9" x14ac:dyDescent="0.25">
      <c r="B4034" s="123"/>
      <c r="F4034" s="79"/>
      <c r="I4034" s="123"/>
    </row>
    <row r="4035" spans="2:9" x14ac:dyDescent="0.25">
      <c r="B4035" s="123"/>
      <c r="F4035" s="79"/>
      <c r="I4035" s="123"/>
    </row>
    <row r="4036" spans="2:9" x14ac:dyDescent="0.25">
      <c r="B4036" s="123"/>
      <c r="F4036" s="79"/>
      <c r="I4036" s="123"/>
    </row>
    <row r="4037" spans="2:9" x14ac:dyDescent="0.25">
      <c r="B4037" s="123"/>
      <c r="F4037" s="79"/>
      <c r="I4037" s="123"/>
    </row>
    <row r="4038" spans="2:9" x14ac:dyDescent="0.25">
      <c r="B4038" s="123"/>
      <c r="F4038" s="79"/>
      <c r="I4038" s="123"/>
    </row>
    <row r="4039" spans="2:9" x14ac:dyDescent="0.25">
      <c r="B4039" s="123"/>
      <c r="F4039" s="79"/>
      <c r="I4039" s="123"/>
    </row>
    <row r="4040" spans="2:9" x14ac:dyDescent="0.25">
      <c r="B4040" s="123"/>
      <c r="F4040" s="79"/>
      <c r="I4040" s="123"/>
    </row>
    <row r="4041" spans="2:9" x14ac:dyDescent="0.25">
      <c r="B4041" s="123"/>
      <c r="F4041" s="79"/>
      <c r="I4041" s="123"/>
    </row>
    <row r="4042" spans="2:9" x14ac:dyDescent="0.25">
      <c r="B4042" s="123"/>
      <c r="F4042" s="79"/>
      <c r="I4042" s="123"/>
    </row>
    <row r="4043" spans="2:9" x14ac:dyDescent="0.25">
      <c r="B4043" s="123"/>
      <c r="F4043" s="79"/>
      <c r="I4043" s="123"/>
    </row>
    <row r="4044" spans="2:9" x14ac:dyDescent="0.25">
      <c r="B4044" s="123"/>
      <c r="F4044" s="79"/>
      <c r="I4044" s="123"/>
    </row>
    <row r="4045" spans="2:9" x14ac:dyDescent="0.25">
      <c r="B4045" s="123"/>
      <c r="F4045" s="79"/>
      <c r="I4045" s="123"/>
    </row>
    <row r="4046" spans="2:9" x14ac:dyDescent="0.25">
      <c r="B4046" s="123"/>
      <c r="F4046" s="79"/>
      <c r="I4046" s="123"/>
    </row>
    <row r="4047" spans="2:9" x14ac:dyDescent="0.25">
      <c r="B4047" s="123"/>
      <c r="F4047" s="79"/>
      <c r="I4047" s="123"/>
    </row>
    <row r="4048" spans="2:9" x14ac:dyDescent="0.25">
      <c r="B4048" s="123"/>
      <c r="F4048" s="79"/>
      <c r="I4048" s="123"/>
    </row>
    <row r="4049" spans="2:9" x14ac:dyDescent="0.25">
      <c r="B4049" s="123"/>
      <c r="F4049" s="79"/>
      <c r="I4049" s="123"/>
    </row>
    <row r="4050" spans="2:9" x14ac:dyDescent="0.25">
      <c r="B4050" s="123"/>
      <c r="F4050" s="79"/>
      <c r="I4050" s="123"/>
    </row>
    <row r="4051" spans="2:9" x14ac:dyDescent="0.25">
      <c r="B4051" s="123"/>
      <c r="F4051" s="79"/>
      <c r="I4051" s="123"/>
    </row>
    <row r="4052" spans="2:9" x14ac:dyDescent="0.25">
      <c r="B4052" s="123"/>
      <c r="F4052" s="79"/>
      <c r="I4052" s="123"/>
    </row>
    <row r="4053" spans="2:9" x14ac:dyDescent="0.25">
      <c r="B4053" s="123"/>
      <c r="F4053" s="79"/>
      <c r="I4053" s="123"/>
    </row>
    <row r="4054" spans="2:9" x14ac:dyDescent="0.25">
      <c r="B4054" s="123"/>
      <c r="F4054" s="79"/>
      <c r="I4054" s="123"/>
    </row>
    <row r="4055" spans="2:9" x14ac:dyDescent="0.25">
      <c r="B4055" s="123"/>
      <c r="F4055" s="79"/>
      <c r="I4055" s="123"/>
    </row>
    <row r="4056" spans="2:9" x14ac:dyDescent="0.25">
      <c r="B4056" s="123"/>
      <c r="F4056" s="79"/>
      <c r="I4056" s="123"/>
    </row>
    <row r="4057" spans="2:9" x14ac:dyDescent="0.25">
      <c r="B4057" s="123"/>
      <c r="F4057" s="79"/>
      <c r="I4057" s="123"/>
    </row>
    <row r="4058" spans="2:9" x14ac:dyDescent="0.25">
      <c r="B4058" s="123"/>
      <c r="F4058" s="79"/>
      <c r="I4058" s="123"/>
    </row>
    <row r="4059" spans="2:9" x14ac:dyDescent="0.25">
      <c r="B4059" s="123"/>
      <c r="F4059" s="79"/>
      <c r="I4059" s="123"/>
    </row>
    <row r="4060" spans="2:9" x14ac:dyDescent="0.25">
      <c r="B4060" s="123"/>
      <c r="F4060" s="79"/>
      <c r="I4060" s="123"/>
    </row>
    <row r="4061" spans="2:9" x14ac:dyDescent="0.25">
      <c r="B4061" s="123"/>
      <c r="F4061" s="79"/>
      <c r="I4061" s="123"/>
    </row>
    <row r="4062" spans="2:9" x14ac:dyDescent="0.25">
      <c r="B4062" s="123"/>
      <c r="D4062" s="62"/>
      <c r="F4062" s="79"/>
      <c r="I4062" s="123"/>
    </row>
    <row r="4063" spans="2:9" x14ac:dyDescent="0.25">
      <c r="B4063" s="123"/>
      <c r="D4063" s="62"/>
      <c r="F4063" s="79"/>
      <c r="I4063" s="123"/>
    </row>
    <row r="4064" spans="2:9" x14ac:dyDescent="0.25">
      <c r="B4064" s="123"/>
      <c r="F4064" s="79"/>
      <c r="I4064" s="123"/>
    </row>
    <row r="4065" spans="2:9" x14ac:dyDescent="0.25">
      <c r="B4065" s="123"/>
      <c r="F4065" s="79"/>
      <c r="I4065" s="123"/>
    </row>
    <row r="4066" spans="2:9" x14ac:dyDescent="0.25">
      <c r="B4066" s="123"/>
      <c r="F4066" s="79"/>
      <c r="I4066" s="123"/>
    </row>
    <row r="4067" spans="2:9" x14ac:dyDescent="0.25">
      <c r="B4067" s="123"/>
      <c r="F4067" s="79"/>
      <c r="I4067" s="123"/>
    </row>
    <row r="4068" spans="2:9" x14ac:dyDescent="0.25">
      <c r="B4068" s="123"/>
      <c r="F4068" s="79"/>
      <c r="I4068" s="123"/>
    </row>
    <row r="4069" spans="2:9" x14ac:dyDescent="0.25">
      <c r="B4069" s="123"/>
      <c r="F4069" s="79"/>
      <c r="I4069" s="123"/>
    </row>
    <row r="4070" spans="2:9" x14ac:dyDescent="0.25">
      <c r="B4070" s="123"/>
      <c r="F4070" s="79"/>
      <c r="I4070" s="123"/>
    </row>
    <row r="4071" spans="2:9" x14ac:dyDescent="0.25">
      <c r="B4071" s="123"/>
      <c r="F4071" s="79"/>
      <c r="I4071" s="123"/>
    </row>
    <row r="4072" spans="2:9" x14ac:dyDescent="0.25">
      <c r="B4072" s="123"/>
      <c r="F4072" s="79"/>
      <c r="I4072" s="123"/>
    </row>
    <row r="4073" spans="2:9" x14ac:dyDescent="0.25">
      <c r="B4073" s="123"/>
      <c r="F4073" s="79"/>
      <c r="I4073" s="123"/>
    </row>
    <row r="4074" spans="2:9" x14ac:dyDescent="0.25">
      <c r="B4074" s="123"/>
      <c r="F4074" s="79"/>
      <c r="I4074" s="123"/>
    </row>
    <row r="4075" spans="2:9" x14ac:dyDescent="0.25">
      <c r="B4075" s="123"/>
      <c r="F4075" s="79"/>
      <c r="I4075" s="123"/>
    </row>
    <row r="4076" spans="2:9" x14ac:dyDescent="0.25">
      <c r="B4076" s="123"/>
      <c r="F4076" s="79"/>
      <c r="I4076" s="123"/>
    </row>
    <row r="4077" spans="2:9" x14ac:dyDescent="0.25">
      <c r="B4077" s="123"/>
      <c r="F4077" s="79"/>
      <c r="I4077" s="123"/>
    </row>
    <row r="4078" spans="2:9" x14ac:dyDescent="0.25">
      <c r="B4078" s="123"/>
      <c r="F4078" s="79"/>
      <c r="I4078" s="123"/>
    </row>
    <row r="4079" spans="2:9" x14ac:dyDescent="0.25">
      <c r="B4079" s="123"/>
      <c r="F4079" s="79"/>
      <c r="I4079" s="123"/>
    </row>
    <row r="4080" spans="2:9" x14ac:dyDescent="0.25">
      <c r="B4080" s="123"/>
      <c r="F4080" s="79"/>
      <c r="I4080" s="123"/>
    </row>
    <row r="4081" spans="2:9" x14ac:dyDescent="0.25">
      <c r="B4081" s="123"/>
      <c r="F4081" s="79"/>
      <c r="I4081" s="123"/>
    </row>
    <row r="4082" spans="2:9" x14ac:dyDescent="0.25">
      <c r="B4082" s="123"/>
      <c r="F4082" s="79"/>
      <c r="I4082" s="123"/>
    </row>
    <row r="4083" spans="2:9" x14ac:dyDescent="0.25">
      <c r="B4083" s="123"/>
      <c r="F4083" s="79"/>
      <c r="I4083" s="123"/>
    </row>
    <row r="4084" spans="2:9" x14ac:dyDescent="0.25">
      <c r="B4084" s="123"/>
      <c r="F4084" s="79"/>
      <c r="I4084" s="123"/>
    </row>
    <row r="4085" spans="2:9" x14ac:dyDescent="0.25">
      <c r="B4085" s="123"/>
      <c r="F4085" s="79"/>
      <c r="I4085" s="123"/>
    </row>
    <row r="4086" spans="2:9" x14ac:dyDescent="0.25">
      <c r="B4086" s="123"/>
      <c r="F4086" s="79"/>
      <c r="I4086" s="123"/>
    </row>
    <row r="4087" spans="2:9" x14ac:dyDescent="0.25">
      <c r="B4087" s="123"/>
      <c r="F4087" s="79"/>
      <c r="I4087" s="123"/>
    </row>
    <row r="4088" spans="2:9" x14ac:dyDescent="0.25">
      <c r="B4088" s="123"/>
      <c r="F4088" s="79"/>
      <c r="I4088" s="123"/>
    </row>
    <row r="4089" spans="2:9" x14ac:dyDescent="0.25">
      <c r="B4089" s="123"/>
      <c r="F4089" s="79"/>
      <c r="I4089" s="123"/>
    </row>
    <row r="4090" spans="2:9" x14ac:dyDescent="0.25">
      <c r="B4090" s="123"/>
      <c r="F4090" s="79"/>
      <c r="I4090" s="123"/>
    </row>
    <row r="4091" spans="2:9" x14ac:dyDescent="0.25">
      <c r="B4091" s="123"/>
      <c r="F4091" s="79"/>
      <c r="I4091" s="123"/>
    </row>
    <row r="4092" spans="2:9" x14ac:dyDescent="0.25">
      <c r="B4092" s="123"/>
      <c r="F4092" s="79"/>
      <c r="I4092" s="123"/>
    </row>
    <row r="4093" spans="2:9" x14ac:dyDescent="0.25">
      <c r="B4093" s="123"/>
      <c r="F4093" s="79"/>
      <c r="I4093" s="123"/>
    </row>
    <row r="4094" spans="2:9" x14ac:dyDescent="0.25">
      <c r="B4094" s="123"/>
      <c r="F4094" s="79"/>
      <c r="I4094" s="123"/>
    </row>
    <row r="4095" spans="2:9" x14ac:dyDescent="0.25">
      <c r="B4095" s="123"/>
      <c r="F4095" s="79"/>
      <c r="I4095" s="123"/>
    </row>
    <row r="4096" spans="2:9" x14ac:dyDescent="0.25">
      <c r="B4096" s="123"/>
      <c r="F4096" s="79"/>
      <c r="I4096" s="123"/>
    </row>
    <row r="4097" spans="2:9" x14ac:dyDescent="0.25">
      <c r="B4097" s="123"/>
      <c r="F4097" s="79"/>
      <c r="I4097" s="123"/>
    </row>
    <row r="4098" spans="2:9" x14ac:dyDescent="0.25">
      <c r="B4098" s="123"/>
      <c r="F4098" s="79"/>
      <c r="I4098" s="123"/>
    </row>
    <row r="4099" spans="2:9" x14ac:dyDescent="0.25">
      <c r="B4099" s="123"/>
      <c r="F4099" s="79"/>
      <c r="I4099" s="123"/>
    </row>
    <row r="4100" spans="2:9" x14ac:dyDescent="0.25">
      <c r="B4100" s="123"/>
      <c r="F4100" s="79"/>
      <c r="I4100" s="123"/>
    </row>
    <row r="4101" spans="2:9" x14ac:dyDescent="0.25">
      <c r="B4101" s="123"/>
      <c r="F4101" s="79"/>
      <c r="I4101" s="123"/>
    </row>
    <row r="4102" spans="2:9" x14ac:dyDescent="0.25">
      <c r="B4102" s="123"/>
      <c r="F4102" s="79"/>
      <c r="I4102" s="123"/>
    </row>
    <row r="4103" spans="2:9" x14ac:dyDescent="0.25">
      <c r="B4103" s="123"/>
      <c r="F4103" s="79"/>
      <c r="I4103" s="123"/>
    </row>
    <row r="4104" spans="2:9" x14ac:dyDescent="0.25">
      <c r="B4104" s="123"/>
      <c r="F4104" s="79"/>
      <c r="I4104" s="123"/>
    </row>
    <row r="4105" spans="2:9" x14ac:dyDescent="0.25">
      <c r="B4105" s="123"/>
      <c r="F4105" s="79"/>
      <c r="I4105" s="123"/>
    </row>
    <row r="4106" spans="2:9" x14ac:dyDescent="0.25">
      <c r="B4106" s="123"/>
      <c r="F4106" s="79"/>
      <c r="I4106" s="123"/>
    </row>
    <row r="4107" spans="2:9" x14ac:dyDescent="0.25">
      <c r="B4107" s="123"/>
      <c r="F4107" s="79"/>
      <c r="I4107" s="123"/>
    </row>
    <row r="4108" spans="2:9" x14ac:dyDescent="0.25">
      <c r="B4108" s="123"/>
      <c r="F4108" s="79"/>
      <c r="I4108" s="123"/>
    </row>
    <row r="4109" spans="2:9" x14ac:dyDescent="0.25">
      <c r="B4109" s="123"/>
      <c r="F4109" s="79"/>
      <c r="I4109" s="123"/>
    </row>
    <row r="4110" spans="2:9" x14ac:dyDescent="0.25">
      <c r="B4110" s="123"/>
      <c r="F4110" s="79"/>
      <c r="I4110" s="123"/>
    </row>
    <row r="4111" spans="2:9" x14ac:dyDescent="0.25">
      <c r="B4111" s="123"/>
      <c r="F4111" s="79"/>
      <c r="I4111" s="123"/>
    </row>
    <row r="4112" spans="2:9" x14ac:dyDescent="0.25">
      <c r="B4112" s="123"/>
      <c r="F4112" s="79"/>
      <c r="I4112" s="123"/>
    </row>
    <row r="4113" spans="2:9" x14ac:dyDescent="0.25">
      <c r="B4113" s="123"/>
      <c r="F4113" s="79"/>
      <c r="I4113" s="123"/>
    </row>
    <row r="4114" spans="2:9" x14ac:dyDescent="0.25">
      <c r="B4114" s="123"/>
      <c r="F4114" s="79"/>
      <c r="I4114" s="123"/>
    </row>
    <row r="4115" spans="2:9" x14ac:dyDescent="0.25">
      <c r="B4115" s="123"/>
      <c r="F4115" s="79"/>
      <c r="I4115" s="123"/>
    </row>
    <row r="4116" spans="2:9" x14ac:dyDescent="0.25">
      <c r="B4116" s="123"/>
      <c r="F4116" s="79"/>
      <c r="I4116" s="123"/>
    </row>
    <row r="4117" spans="2:9" x14ac:dyDescent="0.25">
      <c r="B4117" s="123"/>
      <c r="F4117" s="79"/>
      <c r="I4117" s="123"/>
    </row>
    <row r="4118" spans="2:9" x14ac:dyDescent="0.25">
      <c r="B4118" s="123"/>
      <c r="F4118" s="79"/>
      <c r="I4118" s="123"/>
    </row>
    <row r="4119" spans="2:9" x14ac:dyDescent="0.25">
      <c r="B4119" s="123"/>
      <c r="F4119" s="79"/>
      <c r="I4119" s="123"/>
    </row>
    <row r="4120" spans="2:9" x14ac:dyDescent="0.25">
      <c r="B4120" s="123"/>
      <c r="F4120" s="79"/>
      <c r="I4120" s="123"/>
    </row>
    <row r="4121" spans="2:9" x14ac:dyDescent="0.25">
      <c r="B4121" s="123"/>
      <c r="F4121" s="79"/>
      <c r="I4121" s="123"/>
    </row>
    <row r="4122" spans="2:9" x14ac:dyDescent="0.25">
      <c r="B4122" s="123"/>
      <c r="F4122" s="79"/>
      <c r="I4122" s="123"/>
    </row>
    <row r="4123" spans="2:9" x14ac:dyDescent="0.25">
      <c r="B4123" s="123"/>
      <c r="F4123" s="79"/>
      <c r="I4123" s="123"/>
    </row>
    <row r="4124" spans="2:9" x14ac:dyDescent="0.25">
      <c r="B4124" s="123"/>
      <c r="F4124" s="79"/>
      <c r="I4124" s="123"/>
    </row>
    <row r="4125" spans="2:9" x14ac:dyDescent="0.25">
      <c r="B4125" s="123"/>
      <c r="F4125" s="79"/>
      <c r="I4125" s="123"/>
    </row>
    <row r="4126" spans="2:9" x14ac:dyDescent="0.25">
      <c r="B4126" s="123"/>
      <c r="F4126" s="79"/>
      <c r="I4126" s="123"/>
    </row>
    <row r="4127" spans="2:9" x14ac:dyDescent="0.25">
      <c r="B4127" s="123"/>
      <c r="F4127" s="79"/>
      <c r="I4127" s="123"/>
    </row>
    <row r="4128" spans="2:9" x14ac:dyDescent="0.25">
      <c r="B4128" s="123"/>
      <c r="F4128" s="79"/>
      <c r="I4128" s="123"/>
    </row>
    <row r="4129" spans="2:9" x14ac:dyDescent="0.25">
      <c r="B4129" s="123"/>
      <c r="F4129" s="79"/>
      <c r="I4129" s="123"/>
    </row>
    <row r="4130" spans="2:9" x14ac:dyDescent="0.25">
      <c r="B4130" s="123"/>
      <c r="F4130" s="79"/>
      <c r="I4130" s="123"/>
    </row>
    <row r="4131" spans="2:9" x14ac:dyDescent="0.25">
      <c r="B4131" s="123"/>
      <c r="F4131" s="79"/>
      <c r="I4131" s="123"/>
    </row>
    <row r="4132" spans="2:9" x14ac:dyDescent="0.25">
      <c r="B4132" s="123"/>
      <c r="F4132" s="79"/>
      <c r="I4132" s="123"/>
    </row>
    <row r="4133" spans="2:9" x14ac:dyDescent="0.25">
      <c r="B4133" s="123"/>
      <c r="F4133" s="79"/>
      <c r="I4133" s="123"/>
    </row>
    <row r="4134" spans="2:9" x14ac:dyDescent="0.25">
      <c r="B4134" s="123"/>
      <c r="F4134" s="79"/>
      <c r="I4134" s="123"/>
    </row>
    <row r="4135" spans="2:9" x14ac:dyDescent="0.25">
      <c r="B4135" s="123"/>
      <c r="F4135" s="79"/>
      <c r="I4135" s="123"/>
    </row>
    <row r="4136" spans="2:9" x14ac:dyDescent="0.25">
      <c r="B4136" s="123"/>
      <c r="F4136" s="79"/>
      <c r="I4136" s="123"/>
    </row>
    <row r="4137" spans="2:9" x14ac:dyDescent="0.25">
      <c r="B4137" s="123"/>
      <c r="F4137" s="79"/>
      <c r="I4137" s="123"/>
    </row>
    <row r="4138" spans="2:9" x14ac:dyDescent="0.25">
      <c r="B4138" s="123"/>
      <c r="F4138" s="79"/>
      <c r="I4138" s="123"/>
    </row>
    <row r="4139" spans="2:9" x14ac:dyDescent="0.25">
      <c r="B4139" s="123"/>
      <c r="F4139" s="79"/>
      <c r="I4139" s="123"/>
    </row>
    <row r="4140" spans="2:9" x14ac:dyDescent="0.25">
      <c r="B4140" s="123"/>
      <c r="F4140" s="79"/>
      <c r="I4140" s="123"/>
    </row>
    <row r="4141" spans="2:9" x14ac:dyDescent="0.25">
      <c r="B4141" s="123"/>
      <c r="F4141" s="79"/>
      <c r="I4141" s="123"/>
    </row>
    <row r="4142" spans="2:9" x14ac:dyDescent="0.25">
      <c r="B4142" s="123"/>
      <c r="F4142" s="79"/>
      <c r="I4142" s="123"/>
    </row>
    <row r="4143" spans="2:9" x14ac:dyDescent="0.25">
      <c r="B4143" s="123"/>
      <c r="F4143" s="79"/>
      <c r="I4143" s="123"/>
    </row>
    <row r="4144" spans="2:9" x14ac:dyDescent="0.25">
      <c r="B4144" s="123"/>
      <c r="F4144" s="79"/>
      <c r="I4144" s="123"/>
    </row>
    <row r="4145" spans="2:9" x14ac:dyDescent="0.25">
      <c r="B4145" s="123"/>
      <c r="F4145" s="79"/>
      <c r="I4145" s="123"/>
    </row>
    <row r="4146" spans="2:9" x14ac:dyDescent="0.25">
      <c r="B4146" s="123"/>
      <c r="F4146" s="79"/>
      <c r="I4146" s="123"/>
    </row>
    <row r="4147" spans="2:9" x14ac:dyDescent="0.25">
      <c r="B4147" s="123"/>
      <c r="F4147" s="79"/>
      <c r="I4147" s="123"/>
    </row>
    <row r="4148" spans="2:9" x14ac:dyDescent="0.25">
      <c r="B4148" s="123"/>
      <c r="F4148" s="79"/>
      <c r="I4148" s="123"/>
    </row>
    <row r="4149" spans="2:9" x14ac:dyDescent="0.25">
      <c r="B4149" s="123"/>
      <c r="F4149" s="79"/>
      <c r="I4149" s="123"/>
    </row>
    <row r="4150" spans="2:9" x14ac:dyDescent="0.25">
      <c r="B4150" s="123"/>
      <c r="F4150" s="79"/>
      <c r="I4150" s="123"/>
    </row>
    <row r="4151" spans="2:9" x14ac:dyDescent="0.25">
      <c r="B4151" s="123"/>
      <c r="F4151" s="79"/>
      <c r="I4151" s="123"/>
    </row>
    <row r="4152" spans="2:9" x14ac:dyDescent="0.25">
      <c r="B4152" s="123"/>
      <c r="F4152" s="79"/>
      <c r="I4152" s="123"/>
    </row>
    <row r="4153" spans="2:9" x14ac:dyDescent="0.25">
      <c r="B4153" s="123"/>
      <c r="F4153" s="79"/>
      <c r="I4153" s="123"/>
    </row>
    <row r="4154" spans="2:9" x14ac:dyDescent="0.25">
      <c r="B4154" s="123"/>
      <c r="F4154" s="79"/>
      <c r="I4154" s="123"/>
    </row>
    <row r="4155" spans="2:9" x14ac:dyDescent="0.25">
      <c r="B4155" s="123"/>
      <c r="F4155" s="79"/>
      <c r="I4155" s="123"/>
    </row>
    <row r="4156" spans="2:9" x14ac:dyDescent="0.25">
      <c r="B4156" s="123"/>
      <c r="F4156" s="79"/>
      <c r="I4156" s="123"/>
    </row>
    <row r="4157" spans="2:9" x14ac:dyDescent="0.25">
      <c r="B4157" s="123"/>
      <c r="F4157" s="79"/>
      <c r="I4157" s="123"/>
    </row>
    <row r="4158" spans="2:9" x14ac:dyDescent="0.25">
      <c r="B4158" s="123"/>
      <c r="F4158" s="79"/>
      <c r="I4158" s="123"/>
    </row>
    <row r="4159" spans="2:9" x14ac:dyDescent="0.25">
      <c r="B4159" s="123"/>
      <c r="F4159" s="79"/>
      <c r="I4159" s="123"/>
    </row>
    <row r="4160" spans="2:9" x14ac:dyDescent="0.25">
      <c r="B4160" s="123"/>
      <c r="F4160" s="79"/>
      <c r="I4160" s="123"/>
    </row>
    <row r="4161" spans="2:9" x14ac:dyDescent="0.25">
      <c r="B4161" s="123"/>
      <c r="F4161" s="79"/>
      <c r="I4161" s="123"/>
    </row>
    <row r="4162" spans="2:9" x14ac:dyDescent="0.25">
      <c r="B4162" s="123"/>
      <c r="F4162" s="79"/>
      <c r="I4162" s="123"/>
    </row>
    <row r="4163" spans="2:9" x14ac:dyDescent="0.25">
      <c r="B4163" s="123"/>
      <c r="F4163" s="79"/>
      <c r="I4163" s="123"/>
    </row>
    <row r="4164" spans="2:9" x14ac:dyDescent="0.25">
      <c r="B4164" s="123"/>
      <c r="F4164" s="79"/>
      <c r="I4164" s="123"/>
    </row>
    <row r="4165" spans="2:9" x14ac:dyDescent="0.25">
      <c r="B4165" s="123"/>
      <c r="F4165" s="79"/>
      <c r="I4165" s="123"/>
    </row>
    <row r="4166" spans="2:9" x14ac:dyDescent="0.25">
      <c r="B4166" s="123"/>
      <c r="F4166" s="79"/>
      <c r="I4166" s="123"/>
    </row>
    <row r="4167" spans="2:9" x14ac:dyDescent="0.25">
      <c r="B4167" s="123"/>
      <c r="F4167" s="79"/>
      <c r="I4167" s="123"/>
    </row>
    <row r="4168" spans="2:9" x14ac:dyDescent="0.25">
      <c r="B4168" s="123"/>
      <c r="F4168" s="79"/>
      <c r="I4168" s="123"/>
    </row>
    <row r="4169" spans="2:9" x14ac:dyDescent="0.25">
      <c r="B4169" s="123"/>
      <c r="F4169" s="79"/>
      <c r="I4169" s="123"/>
    </row>
    <row r="4170" spans="2:9" x14ac:dyDescent="0.25">
      <c r="B4170" s="123"/>
      <c r="F4170" s="79"/>
      <c r="I4170" s="123"/>
    </row>
    <row r="4171" spans="2:9" x14ac:dyDescent="0.25">
      <c r="B4171" s="123"/>
      <c r="F4171" s="79"/>
      <c r="I4171" s="123"/>
    </row>
    <row r="4172" spans="2:9" x14ac:dyDescent="0.25">
      <c r="B4172" s="123"/>
      <c r="F4172" s="79"/>
      <c r="I4172" s="123"/>
    </row>
    <row r="4173" spans="2:9" x14ac:dyDescent="0.25">
      <c r="B4173" s="123"/>
      <c r="F4173" s="79"/>
      <c r="I4173" s="123"/>
    </row>
    <row r="4174" spans="2:9" x14ac:dyDescent="0.25">
      <c r="B4174" s="123"/>
      <c r="F4174" s="79"/>
      <c r="I4174" s="123"/>
    </row>
    <row r="4175" spans="2:9" x14ac:dyDescent="0.25">
      <c r="B4175" s="123"/>
      <c r="F4175" s="79"/>
      <c r="I4175" s="123"/>
    </row>
    <row r="4176" spans="2:9" x14ac:dyDescent="0.25">
      <c r="B4176" s="123"/>
      <c r="F4176" s="79"/>
      <c r="I4176" s="123"/>
    </row>
    <row r="4177" spans="2:9" x14ac:dyDescent="0.25">
      <c r="B4177" s="123"/>
      <c r="F4177" s="79"/>
      <c r="I4177" s="123"/>
    </row>
    <row r="4178" spans="2:9" x14ac:dyDescent="0.25">
      <c r="B4178" s="123"/>
      <c r="F4178" s="79"/>
      <c r="I4178" s="123"/>
    </row>
    <row r="4179" spans="2:9" x14ac:dyDescent="0.25">
      <c r="B4179" s="123"/>
      <c r="F4179" s="79"/>
      <c r="I4179" s="123"/>
    </row>
    <row r="4180" spans="2:9" x14ac:dyDescent="0.25">
      <c r="B4180" s="123"/>
      <c r="F4180" s="79"/>
      <c r="I4180" s="123"/>
    </row>
    <row r="4181" spans="2:9" x14ac:dyDescent="0.25">
      <c r="B4181" s="123"/>
      <c r="F4181" s="79"/>
      <c r="I4181" s="123"/>
    </row>
    <row r="4182" spans="2:9" x14ac:dyDescent="0.25">
      <c r="B4182" s="123"/>
      <c r="F4182" s="79"/>
      <c r="I4182" s="123"/>
    </row>
    <row r="4183" spans="2:9" x14ac:dyDescent="0.25">
      <c r="B4183" s="123"/>
      <c r="F4183" s="79"/>
      <c r="I4183" s="123"/>
    </row>
    <row r="4184" spans="2:9" x14ac:dyDescent="0.25">
      <c r="B4184" s="123"/>
      <c r="F4184" s="79"/>
      <c r="I4184" s="123"/>
    </row>
    <row r="4185" spans="2:9" x14ac:dyDescent="0.25">
      <c r="B4185" s="123"/>
      <c r="F4185" s="79"/>
      <c r="I4185" s="123"/>
    </row>
    <row r="4186" spans="2:9" x14ac:dyDescent="0.25">
      <c r="B4186" s="123"/>
      <c r="F4186" s="79"/>
      <c r="I4186" s="123"/>
    </row>
    <row r="4187" spans="2:9" x14ac:dyDescent="0.25">
      <c r="B4187" s="123"/>
      <c r="F4187" s="79"/>
      <c r="I4187" s="123"/>
    </row>
    <row r="4188" spans="2:9" x14ac:dyDescent="0.25">
      <c r="B4188" s="123"/>
      <c r="F4188" s="79"/>
      <c r="I4188" s="123"/>
    </row>
    <row r="4189" spans="2:9" x14ac:dyDescent="0.25">
      <c r="B4189" s="123"/>
      <c r="F4189" s="79"/>
      <c r="I4189" s="123"/>
    </row>
    <row r="4190" spans="2:9" x14ac:dyDescent="0.25">
      <c r="B4190" s="123"/>
      <c r="F4190" s="79"/>
      <c r="I4190" s="123"/>
    </row>
    <row r="4191" spans="2:9" x14ac:dyDescent="0.25">
      <c r="B4191" s="123"/>
      <c r="F4191" s="79"/>
      <c r="I4191" s="123"/>
    </row>
    <row r="4192" spans="2:9" x14ac:dyDescent="0.25">
      <c r="B4192" s="123"/>
      <c r="F4192" s="79"/>
      <c r="I4192" s="123"/>
    </row>
    <row r="4193" spans="2:9" x14ac:dyDescent="0.25">
      <c r="B4193" s="123"/>
      <c r="F4193" s="79"/>
      <c r="I4193" s="123"/>
    </row>
    <row r="4194" spans="2:9" x14ac:dyDescent="0.25">
      <c r="B4194" s="123"/>
      <c r="F4194" s="79"/>
      <c r="I4194" s="123"/>
    </row>
    <row r="4195" spans="2:9" x14ac:dyDescent="0.25">
      <c r="B4195" s="123"/>
      <c r="F4195" s="79"/>
      <c r="I4195" s="123"/>
    </row>
    <row r="4196" spans="2:9" x14ac:dyDescent="0.25">
      <c r="B4196" s="123"/>
      <c r="F4196" s="79"/>
      <c r="I4196" s="123"/>
    </row>
    <row r="4197" spans="2:9" x14ac:dyDescent="0.25">
      <c r="B4197" s="123"/>
      <c r="F4197" s="79"/>
      <c r="I4197" s="123"/>
    </row>
    <row r="4198" spans="2:9" x14ac:dyDescent="0.25">
      <c r="B4198" s="123"/>
      <c r="F4198" s="79"/>
      <c r="I4198" s="123"/>
    </row>
    <row r="4199" spans="2:9" x14ac:dyDescent="0.25">
      <c r="B4199" s="123"/>
      <c r="F4199" s="79"/>
      <c r="I4199" s="123"/>
    </row>
    <row r="4200" spans="2:9" x14ac:dyDescent="0.25">
      <c r="B4200" s="123"/>
      <c r="F4200" s="79"/>
      <c r="I4200" s="123"/>
    </row>
    <row r="4201" spans="2:9" x14ac:dyDescent="0.25">
      <c r="B4201" s="123"/>
      <c r="F4201" s="79"/>
      <c r="I4201" s="123"/>
    </row>
    <row r="4202" spans="2:9" x14ac:dyDescent="0.25">
      <c r="B4202" s="123"/>
      <c r="F4202" s="79"/>
      <c r="I4202" s="123"/>
    </row>
    <row r="4203" spans="2:9" x14ac:dyDescent="0.25">
      <c r="B4203" s="123"/>
      <c r="F4203" s="79"/>
      <c r="I4203" s="123"/>
    </row>
    <row r="4204" spans="2:9" x14ac:dyDescent="0.25">
      <c r="B4204" s="123"/>
      <c r="F4204" s="79"/>
      <c r="I4204" s="123"/>
    </row>
    <row r="4205" spans="2:9" x14ac:dyDescent="0.25">
      <c r="B4205" s="123"/>
      <c r="F4205" s="79"/>
      <c r="I4205" s="123"/>
    </row>
    <row r="4206" spans="2:9" x14ac:dyDescent="0.25">
      <c r="B4206" s="123"/>
      <c r="F4206" s="79"/>
      <c r="I4206" s="123"/>
    </row>
    <row r="4207" spans="2:9" x14ac:dyDescent="0.25">
      <c r="B4207" s="123"/>
      <c r="F4207" s="79"/>
      <c r="I4207" s="123"/>
    </row>
    <row r="4208" spans="2:9" x14ac:dyDescent="0.25">
      <c r="B4208" s="123"/>
      <c r="F4208" s="79"/>
      <c r="I4208" s="123"/>
    </row>
    <row r="4209" spans="2:9" x14ac:dyDescent="0.25">
      <c r="B4209" s="123"/>
      <c r="F4209" s="79"/>
      <c r="I4209" s="123"/>
    </row>
    <row r="4210" spans="2:9" x14ac:dyDescent="0.25">
      <c r="B4210" s="123"/>
      <c r="F4210" s="79"/>
      <c r="I4210" s="123"/>
    </row>
    <row r="4211" spans="2:9" x14ac:dyDescent="0.25">
      <c r="B4211" s="123"/>
      <c r="F4211" s="79"/>
      <c r="I4211" s="123"/>
    </row>
    <row r="4212" spans="2:9" x14ac:dyDescent="0.25">
      <c r="B4212" s="123"/>
      <c r="F4212" s="79"/>
      <c r="I4212" s="123"/>
    </row>
    <row r="4213" spans="2:9" x14ac:dyDescent="0.25">
      <c r="B4213" s="123"/>
      <c r="F4213" s="79"/>
      <c r="I4213" s="123"/>
    </row>
    <row r="4214" spans="2:9" x14ac:dyDescent="0.25">
      <c r="B4214" s="123"/>
      <c r="F4214" s="79"/>
      <c r="I4214" s="123"/>
    </row>
    <row r="4215" spans="2:9" x14ac:dyDescent="0.25">
      <c r="B4215" s="123"/>
      <c r="F4215" s="79"/>
      <c r="I4215" s="123"/>
    </row>
    <row r="4216" spans="2:9" x14ac:dyDescent="0.25">
      <c r="B4216" s="123"/>
      <c r="F4216" s="79"/>
      <c r="I4216" s="123"/>
    </row>
    <row r="4217" spans="2:9" x14ac:dyDescent="0.25">
      <c r="B4217" s="123"/>
      <c r="F4217" s="79"/>
      <c r="I4217" s="123"/>
    </row>
    <row r="4218" spans="2:9" x14ac:dyDescent="0.25">
      <c r="B4218" s="123"/>
      <c r="F4218" s="79"/>
      <c r="I4218" s="123"/>
    </row>
    <row r="4219" spans="2:9" x14ac:dyDescent="0.25">
      <c r="B4219" s="123"/>
      <c r="F4219" s="79"/>
      <c r="I4219" s="123"/>
    </row>
    <row r="4220" spans="2:9" x14ac:dyDescent="0.25">
      <c r="B4220" s="123"/>
      <c r="F4220" s="79"/>
      <c r="I4220" s="123"/>
    </row>
    <row r="4221" spans="2:9" x14ac:dyDescent="0.25">
      <c r="B4221" s="123"/>
      <c r="F4221" s="79"/>
      <c r="I4221" s="123"/>
    </row>
    <row r="4222" spans="2:9" x14ac:dyDescent="0.25">
      <c r="B4222" s="123"/>
      <c r="F4222" s="79"/>
      <c r="I4222" s="123"/>
    </row>
    <row r="4223" spans="2:9" x14ac:dyDescent="0.25">
      <c r="B4223" s="123"/>
      <c r="F4223" s="79"/>
      <c r="I4223" s="123"/>
    </row>
    <row r="4224" spans="2:9" x14ac:dyDescent="0.25">
      <c r="B4224" s="123"/>
      <c r="F4224" s="79"/>
      <c r="I4224" s="123"/>
    </row>
    <row r="4225" spans="2:9" x14ac:dyDescent="0.25">
      <c r="B4225" s="123"/>
      <c r="F4225" s="79"/>
      <c r="I4225" s="123"/>
    </row>
    <row r="4226" spans="2:9" x14ac:dyDescent="0.25">
      <c r="B4226" s="123"/>
      <c r="F4226" s="79"/>
      <c r="I4226" s="123"/>
    </row>
    <row r="4227" spans="2:9" x14ac:dyDescent="0.25">
      <c r="B4227" s="123"/>
      <c r="F4227" s="79"/>
      <c r="I4227" s="123"/>
    </row>
    <row r="4228" spans="2:9" x14ac:dyDescent="0.25">
      <c r="B4228" s="123"/>
      <c r="F4228" s="79"/>
      <c r="I4228" s="123"/>
    </row>
    <row r="4229" spans="2:9" x14ac:dyDescent="0.25">
      <c r="B4229" s="123"/>
      <c r="F4229" s="79"/>
      <c r="I4229" s="123"/>
    </row>
    <row r="4230" spans="2:9" x14ac:dyDescent="0.25">
      <c r="B4230" s="123"/>
      <c r="F4230" s="79"/>
      <c r="I4230" s="123"/>
    </row>
    <row r="4231" spans="2:9" x14ac:dyDescent="0.25">
      <c r="B4231" s="123"/>
      <c r="F4231" s="79"/>
      <c r="I4231" s="123"/>
    </row>
    <row r="4232" spans="2:9" x14ac:dyDescent="0.25">
      <c r="B4232" s="123"/>
      <c r="F4232" s="79"/>
      <c r="I4232" s="123"/>
    </row>
    <row r="4233" spans="2:9" x14ac:dyDescent="0.25">
      <c r="B4233" s="123"/>
      <c r="F4233" s="79"/>
      <c r="I4233" s="123"/>
    </row>
    <row r="4234" spans="2:9" x14ac:dyDescent="0.25">
      <c r="B4234" s="123"/>
      <c r="F4234" s="79"/>
      <c r="I4234" s="123"/>
    </row>
    <row r="4235" spans="2:9" x14ac:dyDescent="0.25">
      <c r="B4235" s="123"/>
      <c r="F4235" s="79"/>
      <c r="I4235" s="123"/>
    </row>
    <row r="4236" spans="2:9" x14ac:dyDescent="0.25">
      <c r="B4236" s="123"/>
      <c r="F4236" s="79"/>
      <c r="I4236" s="123"/>
    </row>
    <row r="4237" spans="2:9" x14ac:dyDescent="0.25">
      <c r="B4237" s="123"/>
      <c r="F4237" s="79"/>
      <c r="I4237" s="123"/>
    </row>
    <row r="4238" spans="2:9" x14ac:dyDescent="0.25">
      <c r="B4238" s="123"/>
      <c r="F4238" s="79"/>
      <c r="I4238" s="123"/>
    </row>
    <row r="4239" spans="2:9" x14ac:dyDescent="0.25">
      <c r="B4239" s="123"/>
      <c r="F4239" s="79"/>
      <c r="I4239" s="123"/>
    </row>
    <row r="4240" spans="2:9" x14ac:dyDescent="0.25">
      <c r="B4240" s="123"/>
      <c r="F4240" s="79"/>
      <c r="I4240" s="123"/>
    </row>
    <row r="4241" spans="2:9" x14ac:dyDescent="0.25">
      <c r="B4241" s="123"/>
      <c r="F4241" s="79"/>
      <c r="I4241" s="123"/>
    </row>
    <row r="4242" spans="2:9" x14ac:dyDescent="0.25">
      <c r="B4242" s="123"/>
      <c r="F4242" s="79"/>
      <c r="I4242" s="123"/>
    </row>
    <row r="4243" spans="2:9" x14ac:dyDescent="0.25">
      <c r="B4243" s="123"/>
      <c r="F4243" s="79"/>
      <c r="I4243" s="123"/>
    </row>
    <row r="4244" spans="2:9" x14ac:dyDescent="0.25">
      <c r="B4244" s="123"/>
      <c r="F4244" s="79"/>
      <c r="I4244" s="123"/>
    </row>
    <row r="4245" spans="2:9" x14ac:dyDescent="0.25">
      <c r="B4245" s="123"/>
      <c r="F4245" s="79"/>
      <c r="I4245" s="123"/>
    </row>
    <row r="4246" spans="2:9" x14ac:dyDescent="0.25">
      <c r="B4246" s="123"/>
      <c r="F4246" s="79"/>
      <c r="I4246" s="123"/>
    </row>
    <row r="4247" spans="2:9" x14ac:dyDescent="0.25">
      <c r="B4247" s="123"/>
      <c r="F4247" s="79"/>
      <c r="I4247" s="123"/>
    </row>
    <row r="4248" spans="2:9" x14ac:dyDescent="0.25">
      <c r="B4248" s="123"/>
      <c r="F4248" s="79"/>
      <c r="I4248" s="123"/>
    </row>
    <row r="4249" spans="2:9" x14ac:dyDescent="0.25">
      <c r="B4249" s="123"/>
      <c r="F4249" s="79"/>
      <c r="I4249" s="123"/>
    </row>
    <row r="4250" spans="2:9" x14ac:dyDescent="0.25">
      <c r="B4250" s="123"/>
      <c r="F4250" s="79"/>
      <c r="I4250" s="123"/>
    </row>
    <row r="4251" spans="2:9" x14ac:dyDescent="0.25">
      <c r="B4251" s="123"/>
      <c r="F4251" s="79"/>
      <c r="I4251" s="123"/>
    </row>
    <row r="4252" spans="2:9" x14ac:dyDescent="0.25">
      <c r="B4252" s="123"/>
      <c r="F4252" s="79"/>
      <c r="I4252" s="123"/>
    </row>
    <row r="4253" spans="2:9" x14ac:dyDescent="0.25">
      <c r="B4253" s="123"/>
      <c r="F4253" s="79"/>
      <c r="I4253" s="123"/>
    </row>
    <row r="4254" spans="2:9" x14ac:dyDescent="0.25">
      <c r="B4254" s="123"/>
      <c r="F4254" s="79"/>
      <c r="I4254" s="123"/>
    </row>
    <row r="4255" spans="2:9" x14ac:dyDescent="0.25">
      <c r="B4255" s="123"/>
      <c r="F4255" s="79"/>
      <c r="I4255" s="123"/>
    </row>
    <row r="4256" spans="2:9" x14ac:dyDescent="0.25">
      <c r="B4256" s="123"/>
      <c r="F4256" s="79"/>
      <c r="I4256" s="123"/>
    </row>
    <row r="4257" spans="2:9" x14ac:dyDescent="0.25">
      <c r="B4257" s="123"/>
      <c r="F4257" s="79"/>
      <c r="I4257" s="123"/>
    </row>
    <row r="4258" spans="2:9" x14ac:dyDescent="0.25">
      <c r="B4258" s="123"/>
      <c r="F4258" s="79"/>
      <c r="I4258" s="123"/>
    </row>
    <row r="4259" spans="2:9" x14ac:dyDescent="0.25">
      <c r="B4259" s="123"/>
      <c r="F4259" s="79"/>
      <c r="I4259" s="123"/>
    </row>
    <row r="4260" spans="2:9" x14ac:dyDescent="0.25">
      <c r="B4260" s="123"/>
      <c r="F4260" s="79"/>
      <c r="I4260" s="123"/>
    </row>
    <row r="4261" spans="2:9" x14ac:dyDescent="0.25">
      <c r="B4261" s="123"/>
      <c r="F4261" s="79"/>
      <c r="I4261" s="123"/>
    </row>
    <row r="4262" spans="2:9" x14ac:dyDescent="0.25">
      <c r="B4262" s="123"/>
      <c r="F4262" s="79"/>
      <c r="I4262" s="123"/>
    </row>
    <row r="4263" spans="2:9" x14ac:dyDescent="0.25">
      <c r="B4263" s="123"/>
      <c r="F4263" s="79"/>
      <c r="I4263" s="123"/>
    </row>
    <row r="4264" spans="2:9" x14ac:dyDescent="0.25">
      <c r="B4264" s="123"/>
      <c r="F4264" s="79"/>
      <c r="I4264" s="123"/>
    </row>
    <row r="4265" spans="2:9" x14ac:dyDescent="0.25">
      <c r="B4265" s="123"/>
      <c r="F4265" s="79"/>
      <c r="I4265" s="123"/>
    </row>
    <row r="4266" spans="2:9" x14ac:dyDescent="0.25">
      <c r="B4266" s="123"/>
      <c r="F4266" s="79"/>
      <c r="I4266" s="123"/>
    </row>
    <row r="4267" spans="2:9" x14ac:dyDescent="0.25">
      <c r="B4267" s="123"/>
      <c r="F4267" s="79"/>
      <c r="I4267" s="123"/>
    </row>
    <row r="4268" spans="2:9" x14ac:dyDescent="0.25">
      <c r="B4268" s="123"/>
      <c r="F4268" s="79"/>
      <c r="I4268" s="123"/>
    </row>
    <row r="4269" spans="2:9" x14ac:dyDescent="0.25">
      <c r="B4269" s="123"/>
      <c r="F4269" s="79"/>
      <c r="I4269" s="123"/>
    </row>
    <row r="4270" spans="2:9" x14ac:dyDescent="0.25">
      <c r="B4270" s="123"/>
      <c r="F4270" s="79"/>
      <c r="I4270" s="123"/>
    </row>
    <row r="4271" spans="2:9" x14ac:dyDescent="0.25">
      <c r="B4271" s="123"/>
      <c r="F4271" s="79"/>
      <c r="I4271" s="123"/>
    </row>
    <row r="4272" spans="2:9" x14ac:dyDescent="0.25">
      <c r="B4272" s="123"/>
      <c r="F4272" s="79"/>
      <c r="I4272" s="123"/>
    </row>
    <row r="4273" spans="2:9" x14ac:dyDescent="0.25">
      <c r="B4273" s="123"/>
      <c r="F4273" s="79"/>
      <c r="I4273" s="123"/>
    </row>
    <row r="4274" spans="2:9" x14ac:dyDescent="0.25">
      <c r="B4274" s="123"/>
      <c r="F4274" s="79"/>
      <c r="I4274" s="123"/>
    </row>
    <row r="4275" spans="2:9" x14ac:dyDescent="0.25">
      <c r="B4275" s="123"/>
      <c r="F4275" s="79"/>
      <c r="I4275" s="123"/>
    </row>
    <row r="4276" spans="2:9" x14ac:dyDescent="0.25">
      <c r="B4276" s="123"/>
      <c r="F4276" s="79"/>
      <c r="I4276" s="123"/>
    </row>
    <row r="4277" spans="2:9" x14ac:dyDescent="0.25">
      <c r="B4277" s="123"/>
      <c r="F4277" s="79"/>
      <c r="I4277" s="123"/>
    </row>
    <row r="4278" spans="2:9" x14ac:dyDescent="0.25">
      <c r="B4278" s="123"/>
      <c r="F4278" s="79"/>
      <c r="I4278" s="123"/>
    </row>
    <row r="4279" spans="2:9" x14ac:dyDescent="0.25">
      <c r="B4279" s="123"/>
      <c r="F4279" s="79"/>
      <c r="I4279" s="123"/>
    </row>
    <row r="4280" spans="2:9" x14ac:dyDescent="0.25">
      <c r="B4280" s="123"/>
      <c r="F4280" s="79"/>
      <c r="I4280" s="123"/>
    </row>
    <row r="4281" spans="2:9" x14ac:dyDescent="0.25">
      <c r="B4281" s="123"/>
      <c r="F4281" s="79"/>
      <c r="I4281" s="123"/>
    </row>
    <row r="4282" spans="2:9" x14ac:dyDescent="0.25">
      <c r="B4282" s="123"/>
      <c r="F4282" s="79"/>
      <c r="I4282" s="123"/>
    </row>
    <row r="4283" spans="2:9" x14ac:dyDescent="0.25">
      <c r="B4283" s="123"/>
      <c r="F4283" s="79"/>
      <c r="I4283" s="123"/>
    </row>
    <row r="4284" spans="2:9" x14ac:dyDescent="0.25">
      <c r="B4284" s="123"/>
      <c r="F4284" s="79"/>
      <c r="I4284" s="123"/>
    </row>
    <row r="4285" spans="2:9" x14ac:dyDescent="0.25">
      <c r="B4285" s="123"/>
      <c r="F4285" s="79"/>
      <c r="I4285" s="123"/>
    </row>
    <row r="4286" spans="2:9" x14ac:dyDescent="0.25">
      <c r="B4286" s="123"/>
      <c r="F4286" s="79"/>
      <c r="I4286" s="123"/>
    </row>
    <row r="4287" spans="2:9" x14ac:dyDescent="0.25">
      <c r="B4287" s="123"/>
      <c r="F4287" s="79"/>
      <c r="I4287" s="123"/>
    </row>
    <row r="4288" spans="2:9" x14ac:dyDescent="0.25">
      <c r="B4288" s="123"/>
      <c r="F4288" s="79"/>
      <c r="I4288" s="123"/>
    </row>
    <row r="4289" spans="2:9" x14ac:dyDescent="0.25">
      <c r="B4289" s="123"/>
      <c r="F4289" s="79"/>
      <c r="I4289" s="123"/>
    </row>
    <row r="4290" spans="2:9" x14ac:dyDescent="0.25">
      <c r="B4290" s="123"/>
      <c r="F4290" s="79"/>
      <c r="I4290" s="123"/>
    </row>
    <row r="4291" spans="2:9" x14ac:dyDescent="0.25">
      <c r="B4291" s="123"/>
      <c r="F4291" s="79"/>
      <c r="I4291" s="123"/>
    </row>
    <row r="4292" spans="2:9" x14ac:dyDescent="0.25">
      <c r="B4292" s="123"/>
      <c r="F4292" s="79"/>
      <c r="I4292" s="123"/>
    </row>
    <row r="4293" spans="2:9" x14ac:dyDescent="0.25">
      <c r="B4293" s="123"/>
      <c r="F4293" s="79"/>
      <c r="I4293" s="123"/>
    </row>
    <row r="4294" spans="2:9" x14ac:dyDescent="0.25">
      <c r="B4294" s="123"/>
      <c r="F4294" s="79"/>
      <c r="I4294" s="123"/>
    </row>
    <row r="4295" spans="2:9" x14ac:dyDescent="0.25">
      <c r="B4295" s="123"/>
      <c r="F4295" s="79"/>
      <c r="I4295" s="123"/>
    </row>
    <row r="4296" spans="2:9" x14ac:dyDescent="0.25">
      <c r="B4296" s="123"/>
      <c r="F4296" s="79"/>
      <c r="I4296" s="123"/>
    </row>
    <row r="4297" spans="2:9" x14ac:dyDescent="0.25">
      <c r="B4297" s="123"/>
      <c r="F4297" s="79"/>
      <c r="I4297" s="123"/>
    </row>
    <row r="4298" spans="2:9" x14ac:dyDescent="0.25">
      <c r="B4298" s="123"/>
      <c r="F4298" s="79"/>
      <c r="I4298" s="123"/>
    </row>
    <row r="4299" spans="2:9" x14ac:dyDescent="0.25">
      <c r="B4299" s="123"/>
      <c r="F4299" s="79"/>
      <c r="I4299" s="123"/>
    </row>
    <row r="4300" spans="2:9" x14ac:dyDescent="0.25">
      <c r="B4300" s="123"/>
      <c r="F4300" s="79"/>
      <c r="I4300" s="123"/>
    </row>
    <row r="4301" spans="2:9" x14ac:dyDescent="0.25">
      <c r="B4301" s="123"/>
      <c r="F4301" s="79"/>
      <c r="I4301" s="123"/>
    </row>
    <row r="4302" spans="2:9" x14ac:dyDescent="0.25">
      <c r="B4302" s="123"/>
      <c r="F4302" s="79"/>
      <c r="I4302" s="123"/>
    </row>
    <row r="4303" spans="2:9" x14ac:dyDescent="0.25">
      <c r="B4303" s="123"/>
      <c r="F4303" s="79"/>
      <c r="I4303" s="123"/>
    </row>
    <row r="4304" spans="2:9" x14ac:dyDescent="0.25">
      <c r="B4304" s="123"/>
      <c r="F4304" s="79"/>
      <c r="I4304" s="123"/>
    </row>
    <row r="4305" spans="2:9" x14ac:dyDescent="0.25">
      <c r="B4305" s="123"/>
      <c r="F4305" s="79"/>
      <c r="I4305" s="123"/>
    </row>
    <row r="4306" spans="2:9" x14ac:dyDescent="0.25">
      <c r="B4306" s="123"/>
      <c r="F4306" s="79"/>
      <c r="I4306" s="123"/>
    </row>
    <row r="4307" spans="2:9" x14ac:dyDescent="0.25">
      <c r="B4307" s="123"/>
      <c r="F4307" s="79"/>
      <c r="I4307" s="123"/>
    </row>
    <row r="4308" spans="2:9" x14ac:dyDescent="0.25">
      <c r="B4308" s="123"/>
      <c r="F4308" s="79"/>
      <c r="I4308" s="123"/>
    </row>
    <row r="4309" spans="2:9" x14ac:dyDescent="0.25">
      <c r="B4309" s="123"/>
      <c r="F4309" s="79"/>
      <c r="I4309" s="123"/>
    </row>
    <row r="4310" spans="2:9" x14ac:dyDescent="0.25">
      <c r="B4310" s="123"/>
      <c r="F4310" s="79"/>
      <c r="I4310" s="123"/>
    </row>
    <row r="4311" spans="2:9" x14ac:dyDescent="0.25">
      <c r="B4311" s="123"/>
      <c r="F4311" s="79"/>
      <c r="I4311" s="123"/>
    </row>
    <row r="4312" spans="2:9" x14ac:dyDescent="0.25">
      <c r="B4312" s="123"/>
      <c r="F4312" s="79"/>
      <c r="I4312" s="123"/>
    </row>
    <row r="4313" spans="2:9" x14ac:dyDescent="0.25">
      <c r="B4313" s="123"/>
      <c r="F4313" s="79"/>
      <c r="I4313" s="123"/>
    </row>
    <row r="4314" spans="2:9" x14ac:dyDescent="0.25">
      <c r="B4314" s="123"/>
      <c r="F4314" s="79"/>
      <c r="I4314" s="123"/>
    </row>
    <row r="4315" spans="2:9" x14ac:dyDescent="0.25">
      <c r="B4315" s="123"/>
      <c r="F4315" s="79"/>
      <c r="I4315" s="123"/>
    </row>
    <row r="4316" spans="2:9" x14ac:dyDescent="0.25">
      <c r="B4316" s="123"/>
      <c r="F4316" s="79"/>
      <c r="I4316" s="123"/>
    </row>
    <row r="4317" spans="2:9" x14ac:dyDescent="0.25">
      <c r="B4317" s="123"/>
      <c r="F4317" s="79"/>
      <c r="I4317" s="123"/>
    </row>
    <row r="4318" spans="2:9" x14ac:dyDescent="0.25">
      <c r="B4318" s="123"/>
      <c r="F4318" s="79"/>
      <c r="I4318" s="123"/>
    </row>
    <row r="4319" spans="2:9" x14ac:dyDescent="0.25">
      <c r="B4319" s="123"/>
      <c r="F4319" s="79"/>
      <c r="I4319" s="123"/>
    </row>
    <row r="4320" spans="2:9" x14ac:dyDescent="0.25">
      <c r="B4320" s="123"/>
      <c r="F4320" s="79"/>
      <c r="I4320" s="123"/>
    </row>
    <row r="4321" spans="2:9" x14ac:dyDescent="0.25">
      <c r="B4321" s="123"/>
      <c r="F4321" s="79"/>
      <c r="I4321" s="123"/>
    </row>
    <row r="4322" spans="2:9" x14ac:dyDescent="0.25">
      <c r="B4322" s="123"/>
      <c r="F4322" s="79"/>
      <c r="I4322" s="123"/>
    </row>
    <row r="4323" spans="2:9" x14ac:dyDescent="0.25">
      <c r="B4323" s="123"/>
      <c r="F4323" s="79"/>
      <c r="I4323" s="123"/>
    </row>
    <row r="4324" spans="2:9" x14ac:dyDescent="0.25">
      <c r="B4324" s="123"/>
      <c r="F4324" s="79"/>
      <c r="I4324" s="123"/>
    </row>
    <row r="4325" spans="2:9" x14ac:dyDescent="0.25">
      <c r="B4325" s="123"/>
      <c r="F4325" s="79"/>
      <c r="I4325" s="123"/>
    </row>
    <row r="4326" spans="2:9" x14ac:dyDescent="0.25">
      <c r="B4326" s="123"/>
      <c r="F4326" s="79"/>
      <c r="I4326" s="123"/>
    </row>
    <row r="4327" spans="2:9" x14ac:dyDescent="0.25">
      <c r="B4327" s="123"/>
      <c r="F4327" s="79"/>
      <c r="I4327" s="123"/>
    </row>
    <row r="4328" spans="2:9" x14ac:dyDescent="0.25">
      <c r="B4328" s="123"/>
      <c r="F4328" s="79"/>
      <c r="I4328" s="123"/>
    </row>
    <row r="4329" spans="2:9" x14ac:dyDescent="0.25">
      <c r="B4329" s="123"/>
      <c r="F4329" s="79"/>
      <c r="I4329" s="123"/>
    </row>
    <row r="4330" spans="2:9" x14ac:dyDescent="0.25">
      <c r="B4330" s="123"/>
      <c r="F4330" s="79"/>
      <c r="I4330" s="123"/>
    </row>
    <row r="4331" spans="2:9" x14ac:dyDescent="0.25">
      <c r="B4331" s="123"/>
      <c r="F4331" s="79"/>
      <c r="I4331" s="123"/>
    </row>
    <row r="4332" spans="2:9" x14ac:dyDescent="0.25">
      <c r="B4332" s="123"/>
      <c r="F4332" s="79"/>
      <c r="I4332" s="123"/>
    </row>
    <row r="4333" spans="2:9" x14ac:dyDescent="0.25">
      <c r="B4333" s="123"/>
      <c r="F4333" s="79"/>
      <c r="I4333" s="123"/>
    </row>
    <row r="4334" spans="2:9" x14ac:dyDescent="0.25">
      <c r="B4334" s="123"/>
      <c r="F4334" s="79"/>
      <c r="I4334" s="123"/>
    </row>
    <row r="4335" spans="2:9" x14ac:dyDescent="0.25">
      <c r="B4335" s="123"/>
      <c r="F4335" s="79"/>
      <c r="I4335" s="123"/>
    </row>
    <row r="4336" spans="2:9" x14ac:dyDescent="0.25">
      <c r="B4336" s="123"/>
      <c r="F4336" s="79"/>
      <c r="I4336" s="123"/>
    </row>
    <row r="4337" spans="2:9" x14ac:dyDescent="0.25">
      <c r="B4337" s="123"/>
      <c r="F4337" s="79"/>
      <c r="I4337" s="123"/>
    </row>
    <row r="4338" spans="2:9" x14ac:dyDescent="0.25">
      <c r="B4338" s="123"/>
      <c r="F4338" s="79"/>
      <c r="I4338" s="123"/>
    </row>
    <row r="4339" spans="2:9" x14ac:dyDescent="0.25">
      <c r="B4339" s="123"/>
      <c r="F4339" s="79"/>
      <c r="I4339" s="123"/>
    </row>
    <row r="4340" spans="2:9" x14ac:dyDescent="0.25">
      <c r="B4340" s="123"/>
      <c r="F4340" s="79"/>
      <c r="I4340" s="123"/>
    </row>
    <row r="4341" spans="2:9" x14ac:dyDescent="0.25">
      <c r="B4341" s="123"/>
      <c r="F4341" s="79"/>
      <c r="I4341" s="123"/>
    </row>
    <row r="4342" spans="2:9" x14ac:dyDescent="0.25">
      <c r="B4342" s="123"/>
      <c r="F4342" s="79"/>
      <c r="I4342" s="123"/>
    </row>
    <row r="4343" spans="2:9" x14ac:dyDescent="0.25">
      <c r="B4343" s="123"/>
      <c r="F4343" s="79"/>
      <c r="I4343" s="123"/>
    </row>
    <row r="4344" spans="2:9" x14ac:dyDescent="0.25">
      <c r="B4344" s="123"/>
      <c r="F4344" s="79"/>
      <c r="I4344" s="123"/>
    </row>
    <row r="4345" spans="2:9" x14ac:dyDescent="0.25">
      <c r="B4345" s="123"/>
      <c r="F4345" s="79"/>
      <c r="I4345" s="123"/>
    </row>
    <row r="4346" spans="2:9" x14ac:dyDescent="0.25">
      <c r="B4346" s="123"/>
      <c r="F4346" s="79"/>
      <c r="I4346" s="123"/>
    </row>
    <row r="4347" spans="2:9" x14ac:dyDescent="0.25">
      <c r="B4347" s="123"/>
      <c r="F4347" s="79"/>
      <c r="I4347" s="123"/>
    </row>
    <row r="4348" spans="2:9" x14ac:dyDescent="0.25">
      <c r="B4348" s="123"/>
      <c r="F4348" s="79"/>
      <c r="I4348" s="123"/>
    </row>
    <row r="4349" spans="2:9" x14ac:dyDescent="0.25">
      <c r="B4349" s="123"/>
      <c r="C4349" s="99"/>
      <c r="F4349" s="79"/>
      <c r="I4349" s="123"/>
    </row>
    <row r="4350" spans="2:9" x14ac:dyDescent="0.25">
      <c r="B4350" s="123"/>
      <c r="F4350" s="79"/>
      <c r="I4350" s="123"/>
    </row>
    <row r="4351" spans="2:9" x14ac:dyDescent="0.25">
      <c r="B4351" s="123"/>
      <c r="C4351" s="99"/>
      <c r="F4351" s="79"/>
      <c r="I4351" s="123"/>
    </row>
    <row r="4352" spans="2:9" x14ac:dyDescent="0.25">
      <c r="B4352" s="123"/>
      <c r="F4352" s="79"/>
      <c r="I4352" s="123"/>
    </row>
    <row r="4353" spans="2:9" x14ac:dyDescent="0.25">
      <c r="B4353" s="123"/>
      <c r="F4353" s="79"/>
      <c r="I4353" s="123"/>
    </row>
    <row r="4354" spans="2:9" x14ac:dyDescent="0.25">
      <c r="B4354" s="123"/>
      <c r="C4354" s="99"/>
      <c r="F4354" s="79"/>
      <c r="I4354" s="123"/>
    </row>
    <row r="4355" spans="2:9" x14ac:dyDescent="0.25">
      <c r="B4355" s="123"/>
      <c r="C4355" s="99"/>
      <c r="F4355" s="79"/>
      <c r="I4355" s="123"/>
    </row>
    <row r="4356" spans="2:9" x14ac:dyDescent="0.25">
      <c r="B4356" s="123"/>
      <c r="C4356" s="99"/>
      <c r="F4356" s="79"/>
      <c r="I4356" s="123"/>
    </row>
    <row r="4357" spans="2:9" x14ac:dyDescent="0.25">
      <c r="B4357" s="123"/>
      <c r="C4357" s="99"/>
      <c r="F4357" s="79"/>
      <c r="I4357" s="123"/>
    </row>
    <row r="4358" spans="2:9" x14ac:dyDescent="0.25">
      <c r="B4358" s="123"/>
      <c r="F4358" s="79"/>
      <c r="I4358" s="123"/>
    </row>
    <row r="4359" spans="2:9" x14ac:dyDescent="0.25">
      <c r="B4359" s="123"/>
      <c r="F4359" s="79"/>
      <c r="I4359" s="123"/>
    </row>
    <row r="4360" spans="2:9" x14ac:dyDescent="0.25">
      <c r="B4360" s="123"/>
      <c r="C4360" s="99"/>
      <c r="F4360" s="79"/>
      <c r="I4360" s="123"/>
    </row>
    <row r="4361" spans="2:9" x14ac:dyDescent="0.25">
      <c r="B4361" s="123"/>
      <c r="F4361" s="79"/>
      <c r="I4361" s="123"/>
    </row>
    <row r="4362" spans="2:9" x14ac:dyDescent="0.25">
      <c r="B4362" s="123"/>
      <c r="F4362" s="79"/>
      <c r="I4362" s="123"/>
    </row>
    <row r="4363" spans="2:9" x14ac:dyDescent="0.25">
      <c r="B4363" s="123"/>
      <c r="C4363" s="99"/>
      <c r="F4363" s="79"/>
      <c r="I4363" s="123"/>
    </row>
    <row r="4364" spans="2:9" x14ac:dyDescent="0.25">
      <c r="B4364" s="123"/>
      <c r="F4364" s="79"/>
      <c r="I4364" s="123"/>
    </row>
    <row r="4365" spans="2:9" x14ac:dyDescent="0.25">
      <c r="B4365" s="123"/>
      <c r="F4365" s="79"/>
      <c r="I4365" s="123"/>
    </row>
    <row r="4366" spans="2:9" x14ac:dyDescent="0.25">
      <c r="B4366" s="123"/>
      <c r="F4366" s="79"/>
      <c r="I4366" s="123"/>
    </row>
    <row r="4367" spans="2:9" x14ac:dyDescent="0.25">
      <c r="B4367" s="123"/>
      <c r="F4367" s="79"/>
      <c r="I4367" s="123"/>
    </row>
    <row r="4368" spans="2:9" x14ac:dyDescent="0.25">
      <c r="B4368" s="123"/>
      <c r="F4368" s="79"/>
      <c r="I4368" s="123"/>
    </row>
    <row r="4369" spans="2:9" x14ac:dyDescent="0.25">
      <c r="B4369" s="123"/>
      <c r="C4369" s="99"/>
      <c r="F4369" s="79"/>
      <c r="I4369" s="123"/>
    </row>
    <row r="4370" spans="2:9" x14ac:dyDescent="0.25">
      <c r="B4370" s="123"/>
      <c r="C4370" s="99"/>
      <c r="F4370" s="79"/>
      <c r="I4370" s="123"/>
    </row>
    <row r="4371" spans="2:9" x14ac:dyDescent="0.25">
      <c r="B4371" s="123"/>
      <c r="F4371" s="79"/>
      <c r="I4371" s="123"/>
    </row>
    <row r="4372" spans="2:9" x14ac:dyDescent="0.25">
      <c r="B4372" s="123"/>
      <c r="C4372" s="99"/>
      <c r="F4372" s="79"/>
      <c r="I4372" s="123"/>
    </row>
    <row r="4373" spans="2:9" x14ac:dyDescent="0.25">
      <c r="B4373" s="123"/>
      <c r="C4373" s="99"/>
      <c r="F4373" s="79"/>
      <c r="I4373" s="123"/>
    </row>
    <row r="4374" spans="2:9" x14ac:dyDescent="0.25">
      <c r="B4374" s="123"/>
      <c r="C4374" s="99"/>
      <c r="F4374" s="79"/>
      <c r="I4374" s="123"/>
    </row>
    <row r="4375" spans="2:9" x14ac:dyDescent="0.25">
      <c r="B4375" s="123"/>
      <c r="C4375" s="99"/>
      <c r="F4375" s="79"/>
      <c r="I4375" s="123"/>
    </row>
    <row r="4376" spans="2:9" x14ac:dyDescent="0.25">
      <c r="B4376" s="123"/>
      <c r="C4376" s="99"/>
      <c r="F4376" s="79"/>
      <c r="I4376" s="123"/>
    </row>
    <row r="4377" spans="2:9" x14ac:dyDescent="0.25">
      <c r="B4377" s="123"/>
      <c r="F4377" s="79"/>
      <c r="I4377" s="123"/>
    </row>
    <row r="4378" spans="2:9" x14ac:dyDescent="0.25">
      <c r="B4378" s="123"/>
      <c r="F4378" s="79"/>
      <c r="I4378" s="123"/>
    </row>
    <row r="4379" spans="2:9" x14ac:dyDescent="0.25">
      <c r="B4379" s="123"/>
      <c r="F4379" s="79"/>
      <c r="I4379" s="123"/>
    </row>
    <row r="4380" spans="2:9" x14ac:dyDescent="0.25">
      <c r="B4380" s="123"/>
      <c r="F4380" s="79"/>
      <c r="I4380" s="123"/>
    </row>
    <row r="4381" spans="2:9" x14ac:dyDescent="0.25">
      <c r="B4381" s="123"/>
      <c r="F4381" s="79"/>
      <c r="I4381" s="123"/>
    </row>
    <row r="4382" spans="2:9" x14ac:dyDescent="0.25">
      <c r="B4382" s="123"/>
      <c r="F4382" s="79"/>
      <c r="I4382" s="123"/>
    </row>
    <row r="4383" spans="2:9" x14ac:dyDescent="0.25">
      <c r="B4383" s="123"/>
      <c r="F4383" s="79"/>
      <c r="I4383" s="123"/>
    </row>
    <row r="4384" spans="2:9" x14ac:dyDescent="0.25">
      <c r="B4384" s="123"/>
      <c r="F4384" s="79"/>
      <c r="I4384" s="123"/>
    </row>
    <row r="4385" spans="2:9" x14ac:dyDescent="0.25">
      <c r="B4385" s="123"/>
      <c r="C4385" s="99"/>
      <c r="F4385" s="79"/>
      <c r="I4385" s="123"/>
    </row>
    <row r="4386" spans="2:9" x14ac:dyDescent="0.25">
      <c r="B4386" s="123"/>
      <c r="C4386" s="99"/>
      <c r="F4386" s="79"/>
      <c r="I4386" s="123"/>
    </row>
    <row r="4387" spans="2:9" x14ac:dyDescent="0.25">
      <c r="B4387" s="123"/>
      <c r="C4387" s="99"/>
      <c r="F4387" s="79"/>
      <c r="I4387" s="123"/>
    </row>
    <row r="4388" spans="2:9" x14ac:dyDescent="0.25">
      <c r="B4388" s="123"/>
      <c r="F4388" s="79"/>
      <c r="I4388" s="123"/>
    </row>
    <row r="4389" spans="2:9" x14ac:dyDescent="0.25">
      <c r="B4389" s="123"/>
      <c r="F4389" s="79"/>
      <c r="I4389" s="123"/>
    </row>
    <row r="4390" spans="2:9" x14ac:dyDescent="0.25">
      <c r="B4390" s="123"/>
      <c r="C4390" s="99"/>
      <c r="F4390" s="79"/>
      <c r="I4390" s="123"/>
    </row>
    <row r="4391" spans="2:9" x14ac:dyDescent="0.25">
      <c r="B4391" s="123"/>
      <c r="F4391" s="79"/>
      <c r="I4391" s="123"/>
    </row>
    <row r="4392" spans="2:9" x14ac:dyDescent="0.25">
      <c r="B4392" s="123"/>
      <c r="F4392" s="79"/>
      <c r="I4392" s="123"/>
    </row>
    <row r="4393" spans="2:9" x14ac:dyDescent="0.25">
      <c r="B4393" s="123"/>
      <c r="C4393" s="99"/>
      <c r="F4393" s="79"/>
      <c r="I4393" s="123"/>
    </row>
    <row r="4394" spans="2:9" x14ac:dyDescent="0.25">
      <c r="B4394" s="123"/>
      <c r="F4394" s="79"/>
      <c r="I4394" s="123"/>
    </row>
    <row r="4395" spans="2:9" x14ac:dyDescent="0.25">
      <c r="B4395" s="123"/>
      <c r="C4395" s="99"/>
      <c r="F4395" s="79"/>
      <c r="I4395" s="123"/>
    </row>
    <row r="4396" spans="2:9" x14ac:dyDescent="0.25">
      <c r="B4396" s="123"/>
      <c r="C4396" s="99"/>
      <c r="F4396" s="79"/>
      <c r="I4396" s="123"/>
    </row>
    <row r="4397" spans="2:9" x14ac:dyDescent="0.25">
      <c r="B4397" s="123"/>
      <c r="C4397" s="99"/>
      <c r="F4397" s="79"/>
      <c r="I4397" s="123"/>
    </row>
    <row r="4398" spans="2:9" x14ac:dyDescent="0.25">
      <c r="B4398" s="123"/>
      <c r="C4398" s="99"/>
      <c r="F4398" s="79"/>
      <c r="I4398" s="123"/>
    </row>
    <row r="4399" spans="2:9" x14ac:dyDescent="0.25">
      <c r="B4399" s="123"/>
      <c r="C4399" s="99"/>
      <c r="F4399" s="79"/>
      <c r="I4399" s="123"/>
    </row>
    <row r="4400" spans="2:9" x14ac:dyDescent="0.25">
      <c r="B4400" s="123"/>
      <c r="F4400" s="79"/>
      <c r="I4400" s="123"/>
    </row>
    <row r="4401" spans="2:9" x14ac:dyDescent="0.25">
      <c r="B4401" s="123"/>
      <c r="F4401" s="79"/>
      <c r="I4401" s="123"/>
    </row>
    <row r="4402" spans="2:9" x14ac:dyDescent="0.25">
      <c r="B4402" s="123"/>
      <c r="F4402" s="79"/>
      <c r="I4402" s="123"/>
    </row>
    <row r="4403" spans="2:9" x14ac:dyDescent="0.25">
      <c r="B4403" s="123"/>
      <c r="F4403" s="79"/>
      <c r="I4403" s="123"/>
    </row>
    <row r="4404" spans="2:9" x14ac:dyDescent="0.25">
      <c r="B4404" s="123"/>
      <c r="C4404" s="99"/>
      <c r="F4404" s="79"/>
      <c r="I4404" s="123"/>
    </row>
    <row r="4405" spans="2:9" x14ac:dyDescent="0.25">
      <c r="B4405" s="123"/>
      <c r="C4405" s="99"/>
      <c r="F4405" s="79"/>
      <c r="I4405" s="123"/>
    </row>
    <row r="4406" spans="2:9" x14ac:dyDescent="0.25">
      <c r="B4406" s="123"/>
      <c r="C4406" s="99"/>
      <c r="F4406" s="79"/>
      <c r="I4406" s="123"/>
    </row>
    <row r="4407" spans="2:9" x14ac:dyDescent="0.25">
      <c r="B4407" s="123"/>
      <c r="F4407" s="79"/>
      <c r="I4407" s="123"/>
    </row>
    <row r="4408" spans="2:9" x14ac:dyDescent="0.25">
      <c r="B4408" s="123"/>
      <c r="F4408" s="79"/>
      <c r="I4408" s="123"/>
    </row>
    <row r="4409" spans="2:9" x14ac:dyDescent="0.25">
      <c r="B4409" s="123"/>
      <c r="F4409" s="79"/>
      <c r="I4409" s="123"/>
    </row>
    <row r="4410" spans="2:9" x14ac:dyDescent="0.25">
      <c r="B4410" s="123"/>
      <c r="C4410" s="99"/>
      <c r="F4410" s="79"/>
      <c r="I4410" s="123"/>
    </row>
    <row r="4411" spans="2:9" x14ac:dyDescent="0.25">
      <c r="B4411" s="123"/>
      <c r="C4411" s="99"/>
      <c r="F4411" s="79"/>
      <c r="I4411" s="123"/>
    </row>
    <row r="4412" spans="2:9" x14ac:dyDescent="0.25">
      <c r="B4412" s="123"/>
      <c r="C4412" s="99"/>
      <c r="F4412" s="79"/>
      <c r="I4412" s="123"/>
    </row>
    <row r="4413" spans="2:9" x14ac:dyDescent="0.25">
      <c r="B4413" s="123"/>
      <c r="F4413" s="79"/>
      <c r="I4413" s="123"/>
    </row>
    <row r="4414" spans="2:9" x14ac:dyDescent="0.25">
      <c r="B4414" s="123"/>
      <c r="C4414" s="99"/>
      <c r="F4414" s="79"/>
      <c r="I4414" s="123"/>
    </row>
    <row r="4415" spans="2:9" x14ac:dyDescent="0.25">
      <c r="B4415" s="123"/>
      <c r="C4415" s="99"/>
      <c r="F4415" s="79"/>
      <c r="I4415" s="123"/>
    </row>
    <row r="4416" spans="2:9" x14ac:dyDescent="0.25">
      <c r="B4416" s="123"/>
      <c r="F4416" s="79"/>
      <c r="I4416" s="123"/>
    </row>
    <row r="4417" spans="2:9" x14ac:dyDescent="0.25">
      <c r="B4417" s="123"/>
      <c r="F4417" s="79"/>
      <c r="I4417" s="123"/>
    </row>
    <row r="4418" spans="2:9" x14ac:dyDescent="0.25">
      <c r="B4418" s="123"/>
      <c r="F4418" s="79"/>
      <c r="I4418" s="123"/>
    </row>
    <row r="4419" spans="2:9" x14ac:dyDescent="0.25">
      <c r="B4419" s="123"/>
      <c r="F4419" s="79"/>
      <c r="I4419" s="123"/>
    </row>
    <row r="4420" spans="2:9" x14ac:dyDescent="0.25">
      <c r="B4420" s="123"/>
      <c r="F4420" s="79"/>
      <c r="I4420" s="123"/>
    </row>
    <row r="4421" spans="2:9" x14ac:dyDescent="0.25">
      <c r="B4421" s="123"/>
      <c r="F4421" s="79"/>
      <c r="I4421" s="123"/>
    </row>
    <row r="4422" spans="2:9" x14ac:dyDescent="0.25">
      <c r="B4422" s="123"/>
      <c r="F4422" s="79"/>
      <c r="I4422" s="123"/>
    </row>
    <row r="4423" spans="2:9" x14ac:dyDescent="0.25">
      <c r="B4423" s="123"/>
      <c r="F4423" s="79"/>
      <c r="I4423" s="123"/>
    </row>
    <row r="4424" spans="2:9" x14ac:dyDescent="0.25">
      <c r="B4424" s="123"/>
      <c r="F4424" s="79"/>
      <c r="I4424" s="123"/>
    </row>
    <row r="4425" spans="2:9" x14ac:dyDescent="0.25">
      <c r="B4425" s="123"/>
      <c r="C4425" s="99"/>
      <c r="F4425" s="79"/>
      <c r="I4425" s="123"/>
    </row>
    <row r="4426" spans="2:9" x14ac:dyDescent="0.25">
      <c r="B4426" s="123"/>
      <c r="C4426" s="99"/>
      <c r="F4426" s="79"/>
      <c r="I4426" s="123"/>
    </row>
    <row r="4427" spans="2:9" x14ac:dyDescent="0.25">
      <c r="B4427" s="123"/>
      <c r="C4427" s="99"/>
      <c r="F4427" s="79"/>
      <c r="I4427" s="123"/>
    </row>
    <row r="4428" spans="2:9" x14ac:dyDescent="0.25">
      <c r="B4428" s="123"/>
      <c r="F4428" s="79"/>
      <c r="I4428" s="123"/>
    </row>
    <row r="4429" spans="2:9" x14ac:dyDescent="0.25">
      <c r="B4429" s="123"/>
      <c r="F4429" s="79"/>
      <c r="I4429" s="123"/>
    </row>
    <row r="4430" spans="2:9" x14ac:dyDescent="0.25">
      <c r="B4430" s="123"/>
      <c r="C4430" s="99"/>
      <c r="F4430" s="79"/>
      <c r="I4430" s="123"/>
    </row>
    <row r="4431" spans="2:9" x14ac:dyDescent="0.25">
      <c r="B4431" s="123"/>
      <c r="C4431" s="99"/>
      <c r="F4431" s="79"/>
      <c r="I4431" s="123"/>
    </row>
    <row r="4432" spans="2:9" x14ac:dyDescent="0.25">
      <c r="B4432" s="123"/>
      <c r="C4432" s="99"/>
      <c r="F4432" s="79"/>
      <c r="I4432" s="123"/>
    </row>
    <row r="4433" spans="2:9" x14ac:dyDescent="0.25">
      <c r="B4433" s="123"/>
      <c r="C4433" s="99"/>
      <c r="F4433" s="79"/>
      <c r="I4433" s="123"/>
    </row>
    <row r="4434" spans="2:9" x14ac:dyDescent="0.25">
      <c r="B4434" s="123"/>
      <c r="F4434" s="79"/>
      <c r="I4434" s="123"/>
    </row>
    <row r="4435" spans="2:9" x14ac:dyDescent="0.25">
      <c r="B4435" s="123"/>
      <c r="F4435" s="79"/>
      <c r="I4435" s="123"/>
    </row>
    <row r="4436" spans="2:9" x14ac:dyDescent="0.25">
      <c r="B4436" s="123"/>
      <c r="F4436" s="79"/>
      <c r="I4436" s="123"/>
    </row>
    <row r="4437" spans="2:9" x14ac:dyDescent="0.25">
      <c r="B4437" s="123"/>
      <c r="C4437" s="99"/>
      <c r="F4437" s="79"/>
      <c r="I4437" s="123"/>
    </row>
    <row r="4438" spans="2:9" x14ac:dyDescent="0.25">
      <c r="B4438" s="123"/>
      <c r="C4438" s="99"/>
      <c r="F4438" s="79"/>
      <c r="I4438" s="123"/>
    </row>
    <row r="4439" spans="2:9" x14ac:dyDescent="0.25">
      <c r="B4439" s="123"/>
      <c r="C4439" s="99"/>
      <c r="F4439" s="79"/>
      <c r="I4439" s="123"/>
    </row>
    <row r="4440" spans="2:9" x14ac:dyDescent="0.25">
      <c r="B4440" s="123"/>
      <c r="F4440" s="79"/>
      <c r="I4440" s="123"/>
    </row>
    <row r="4441" spans="2:9" x14ac:dyDescent="0.25">
      <c r="B4441" s="123"/>
      <c r="C4441" s="99"/>
      <c r="F4441" s="79"/>
      <c r="I4441" s="123"/>
    </row>
    <row r="4442" spans="2:9" x14ac:dyDescent="0.25">
      <c r="B4442" s="123"/>
      <c r="F4442" s="79"/>
      <c r="I4442" s="123"/>
    </row>
    <row r="4443" spans="2:9" x14ac:dyDescent="0.25">
      <c r="B4443" s="123"/>
      <c r="F4443" s="79"/>
      <c r="I4443" s="123"/>
    </row>
    <row r="4444" spans="2:9" x14ac:dyDescent="0.25">
      <c r="B4444" s="123"/>
      <c r="F4444" s="79"/>
      <c r="I4444" s="123"/>
    </row>
    <row r="4445" spans="2:9" x14ac:dyDescent="0.25">
      <c r="B4445" s="123"/>
      <c r="F4445" s="79"/>
      <c r="I4445" s="123"/>
    </row>
    <row r="4446" spans="2:9" x14ac:dyDescent="0.25">
      <c r="B4446" s="123"/>
      <c r="F4446" s="79"/>
      <c r="I4446" s="123"/>
    </row>
    <row r="4447" spans="2:9" x14ac:dyDescent="0.25">
      <c r="B4447" s="123"/>
      <c r="F4447" s="79"/>
      <c r="I4447" s="123"/>
    </row>
    <row r="4448" spans="2:9" x14ac:dyDescent="0.25">
      <c r="B4448" s="123"/>
      <c r="F4448" s="79"/>
      <c r="I4448" s="123"/>
    </row>
    <row r="4449" spans="2:9" x14ac:dyDescent="0.25">
      <c r="B4449" s="123"/>
      <c r="F4449" s="79"/>
      <c r="I4449" s="123"/>
    </row>
    <row r="4450" spans="2:9" x14ac:dyDescent="0.25">
      <c r="B4450" s="123"/>
      <c r="F4450" s="79"/>
      <c r="I4450" s="123"/>
    </row>
    <row r="4451" spans="2:9" x14ac:dyDescent="0.25">
      <c r="B4451" s="123"/>
      <c r="F4451" s="79"/>
      <c r="I4451" s="123"/>
    </row>
    <row r="4452" spans="2:9" x14ac:dyDescent="0.25">
      <c r="B4452" s="123"/>
      <c r="F4452" s="79"/>
      <c r="I4452" s="123"/>
    </row>
    <row r="4453" spans="2:9" x14ac:dyDescent="0.25">
      <c r="B4453" s="123"/>
      <c r="F4453" s="79"/>
      <c r="I4453" s="123"/>
    </row>
    <row r="4454" spans="2:9" x14ac:dyDescent="0.25">
      <c r="B4454" s="123"/>
      <c r="C4454" s="99"/>
      <c r="F4454" s="79"/>
      <c r="I4454" s="123"/>
    </row>
    <row r="4455" spans="2:9" x14ac:dyDescent="0.25">
      <c r="B4455" s="123"/>
      <c r="C4455" s="99"/>
      <c r="F4455" s="79"/>
      <c r="I4455" s="123"/>
    </row>
    <row r="4456" spans="2:9" x14ac:dyDescent="0.25">
      <c r="B4456" s="123"/>
      <c r="C4456" s="99"/>
      <c r="F4456" s="79"/>
      <c r="I4456" s="123"/>
    </row>
    <row r="4457" spans="2:9" x14ac:dyDescent="0.25">
      <c r="B4457" s="123"/>
      <c r="F4457" s="79"/>
      <c r="I4457" s="123"/>
    </row>
    <row r="4458" spans="2:9" x14ac:dyDescent="0.25">
      <c r="B4458" s="123"/>
      <c r="F4458" s="79"/>
      <c r="I4458" s="123"/>
    </row>
    <row r="4459" spans="2:9" x14ac:dyDescent="0.25">
      <c r="B4459" s="123"/>
      <c r="F4459" s="79"/>
      <c r="I4459" s="123"/>
    </row>
    <row r="4460" spans="2:9" x14ac:dyDescent="0.25">
      <c r="B4460" s="123"/>
      <c r="C4460" s="99"/>
      <c r="F4460" s="79"/>
      <c r="I4460" s="123"/>
    </row>
    <row r="4461" spans="2:9" x14ac:dyDescent="0.25">
      <c r="B4461" s="123"/>
      <c r="F4461" s="79"/>
      <c r="I4461" s="123"/>
    </row>
    <row r="4462" spans="2:9" x14ac:dyDescent="0.25">
      <c r="B4462" s="123"/>
      <c r="F4462" s="79"/>
      <c r="I4462" s="123"/>
    </row>
    <row r="4463" spans="2:9" x14ac:dyDescent="0.25">
      <c r="B4463" s="123"/>
      <c r="F4463" s="79"/>
      <c r="I4463" s="123"/>
    </row>
    <row r="4464" spans="2:9" x14ac:dyDescent="0.25">
      <c r="B4464" s="123"/>
      <c r="F4464" s="79"/>
      <c r="I4464" s="123"/>
    </row>
    <row r="4465" spans="2:9" x14ac:dyDescent="0.25">
      <c r="B4465" s="123"/>
      <c r="C4465" s="99"/>
      <c r="F4465" s="79"/>
      <c r="I4465" s="123"/>
    </row>
    <row r="4466" spans="2:9" x14ac:dyDescent="0.25">
      <c r="B4466" s="123"/>
      <c r="F4466" s="79"/>
      <c r="I4466" s="123"/>
    </row>
    <row r="4467" spans="2:9" x14ac:dyDescent="0.25">
      <c r="B4467" s="123"/>
      <c r="F4467" s="79"/>
      <c r="I4467" s="123"/>
    </row>
    <row r="4468" spans="2:9" x14ac:dyDescent="0.25">
      <c r="B4468" s="123"/>
      <c r="C4468" s="99"/>
      <c r="F4468" s="79"/>
      <c r="I4468" s="123"/>
    </row>
    <row r="4469" spans="2:9" x14ac:dyDescent="0.25">
      <c r="B4469" s="123"/>
      <c r="F4469" s="79"/>
      <c r="I4469" s="123"/>
    </row>
    <row r="4470" spans="2:9" x14ac:dyDescent="0.25">
      <c r="B4470" s="123"/>
      <c r="F4470" s="79"/>
      <c r="I4470" s="123"/>
    </row>
    <row r="4471" spans="2:9" x14ac:dyDescent="0.25">
      <c r="B4471" s="123"/>
      <c r="F4471" s="79"/>
      <c r="I4471" s="123"/>
    </row>
    <row r="4472" spans="2:9" x14ac:dyDescent="0.25">
      <c r="B4472" s="123"/>
      <c r="C4472" s="99"/>
      <c r="F4472" s="79"/>
      <c r="I4472" s="123"/>
    </row>
    <row r="4473" spans="2:9" x14ac:dyDescent="0.25">
      <c r="B4473" s="123"/>
      <c r="F4473" s="79"/>
      <c r="I4473" s="123"/>
    </row>
    <row r="4474" spans="2:9" x14ac:dyDescent="0.25">
      <c r="B4474" s="123"/>
      <c r="F4474" s="79"/>
      <c r="I4474" s="123"/>
    </row>
    <row r="4475" spans="2:9" x14ac:dyDescent="0.25">
      <c r="B4475" s="123"/>
      <c r="F4475" s="79"/>
      <c r="I4475" s="123"/>
    </row>
    <row r="4476" spans="2:9" x14ac:dyDescent="0.25">
      <c r="B4476" s="123"/>
      <c r="F4476" s="79"/>
      <c r="I4476" s="123"/>
    </row>
    <row r="4477" spans="2:9" x14ac:dyDescent="0.25">
      <c r="B4477" s="123"/>
      <c r="F4477" s="79"/>
      <c r="I4477" s="123"/>
    </row>
    <row r="4478" spans="2:9" x14ac:dyDescent="0.25">
      <c r="B4478" s="123"/>
      <c r="F4478" s="79"/>
      <c r="I4478" s="123"/>
    </row>
    <row r="4479" spans="2:9" x14ac:dyDescent="0.25">
      <c r="B4479" s="123"/>
      <c r="F4479" s="79"/>
      <c r="I4479" s="123"/>
    </row>
    <row r="4480" spans="2:9" x14ac:dyDescent="0.25">
      <c r="B4480" s="123"/>
      <c r="F4480" s="79"/>
      <c r="I4480" s="123"/>
    </row>
    <row r="4481" spans="2:9" x14ac:dyDescent="0.25">
      <c r="B4481" s="123"/>
      <c r="F4481" s="79"/>
      <c r="I4481" s="123"/>
    </row>
    <row r="4482" spans="2:9" x14ac:dyDescent="0.25">
      <c r="B4482" s="123"/>
      <c r="F4482" s="79"/>
      <c r="I4482" s="123"/>
    </row>
    <row r="4483" spans="2:9" x14ac:dyDescent="0.25">
      <c r="B4483" s="123"/>
      <c r="C4483" s="99"/>
      <c r="F4483" s="79"/>
      <c r="I4483" s="123"/>
    </row>
    <row r="4484" spans="2:9" x14ac:dyDescent="0.25">
      <c r="B4484" s="123"/>
      <c r="C4484" s="99"/>
      <c r="F4484" s="79"/>
      <c r="I4484" s="123"/>
    </row>
    <row r="4485" spans="2:9" x14ac:dyDescent="0.25">
      <c r="B4485" s="123"/>
      <c r="C4485" s="99"/>
      <c r="F4485" s="79"/>
      <c r="I4485" s="123"/>
    </row>
    <row r="4486" spans="2:9" x14ac:dyDescent="0.25">
      <c r="B4486" s="123"/>
      <c r="F4486" s="79"/>
      <c r="I4486" s="123"/>
    </row>
    <row r="4487" spans="2:9" x14ac:dyDescent="0.25">
      <c r="B4487" s="123"/>
      <c r="F4487" s="79"/>
      <c r="I4487" s="123"/>
    </row>
    <row r="4488" spans="2:9" x14ac:dyDescent="0.25">
      <c r="B4488" s="123"/>
      <c r="F4488" s="79"/>
      <c r="I4488" s="123"/>
    </row>
    <row r="4489" spans="2:9" x14ac:dyDescent="0.25">
      <c r="B4489" s="123"/>
      <c r="F4489" s="79"/>
      <c r="I4489" s="123"/>
    </row>
    <row r="4490" spans="2:9" x14ac:dyDescent="0.25">
      <c r="B4490" s="123"/>
      <c r="F4490" s="79"/>
      <c r="I4490" s="123"/>
    </row>
    <row r="4491" spans="2:9" x14ac:dyDescent="0.25">
      <c r="B4491" s="123"/>
      <c r="F4491" s="79"/>
      <c r="I4491" s="123"/>
    </row>
    <row r="4492" spans="2:9" x14ac:dyDescent="0.25">
      <c r="B4492" s="123"/>
      <c r="F4492" s="79"/>
      <c r="I4492" s="123"/>
    </row>
    <row r="4493" spans="2:9" x14ac:dyDescent="0.25">
      <c r="B4493" s="123"/>
      <c r="C4493" s="99"/>
      <c r="F4493" s="79"/>
      <c r="I4493" s="123"/>
    </row>
    <row r="4494" spans="2:9" x14ac:dyDescent="0.25">
      <c r="B4494" s="123"/>
      <c r="F4494" s="79"/>
      <c r="I4494" s="123"/>
    </row>
    <row r="4495" spans="2:9" x14ac:dyDescent="0.25">
      <c r="B4495" s="123"/>
      <c r="F4495" s="79"/>
      <c r="I4495" s="123"/>
    </row>
    <row r="4496" spans="2:9" x14ac:dyDescent="0.25">
      <c r="B4496" s="123"/>
      <c r="F4496" s="79"/>
      <c r="I4496" s="123"/>
    </row>
    <row r="4497" spans="2:9" x14ac:dyDescent="0.25">
      <c r="B4497" s="123"/>
      <c r="F4497" s="79"/>
      <c r="I4497" s="123"/>
    </row>
    <row r="4498" spans="2:9" x14ac:dyDescent="0.25">
      <c r="B4498" s="123"/>
      <c r="F4498" s="79"/>
      <c r="I4498" s="123"/>
    </row>
    <row r="4499" spans="2:9" x14ac:dyDescent="0.25">
      <c r="B4499" s="123"/>
      <c r="F4499" s="79"/>
      <c r="I4499" s="123"/>
    </row>
    <row r="4500" spans="2:9" x14ac:dyDescent="0.25">
      <c r="B4500" s="123"/>
      <c r="F4500" s="79"/>
      <c r="I4500" s="123"/>
    </row>
    <row r="4501" spans="2:9" x14ac:dyDescent="0.25">
      <c r="B4501" s="123"/>
      <c r="F4501" s="79"/>
      <c r="I4501" s="123"/>
    </row>
    <row r="4502" spans="2:9" x14ac:dyDescent="0.25">
      <c r="B4502" s="123"/>
      <c r="F4502" s="79"/>
      <c r="I4502" s="123"/>
    </row>
    <row r="4503" spans="2:9" x14ac:dyDescent="0.25">
      <c r="B4503" s="123"/>
      <c r="F4503" s="79"/>
      <c r="I4503" s="123"/>
    </row>
    <row r="4504" spans="2:9" x14ac:dyDescent="0.25">
      <c r="B4504" s="123"/>
      <c r="F4504" s="79"/>
      <c r="I4504" s="123"/>
    </row>
    <row r="4505" spans="2:9" x14ac:dyDescent="0.25">
      <c r="B4505" s="123"/>
      <c r="F4505" s="79"/>
      <c r="I4505" s="123"/>
    </row>
    <row r="4506" spans="2:9" x14ac:dyDescent="0.25">
      <c r="B4506" s="123"/>
      <c r="F4506" s="79"/>
      <c r="I4506" s="123"/>
    </row>
    <row r="4507" spans="2:9" x14ac:dyDescent="0.25">
      <c r="B4507" s="123"/>
      <c r="F4507" s="79"/>
      <c r="I4507" s="123"/>
    </row>
    <row r="4508" spans="2:9" x14ac:dyDescent="0.25">
      <c r="B4508" s="123"/>
      <c r="F4508" s="79"/>
      <c r="I4508" s="123"/>
    </row>
    <row r="4509" spans="2:9" x14ac:dyDescent="0.25">
      <c r="B4509" s="123"/>
      <c r="F4509" s="79"/>
      <c r="I4509" s="123"/>
    </row>
    <row r="4510" spans="2:9" x14ac:dyDescent="0.25">
      <c r="B4510" s="123"/>
      <c r="F4510" s="79"/>
      <c r="I4510" s="123"/>
    </row>
    <row r="4511" spans="2:9" x14ac:dyDescent="0.25">
      <c r="B4511" s="123"/>
      <c r="F4511" s="79"/>
      <c r="I4511" s="123"/>
    </row>
    <row r="4512" spans="2:9" x14ac:dyDescent="0.25">
      <c r="B4512" s="123"/>
      <c r="F4512" s="79"/>
      <c r="I4512" s="123"/>
    </row>
    <row r="4513" spans="2:9" x14ac:dyDescent="0.25">
      <c r="B4513" s="123"/>
      <c r="F4513" s="79"/>
      <c r="I4513" s="123"/>
    </row>
    <row r="4514" spans="2:9" x14ac:dyDescent="0.25">
      <c r="B4514" s="123"/>
      <c r="F4514" s="79"/>
      <c r="I4514" s="123"/>
    </row>
    <row r="4515" spans="2:9" x14ac:dyDescent="0.25">
      <c r="B4515" s="123"/>
      <c r="F4515" s="79"/>
      <c r="I4515" s="123"/>
    </row>
    <row r="4516" spans="2:9" x14ac:dyDescent="0.25">
      <c r="B4516" s="123"/>
      <c r="F4516" s="79"/>
      <c r="I4516" s="123"/>
    </row>
    <row r="4517" spans="2:9" x14ac:dyDescent="0.25">
      <c r="B4517" s="123"/>
      <c r="F4517" s="79"/>
      <c r="I4517" s="123"/>
    </row>
    <row r="4518" spans="2:9" x14ac:dyDescent="0.25">
      <c r="B4518" s="123"/>
      <c r="F4518" s="79"/>
      <c r="I4518" s="123"/>
    </row>
    <row r="4519" spans="2:9" x14ac:dyDescent="0.25">
      <c r="B4519" s="123"/>
      <c r="F4519" s="79"/>
      <c r="I4519" s="123"/>
    </row>
    <row r="4520" spans="2:9" x14ac:dyDescent="0.25">
      <c r="B4520" s="123"/>
      <c r="F4520" s="79"/>
      <c r="I4520" s="123"/>
    </row>
    <row r="4521" spans="2:9" x14ac:dyDescent="0.25">
      <c r="B4521" s="123"/>
      <c r="F4521" s="79"/>
      <c r="I4521" s="123"/>
    </row>
    <row r="4522" spans="2:9" x14ac:dyDescent="0.25">
      <c r="B4522" s="123"/>
      <c r="F4522" s="79"/>
      <c r="I4522" s="123"/>
    </row>
    <row r="4523" spans="2:9" x14ac:dyDescent="0.25">
      <c r="B4523" s="123"/>
      <c r="F4523" s="79"/>
      <c r="I4523" s="123"/>
    </row>
    <row r="4524" spans="2:9" x14ac:dyDescent="0.25">
      <c r="B4524" s="123"/>
      <c r="F4524" s="79"/>
      <c r="I4524" s="123"/>
    </row>
    <row r="4525" spans="2:9" x14ac:dyDescent="0.25">
      <c r="B4525" s="123"/>
      <c r="F4525" s="79"/>
      <c r="I4525" s="123"/>
    </row>
    <row r="4526" spans="2:9" x14ac:dyDescent="0.25">
      <c r="B4526" s="123"/>
      <c r="F4526" s="79"/>
      <c r="I4526" s="123"/>
    </row>
    <row r="4527" spans="2:9" x14ac:dyDescent="0.25">
      <c r="B4527" s="123"/>
      <c r="F4527" s="79"/>
      <c r="I4527" s="123"/>
    </row>
    <row r="4528" spans="2:9" x14ac:dyDescent="0.25">
      <c r="B4528" s="123"/>
      <c r="F4528" s="79"/>
      <c r="I4528" s="123"/>
    </row>
    <row r="4529" spans="2:9" x14ac:dyDescent="0.25">
      <c r="B4529" s="123"/>
      <c r="F4529" s="79"/>
      <c r="I4529" s="123"/>
    </row>
    <row r="4530" spans="2:9" x14ac:dyDescent="0.25">
      <c r="B4530" s="123"/>
      <c r="F4530" s="79"/>
      <c r="I4530" s="123"/>
    </row>
    <row r="4531" spans="2:9" x14ac:dyDescent="0.25">
      <c r="B4531" s="123"/>
      <c r="F4531" s="79"/>
      <c r="I4531" s="123"/>
    </row>
    <row r="4532" spans="2:9" x14ac:dyDescent="0.25">
      <c r="B4532" s="123"/>
      <c r="F4532" s="79"/>
      <c r="I4532" s="123"/>
    </row>
    <row r="4533" spans="2:9" x14ac:dyDescent="0.25">
      <c r="B4533" s="123"/>
      <c r="F4533" s="79"/>
      <c r="I4533" s="123"/>
    </row>
    <row r="4534" spans="2:9" x14ac:dyDescent="0.25">
      <c r="B4534" s="123"/>
      <c r="F4534" s="79"/>
      <c r="I4534" s="123"/>
    </row>
    <row r="4535" spans="2:9" x14ac:dyDescent="0.25">
      <c r="B4535" s="123"/>
      <c r="F4535" s="79"/>
      <c r="I4535" s="123"/>
    </row>
    <row r="4536" spans="2:9" x14ac:dyDescent="0.25">
      <c r="B4536" s="123"/>
      <c r="F4536" s="79"/>
      <c r="I4536" s="123"/>
    </row>
    <row r="4537" spans="2:9" x14ac:dyDescent="0.25">
      <c r="B4537" s="123"/>
      <c r="F4537" s="79"/>
      <c r="I4537" s="123"/>
    </row>
    <row r="4538" spans="2:9" x14ac:dyDescent="0.25">
      <c r="B4538" s="123"/>
      <c r="F4538" s="79"/>
      <c r="I4538" s="123"/>
    </row>
    <row r="4539" spans="2:9" x14ac:dyDescent="0.25">
      <c r="B4539" s="123"/>
      <c r="F4539" s="79"/>
      <c r="I4539" s="123"/>
    </row>
    <row r="4540" spans="2:9" x14ac:dyDescent="0.25">
      <c r="B4540" s="123"/>
      <c r="F4540" s="79"/>
      <c r="I4540" s="123"/>
    </row>
    <row r="4541" spans="2:9" x14ac:dyDescent="0.25">
      <c r="B4541" s="123"/>
      <c r="F4541" s="79"/>
      <c r="I4541" s="123"/>
    </row>
    <row r="4542" spans="2:9" x14ac:dyDescent="0.25">
      <c r="B4542" s="123"/>
      <c r="F4542" s="79"/>
      <c r="I4542" s="123"/>
    </row>
    <row r="4543" spans="2:9" x14ac:dyDescent="0.25">
      <c r="B4543" s="123"/>
      <c r="F4543" s="79"/>
      <c r="I4543" s="123"/>
    </row>
    <row r="4544" spans="2:9" x14ac:dyDescent="0.25">
      <c r="B4544" s="123"/>
      <c r="F4544" s="79"/>
      <c r="I4544" s="123"/>
    </row>
    <row r="4545" spans="2:9" x14ac:dyDescent="0.25">
      <c r="B4545" s="123"/>
      <c r="F4545" s="79"/>
      <c r="I4545" s="123"/>
    </row>
    <row r="4546" spans="2:9" x14ac:dyDescent="0.25">
      <c r="B4546" s="123"/>
      <c r="F4546" s="79"/>
      <c r="I4546" s="123"/>
    </row>
    <row r="4547" spans="2:9" x14ac:dyDescent="0.25">
      <c r="B4547" s="123"/>
      <c r="F4547" s="79"/>
      <c r="I4547" s="123"/>
    </row>
    <row r="4548" spans="2:9" x14ac:dyDescent="0.25">
      <c r="B4548" s="123"/>
      <c r="F4548" s="79"/>
      <c r="I4548" s="123"/>
    </row>
    <row r="4549" spans="2:9" x14ac:dyDescent="0.25">
      <c r="B4549" s="123"/>
      <c r="F4549" s="79"/>
      <c r="I4549" s="123"/>
    </row>
    <row r="4550" spans="2:9" x14ac:dyDescent="0.25">
      <c r="B4550" s="123"/>
      <c r="F4550" s="79"/>
      <c r="I4550" s="123"/>
    </row>
    <row r="4551" spans="2:9" x14ac:dyDescent="0.25">
      <c r="B4551" s="123"/>
      <c r="F4551" s="79"/>
      <c r="I4551" s="123"/>
    </row>
    <row r="4552" spans="2:9" x14ac:dyDescent="0.25">
      <c r="B4552" s="123"/>
      <c r="F4552" s="79"/>
      <c r="I4552" s="123"/>
    </row>
    <row r="4553" spans="2:9" x14ac:dyDescent="0.25">
      <c r="B4553" s="123"/>
      <c r="F4553" s="79"/>
      <c r="I4553" s="123"/>
    </row>
    <row r="4554" spans="2:9" x14ac:dyDescent="0.25">
      <c r="B4554" s="123"/>
      <c r="F4554" s="79"/>
      <c r="I4554" s="123"/>
    </row>
    <row r="4555" spans="2:9" x14ac:dyDescent="0.25">
      <c r="B4555" s="123"/>
      <c r="F4555" s="79"/>
      <c r="I4555" s="123"/>
    </row>
    <row r="4556" spans="2:9" x14ac:dyDescent="0.25">
      <c r="B4556" s="123"/>
      <c r="F4556" s="79"/>
      <c r="I4556" s="123"/>
    </row>
    <row r="4557" spans="2:9" x14ac:dyDescent="0.25">
      <c r="B4557" s="123"/>
      <c r="F4557" s="79"/>
      <c r="I4557" s="123"/>
    </row>
    <row r="4558" spans="2:9" x14ac:dyDescent="0.25">
      <c r="B4558" s="123"/>
      <c r="F4558" s="79"/>
      <c r="I4558" s="123"/>
    </row>
    <row r="4559" spans="2:9" x14ac:dyDescent="0.25">
      <c r="B4559" s="123"/>
      <c r="F4559" s="79"/>
      <c r="I4559" s="123"/>
    </row>
    <row r="4560" spans="2:9" x14ac:dyDescent="0.25">
      <c r="B4560" s="123"/>
      <c r="F4560" s="79"/>
      <c r="I4560" s="123"/>
    </row>
    <row r="4561" spans="2:9" x14ac:dyDescent="0.25">
      <c r="B4561" s="123"/>
      <c r="F4561" s="79"/>
      <c r="I4561" s="123"/>
    </row>
    <row r="4562" spans="2:9" x14ac:dyDescent="0.25">
      <c r="B4562" s="123"/>
      <c r="F4562" s="79"/>
      <c r="I4562" s="123"/>
    </row>
    <row r="4563" spans="2:9" x14ac:dyDescent="0.25">
      <c r="B4563" s="123"/>
      <c r="F4563" s="79"/>
      <c r="I4563" s="123"/>
    </row>
    <row r="4564" spans="2:9" x14ac:dyDescent="0.25">
      <c r="B4564" s="123"/>
      <c r="F4564" s="79"/>
      <c r="I4564" s="123"/>
    </row>
    <row r="4565" spans="2:9" x14ac:dyDescent="0.25">
      <c r="B4565" s="123"/>
      <c r="F4565" s="79"/>
      <c r="I4565" s="123"/>
    </row>
    <row r="4566" spans="2:9" x14ac:dyDescent="0.25">
      <c r="B4566" s="123"/>
      <c r="F4566" s="79"/>
      <c r="I4566" s="123"/>
    </row>
    <row r="4567" spans="2:9" x14ac:dyDescent="0.25">
      <c r="B4567" s="123"/>
      <c r="F4567" s="79"/>
      <c r="I4567" s="123"/>
    </row>
    <row r="4568" spans="2:9" x14ac:dyDescent="0.25">
      <c r="B4568" s="123"/>
      <c r="F4568" s="79"/>
      <c r="I4568" s="123"/>
    </row>
    <row r="4569" spans="2:9" x14ac:dyDescent="0.25">
      <c r="B4569" s="123"/>
      <c r="F4569" s="79"/>
      <c r="I4569" s="123"/>
    </row>
    <row r="4570" spans="2:9" x14ac:dyDescent="0.25">
      <c r="B4570" s="123"/>
      <c r="F4570" s="79"/>
      <c r="I4570" s="123"/>
    </row>
    <row r="4571" spans="2:9" x14ac:dyDescent="0.25">
      <c r="B4571" s="123"/>
      <c r="F4571" s="79"/>
      <c r="I4571" s="123"/>
    </row>
    <row r="4572" spans="2:9" x14ac:dyDescent="0.25">
      <c r="B4572" s="123"/>
      <c r="F4572" s="79"/>
      <c r="I4572" s="123"/>
    </row>
    <row r="4573" spans="2:9" x14ac:dyDescent="0.25">
      <c r="B4573" s="123"/>
      <c r="F4573" s="79"/>
      <c r="I4573" s="123"/>
    </row>
    <row r="4574" spans="2:9" x14ac:dyDescent="0.25">
      <c r="B4574" s="123"/>
      <c r="F4574" s="79"/>
      <c r="I4574" s="123"/>
    </row>
    <row r="4575" spans="2:9" x14ac:dyDescent="0.25">
      <c r="B4575" s="123"/>
      <c r="F4575" s="79"/>
      <c r="I4575" s="123"/>
    </row>
    <row r="4576" spans="2:9" x14ac:dyDescent="0.25">
      <c r="B4576" s="123"/>
      <c r="F4576" s="79"/>
      <c r="I4576" s="123"/>
    </row>
    <row r="4577" spans="2:9" x14ac:dyDescent="0.25">
      <c r="B4577" s="123"/>
      <c r="F4577" s="79"/>
      <c r="I4577" s="123"/>
    </row>
    <row r="4578" spans="2:9" x14ac:dyDescent="0.25">
      <c r="B4578" s="123"/>
      <c r="F4578" s="79"/>
      <c r="I4578" s="123"/>
    </row>
    <row r="4579" spans="2:9" x14ac:dyDescent="0.25">
      <c r="B4579" s="123"/>
      <c r="F4579" s="79"/>
      <c r="I4579" s="123"/>
    </row>
    <row r="4580" spans="2:9" x14ac:dyDescent="0.25">
      <c r="B4580" s="123"/>
      <c r="F4580" s="79"/>
      <c r="I4580" s="123"/>
    </row>
    <row r="4581" spans="2:9" x14ac:dyDescent="0.25">
      <c r="B4581" s="123"/>
      <c r="F4581" s="79"/>
      <c r="I4581" s="123"/>
    </row>
    <row r="4582" spans="2:9" x14ac:dyDescent="0.25">
      <c r="B4582" s="123"/>
      <c r="F4582" s="79"/>
      <c r="I4582" s="123"/>
    </row>
    <row r="4583" spans="2:9" x14ac:dyDescent="0.25">
      <c r="B4583" s="123"/>
      <c r="F4583" s="79"/>
      <c r="I4583" s="123"/>
    </row>
    <row r="4584" spans="2:9" x14ac:dyDescent="0.25">
      <c r="B4584" s="123"/>
      <c r="F4584" s="79"/>
      <c r="I4584" s="123"/>
    </row>
    <row r="4585" spans="2:9" x14ac:dyDescent="0.25">
      <c r="B4585" s="123"/>
      <c r="F4585" s="79"/>
      <c r="I4585" s="123"/>
    </row>
    <row r="4586" spans="2:9" x14ac:dyDescent="0.25">
      <c r="B4586" s="123"/>
      <c r="F4586" s="79"/>
      <c r="I4586" s="123"/>
    </row>
    <row r="4587" spans="2:9" x14ac:dyDescent="0.25">
      <c r="B4587" s="123"/>
      <c r="F4587" s="79"/>
      <c r="I4587" s="123"/>
    </row>
    <row r="4588" spans="2:9" x14ac:dyDescent="0.25">
      <c r="B4588" s="123"/>
      <c r="F4588" s="79"/>
      <c r="I4588" s="123"/>
    </row>
    <row r="4589" spans="2:9" x14ac:dyDescent="0.25">
      <c r="B4589" s="123"/>
      <c r="F4589" s="79"/>
      <c r="I4589" s="123"/>
    </row>
    <row r="4590" spans="2:9" x14ac:dyDescent="0.25">
      <c r="B4590" s="123"/>
      <c r="F4590" s="79"/>
      <c r="I4590" s="123"/>
    </row>
    <row r="4591" spans="2:9" x14ac:dyDescent="0.25">
      <c r="B4591" s="123"/>
      <c r="F4591" s="79"/>
      <c r="I4591" s="123"/>
    </row>
    <row r="4592" spans="2:9" x14ac:dyDescent="0.25">
      <c r="B4592" s="123"/>
      <c r="F4592" s="79"/>
      <c r="I4592" s="123"/>
    </row>
    <row r="4593" spans="2:9" x14ac:dyDescent="0.25">
      <c r="B4593" s="123"/>
      <c r="F4593" s="79"/>
      <c r="I4593" s="123"/>
    </row>
    <row r="4594" spans="2:9" x14ac:dyDescent="0.25">
      <c r="B4594" s="123"/>
      <c r="F4594" s="79"/>
      <c r="I4594" s="123"/>
    </row>
    <row r="4595" spans="2:9" x14ac:dyDescent="0.25">
      <c r="B4595" s="123"/>
      <c r="F4595" s="79"/>
      <c r="I4595" s="123"/>
    </row>
    <row r="4596" spans="2:9" x14ac:dyDescent="0.25">
      <c r="B4596" s="123"/>
      <c r="F4596" s="79"/>
      <c r="I4596" s="123"/>
    </row>
    <row r="4597" spans="2:9" x14ac:dyDescent="0.25">
      <c r="B4597" s="123"/>
      <c r="F4597" s="79"/>
      <c r="I4597" s="123"/>
    </row>
    <row r="4598" spans="2:9" x14ac:dyDescent="0.25">
      <c r="B4598" s="123"/>
      <c r="F4598" s="79"/>
      <c r="I4598" s="123"/>
    </row>
    <row r="4599" spans="2:9" x14ac:dyDescent="0.25">
      <c r="B4599" s="123"/>
      <c r="F4599" s="79"/>
      <c r="I4599" s="123"/>
    </row>
    <row r="4600" spans="2:9" x14ac:dyDescent="0.25">
      <c r="B4600" s="123"/>
      <c r="F4600" s="79"/>
      <c r="I4600" s="123"/>
    </row>
    <row r="4601" spans="2:9" x14ac:dyDescent="0.25">
      <c r="B4601" s="123"/>
      <c r="F4601" s="79"/>
      <c r="I4601" s="123"/>
    </row>
    <row r="4602" spans="2:9" x14ac:dyDescent="0.25">
      <c r="B4602" s="123"/>
      <c r="F4602" s="79"/>
      <c r="I4602" s="123"/>
    </row>
    <row r="4603" spans="2:9" x14ac:dyDescent="0.25">
      <c r="B4603" s="123"/>
      <c r="F4603" s="79"/>
      <c r="I4603" s="123"/>
    </row>
    <row r="4604" spans="2:9" x14ac:dyDescent="0.25">
      <c r="B4604" s="123"/>
      <c r="F4604" s="79"/>
      <c r="I4604" s="123"/>
    </row>
    <row r="4605" spans="2:9" x14ac:dyDescent="0.25">
      <c r="B4605" s="123"/>
      <c r="F4605" s="79"/>
      <c r="I4605" s="123"/>
    </row>
    <row r="4606" spans="2:9" x14ac:dyDescent="0.25">
      <c r="B4606" s="123"/>
      <c r="F4606" s="79"/>
      <c r="I4606" s="123"/>
    </row>
    <row r="4607" spans="2:9" x14ac:dyDescent="0.25">
      <c r="B4607" s="123"/>
      <c r="F4607" s="79"/>
      <c r="I4607" s="123"/>
    </row>
    <row r="4608" spans="2:9" x14ac:dyDescent="0.25">
      <c r="B4608" s="123"/>
      <c r="F4608" s="79"/>
      <c r="I4608" s="123"/>
    </row>
    <row r="4609" spans="2:9" x14ac:dyDescent="0.25">
      <c r="B4609" s="123"/>
      <c r="F4609" s="79"/>
      <c r="I4609" s="123"/>
    </row>
    <row r="4610" spans="2:9" x14ac:dyDescent="0.25">
      <c r="B4610" s="123"/>
      <c r="F4610" s="79"/>
      <c r="I4610" s="123"/>
    </row>
    <row r="4611" spans="2:9" x14ac:dyDescent="0.25">
      <c r="B4611" s="123"/>
      <c r="F4611" s="79"/>
      <c r="I4611" s="123"/>
    </row>
    <row r="4612" spans="2:9" x14ac:dyDescent="0.25">
      <c r="B4612" s="123"/>
      <c r="F4612" s="79"/>
      <c r="I4612" s="123"/>
    </row>
    <row r="4613" spans="2:9" x14ac:dyDescent="0.25">
      <c r="B4613" s="123"/>
      <c r="F4613" s="79"/>
      <c r="I4613" s="123"/>
    </row>
    <row r="4614" spans="2:9" x14ac:dyDescent="0.25">
      <c r="B4614" s="123"/>
      <c r="F4614" s="79"/>
      <c r="I4614" s="123"/>
    </row>
    <row r="4615" spans="2:9" x14ac:dyDescent="0.25">
      <c r="B4615" s="123"/>
      <c r="F4615" s="79"/>
      <c r="I4615" s="123"/>
    </row>
    <row r="4616" spans="2:9" x14ac:dyDescent="0.25">
      <c r="B4616" s="123"/>
      <c r="F4616" s="79"/>
      <c r="I4616" s="123"/>
    </row>
    <row r="4617" spans="2:9" x14ac:dyDescent="0.25">
      <c r="B4617" s="123"/>
      <c r="F4617" s="79"/>
      <c r="I4617" s="123"/>
    </row>
    <row r="4618" spans="2:9" x14ac:dyDescent="0.25">
      <c r="B4618" s="123"/>
      <c r="F4618" s="79"/>
      <c r="I4618" s="123"/>
    </row>
    <row r="4619" spans="2:9" x14ac:dyDescent="0.25">
      <c r="B4619" s="123"/>
      <c r="F4619" s="79"/>
      <c r="I4619" s="123"/>
    </row>
    <row r="4620" spans="2:9" x14ac:dyDescent="0.25">
      <c r="B4620" s="123"/>
      <c r="F4620" s="79"/>
      <c r="I4620" s="123"/>
    </row>
    <row r="4621" spans="2:9" x14ac:dyDescent="0.25">
      <c r="B4621" s="123"/>
      <c r="F4621" s="79"/>
      <c r="I4621" s="123"/>
    </row>
    <row r="4622" spans="2:9" x14ac:dyDescent="0.25">
      <c r="B4622" s="123"/>
      <c r="F4622" s="79"/>
      <c r="I4622" s="123"/>
    </row>
    <row r="4623" spans="2:9" x14ac:dyDescent="0.25">
      <c r="B4623" s="123"/>
      <c r="F4623" s="79"/>
      <c r="I4623" s="123"/>
    </row>
    <row r="4624" spans="2:9" x14ac:dyDescent="0.25">
      <c r="B4624" s="123"/>
      <c r="F4624" s="79"/>
      <c r="I4624" s="123"/>
    </row>
    <row r="4625" spans="2:9" x14ac:dyDescent="0.25">
      <c r="B4625" s="123"/>
      <c r="F4625" s="79"/>
      <c r="I4625" s="123"/>
    </row>
    <row r="4626" spans="2:9" x14ac:dyDescent="0.25">
      <c r="B4626" s="123"/>
      <c r="F4626" s="79"/>
      <c r="I4626" s="123"/>
    </row>
    <row r="4627" spans="2:9" x14ac:dyDescent="0.25">
      <c r="B4627" s="123"/>
      <c r="F4627" s="79"/>
      <c r="I4627" s="123"/>
    </row>
    <row r="4628" spans="2:9" x14ac:dyDescent="0.25">
      <c r="B4628" s="123"/>
      <c r="F4628" s="79"/>
      <c r="I4628" s="123"/>
    </row>
    <row r="4629" spans="2:9" x14ac:dyDescent="0.25">
      <c r="B4629" s="123"/>
      <c r="F4629" s="79"/>
      <c r="I4629" s="123"/>
    </row>
    <row r="4630" spans="2:9" x14ac:dyDescent="0.25">
      <c r="B4630" s="123"/>
      <c r="F4630" s="79"/>
      <c r="I4630" s="123"/>
    </row>
    <row r="4631" spans="2:9" x14ac:dyDescent="0.25">
      <c r="B4631" s="123"/>
      <c r="F4631" s="79"/>
      <c r="I4631" s="123"/>
    </row>
    <row r="4632" spans="2:9" x14ac:dyDescent="0.25">
      <c r="B4632" s="123"/>
      <c r="F4632" s="79"/>
      <c r="I4632" s="123"/>
    </row>
    <row r="4633" spans="2:9" x14ac:dyDescent="0.25">
      <c r="B4633" s="123"/>
      <c r="F4633" s="79"/>
      <c r="I4633" s="123"/>
    </row>
    <row r="4634" spans="2:9" x14ac:dyDescent="0.25">
      <c r="B4634" s="123"/>
      <c r="F4634" s="79"/>
      <c r="I4634" s="123"/>
    </row>
    <row r="4635" spans="2:9" x14ac:dyDescent="0.25">
      <c r="B4635" s="123"/>
      <c r="F4635" s="79"/>
      <c r="I4635" s="123"/>
    </row>
    <row r="4636" spans="2:9" x14ac:dyDescent="0.25">
      <c r="B4636" s="123"/>
      <c r="F4636" s="79"/>
      <c r="I4636" s="123"/>
    </row>
    <row r="4637" spans="2:9" x14ac:dyDescent="0.25">
      <c r="B4637" s="123"/>
      <c r="F4637" s="79"/>
      <c r="I4637" s="123"/>
    </row>
    <row r="4638" spans="2:9" x14ac:dyDescent="0.25">
      <c r="B4638" s="123"/>
      <c r="F4638" s="79"/>
      <c r="I4638" s="123"/>
    </row>
    <row r="4639" spans="2:9" x14ac:dyDescent="0.25">
      <c r="B4639" s="123"/>
      <c r="F4639" s="79"/>
      <c r="I4639" s="123"/>
    </row>
    <row r="4640" spans="2:9" x14ac:dyDescent="0.25">
      <c r="B4640" s="123"/>
      <c r="F4640" s="79"/>
      <c r="I4640" s="123"/>
    </row>
    <row r="4641" spans="2:9" x14ac:dyDescent="0.25">
      <c r="B4641" s="123"/>
      <c r="F4641" s="79"/>
      <c r="I4641" s="123"/>
    </row>
    <row r="4642" spans="2:9" x14ac:dyDescent="0.25">
      <c r="B4642" s="123"/>
      <c r="F4642" s="79"/>
      <c r="I4642" s="123"/>
    </row>
    <row r="4643" spans="2:9" x14ac:dyDescent="0.25">
      <c r="B4643" s="123"/>
      <c r="F4643" s="79"/>
      <c r="I4643" s="123"/>
    </row>
    <row r="4644" spans="2:9" x14ac:dyDescent="0.25">
      <c r="B4644" s="123"/>
      <c r="F4644" s="79"/>
      <c r="I4644" s="123"/>
    </row>
    <row r="4645" spans="2:9" x14ac:dyDescent="0.25">
      <c r="B4645" s="123"/>
      <c r="F4645" s="79"/>
      <c r="I4645" s="123"/>
    </row>
    <row r="4646" spans="2:9" x14ac:dyDescent="0.25">
      <c r="B4646" s="123"/>
      <c r="F4646" s="79"/>
      <c r="I4646" s="123"/>
    </row>
    <row r="4647" spans="2:9" x14ac:dyDescent="0.25">
      <c r="B4647" s="123"/>
      <c r="F4647" s="79"/>
      <c r="I4647" s="123"/>
    </row>
    <row r="4648" spans="2:9" x14ac:dyDescent="0.25">
      <c r="B4648" s="123"/>
      <c r="F4648" s="79"/>
      <c r="I4648" s="123"/>
    </row>
    <row r="4649" spans="2:9" x14ac:dyDescent="0.25">
      <c r="B4649" s="123"/>
      <c r="F4649" s="79"/>
      <c r="I4649" s="123"/>
    </row>
    <row r="4650" spans="2:9" x14ac:dyDescent="0.25">
      <c r="B4650" s="123"/>
      <c r="F4650" s="79"/>
      <c r="I4650" s="123"/>
    </row>
    <row r="4651" spans="2:9" x14ac:dyDescent="0.25">
      <c r="B4651" s="123"/>
      <c r="F4651" s="79"/>
      <c r="I4651" s="123"/>
    </row>
    <row r="4652" spans="2:9" x14ac:dyDescent="0.25">
      <c r="B4652" s="123"/>
      <c r="F4652" s="79"/>
      <c r="I4652" s="123"/>
    </row>
    <row r="4653" spans="2:9" x14ac:dyDescent="0.25">
      <c r="B4653" s="123"/>
      <c r="F4653" s="79"/>
      <c r="I4653" s="123"/>
    </row>
    <row r="4654" spans="2:9" x14ac:dyDescent="0.25">
      <c r="B4654" s="123"/>
      <c r="F4654" s="79"/>
      <c r="I4654" s="123"/>
    </row>
    <row r="4655" spans="2:9" x14ac:dyDescent="0.25">
      <c r="B4655" s="123"/>
      <c r="F4655" s="79"/>
      <c r="I4655" s="123"/>
    </row>
    <row r="4656" spans="2:9" x14ac:dyDescent="0.25">
      <c r="B4656" s="123"/>
      <c r="F4656" s="79"/>
      <c r="I4656" s="123"/>
    </row>
    <row r="4657" spans="2:9" x14ac:dyDescent="0.25">
      <c r="B4657" s="123"/>
      <c r="F4657" s="79"/>
      <c r="I4657" s="123"/>
    </row>
    <row r="4658" spans="2:9" x14ac:dyDescent="0.25">
      <c r="B4658" s="123"/>
      <c r="F4658" s="79"/>
      <c r="I4658" s="123"/>
    </row>
    <row r="4659" spans="2:9" x14ac:dyDescent="0.25">
      <c r="B4659" s="123"/>
      <c r="F4659" s="79"/>
      <c r="I4659" s="123"/>
    </row>
    <row r="4660" spans="2:9" x14ac:dyDescent="0.25">
      <c r="B4660" s="123"/>
      <c r="F4660" s="79"/>
      <c r="I4660" s="123"/>
    </row>
    <row r="4661" spans="2:9" x14ac:dyDescent="0.25">
      <c r="B4661" s="123"/>
      <c r="F4661" s="79"/>
      <c r="I4661" s="123"/>
    </row>
    <row r="4662" spans="2:9" x14ac:dyDescent="0.25">
      <c r="B4662" s="123"/>
      <c r="F4662" s="79"/>
      <c r="I4662" s="123"/>
    </row>
    <row r="4663" spans="2:9" x14ac:dyDescent="0.25">
      <c r="B4663" s="123"/>
      <c r="F4663" s="79"/>
      <c r="I4663" s="123"/>
    </row>
    <row r="4664" spans="2:9" x14ac:dyDescent="0.25">
      <c r="B4664" s="123"/>
      <c r="F4664" s="79"/>
      <c r="I4664" s="123"/>
    </row>
    <row r="4665" spans="2:9" x14ac:dyDescent="0.25">
      <c r="B4665" s="123"/>
      <c r="F4665" s="79"/>
      <c r="I4665" s="123"/>
    </row>
    <row r="4666" spans="2:9" x14ac:dyDescent="0.25">
      <c r="B4666" s="123"/>
      <c r="F4666" s="79"/>
      <c r="I4666" s="123"/>
    </row>
    <row r="4667" spans="2:9" x14ac:dyDescent="0.25">
      <c r="B4667" s="123"/>
      <c r="F4667" s="79"/>
      <c r="I4667" s="123"/>
    </row>
    <row r="4668" spans="2:9" x14ac:dyDescent="0.25">
      <c r="B4668" s="123"/>
      <c r="F4668" s="79"/>
      <c r="I4668" s="123"/>
    </row>
    <row r="4669" spans="2:9" x14ac:dyDescent="0.25">
      <c r="B4669" s="123"/>
      <c r="F4669" s="79"/>
      <c r="I4669" s="123"/>
    </row>
    <row r="4670" spans="2:9" x14ac:dyDescent="0.25">
      <c r="B4670" s="123"/>
      <c r="F4670" s="79"/>
      <c r="I4670" s="123"/>
    </row>
    <row r="4671" spans="2:9" x14ac:dyDescent="0.25">
      <c r="B4671" s="123"/>
      <c r="F4671" s="79"/>
      <c r="I4671" s="123"/>
    </row>
    <row r="4672" spans="2:9" x14ac:dyDescent="0.25">
      <c r="B4672" s="123"/>
      <c r="F4672" s="79"/>
      <c r="I4672" s="123"/>
    </row>
    <row r="4673" spans="2:9" x14ac:dyDescent="0.25">
      <c r="B4673" s="123"/>
      <c r="F4673" s="79"/>
      <c r="I4673" s="123"/>
    </row>
    <row r="4674" spans="2:9" x14ac:dyDescent="0.25">
      <c r="B4674" s="123"/>
      <c r="F4674" s="79"/>
      <c r="I4674" s="123"/>
    </row>
    <row r="4675" spans="2:9" x14ac:dyDescent="0.25">
      <c r="B4675" s="123"/>
      <c r="F4675" s="79"/>
      <c r="I4675" s="123"/>
    </row>
    <row r="4676" spans="2:9" x14ac:dyDescent="0.25">
      <c r="B4676" s="123"/>
      <c r="F4676" s="79"/>
      <c r="I4676" s="123"/>
    </row>
    <row r="4677" spans="2:9" x14ac:dyDescent="0.25">
      <c r="B4677" s="123"/>
      <c r="F4677" s="79"/>
      <c r="I4677" s="123"/>
    </row>
    <row r="4678" spans="2:9" x14ac:dyDescent="0.25">
      <c r="B4678" s="123"/>
      <c r="F4678" s="79"/>
      <c r="I4678" s="123"/>
    </row>
    <row r="4679" spans="2:9" x14ac:dyDescent="0.25">
      <c r="B4679" s="123"/>
      <c r="F4679" s="79"/>
      <c r="I4679" s="123"/>
    </row>
    <row r="4680" spans="2:9" x14ac:dyDescent="0.25">
      <c r="B4680" s="123"/>
      <c r="F4680" s="79"/>
      <c r="I4680" s="123"/>
    </row>
    <row r="4681" spans="2:9" x14ac:dyDescent="0.25">
      <c r="B4681" s="123"/>
      <c r="F4681" s="79"/>
      <c r="I4681" s="123"/>
    </row>
    <row r="4682" spans="2:9" x14ac:dyDescent="0.25">
      <c r="B4682" s="123"/>
      <c r="F4682" s="79"/>
      <c r="I4682" s="123"/>
    </row>
    <row r="4683" spans="2:9" x14ac:dyDescent="0.25">
      <c r="B4683" s="123"/>
      <c r="F4683" s="79"/>
      <c r="I4683" s="123"/>
    </row>
    <row r="4684" spans="2:9" x14ac:dyDescent="0.25">
      <c r="B4684" s="123"/>
      <c r="F4684" s="79"/>
      <c r="I4684" s="123"/>
    </row>
    <row r="4685" spans="2:9" x14ac:dyDescent="0.25">
      <c r="B4685" s="123"/>
      <c r="F4685" s="79"/>
      <c r="I4685" s="123"/>
    </row>
    <row r="4686" spans="2:9" x14ac:dyDescent="0.25">
      <c r="B4686" s="123"/>
      <c r="F4686" s="79"/>
      <c r="I4686" s="123"/>
    </row>
    <row r="4687" spans="2:9" x14ac:dyDescent="0.25">
      <c r="B4687" s="123"/>
      <c r="F4687" s="79"/>
      <c r="I4687" s="123"/>
    </row>
    <row r="4688" spans="2:9" x14ac:dyDescent="0.25">
      <c r="B4688" s="123"/>
      <c r="F4688" s="79"/>
      <c r="I4688" s="123"/>
    </row>
    <row r="4689" spans="2:9" x14ac:dyDescent="0.25">
      <c r="B4689" s="123"/>
      <c r="F4689" s="79"/>
      <c r="I4689" s="123"/>
    </row>
    <row r="4690" spans="2:9" x14ac:dyDescent="0.25">
      <c r="B4690" s="123"/>
      <c r="F4690" s="79"/>
      <c r="I4690" s="123"/>
    </row>
    <row r="4691" spans="2:9" x14ac:dyDescent="0.25">
      <c r="B4691" s="123"/>
      <c r="F4691" s="79"/>
      <c r="I4691" s="123"/>
    </row>
    <row r="4692" spans="2:9" x14ac:dyDescent="0.25">
      <c r="B4692" s="123"/>
      <c r="F4692" s="79"/>
      <c r="I4692" s="123"/>
    </row>
    <row r="4693" spans="2:9" x14ac:dyDescent="0.25">
      <c r="B4693" s="123"/>
      <c r="F4693" s="79"/>
      <c r="I4693" s="123"/>
    </row>
    <row r="4694" spans="2:9" x14ac:dyDescent="0.25">
      <c r="B4694" s="123"/>
      <c r="F4694" s="79"/>
      <c r="I4694" s="123"/>
    </row>
    <row r="4695" spans="2:9" x14ac:dyDescent="0.25">
      <c r="B4695" s="123"/>
      <c r="F4695" s="79"/>
      <c r="I4695" s="123"/>
    </row>
    <row r="4696" spans="2:9" x14ac:dyDescent="0.25">
      <c r="B4696" s="123"/>
      <c r="F4696" s="79"/>
      <c r="I4696" s="123"/>
    </row>
    <row r="4697" spans="2:9" x14ac:dyDescent="0.25">
      <c r="B4697" s="123"/>
      <c r="F4697" s="79"/>
      <c r="I4697" s="123"/>
    </row>
    <row r="4698" spans="2:9" x14ac:dyDescent="0.25">
      <c r="B4698" s="123"/>
      <c r="F4698" s="79"/>
      <c r="I4698" s="123"/>
    </row>
    <row r="4699" spans="2:9" x14ac:dyDescent="0.25">
      <c r="B4699" s="123"/>
      <c r="F4699" s="79"/>
      <c r="I4699" s="123"/>
    </row>
    <row r="4700" spans="2:9" x14ac:dyDescent="0.25">
      <c r="B4700" s="123"/>
      <c r="F4700" s="79"/>
      <c r="I4700" s="123"/>
    </row>
    <row r="4701" spans="2:9" x14ac:dyDescent="0.25">
      <c r="B4701" s="123"/>
      <c r="F4701" s="79"/>
      <c r="I4701" s="123"/>
    </row>
    <row r="4702" spans="2:9" x14ac:dyDescent="0.25">
      <c r="B4702" s="123"/>
      <c r="F4702" s="79"/>
      <c r="I4702" s="123"/>
    </row>
    <row r="4703" spans="2:9" x14ac:dyDescent="0.25">
      <c r="B4703" s="123"/>
      <c r="F4703" s="79"/>
      <c r="I4703" s="123"/>
    </row>
    <row r="4704" spans="2:9" x14ac:dyDescent="0.25">
      <c r="B4704" s="123"/>
      <c r="F4704" s="79"/>
      <c r="I4704" s="123"/>
    </row>
    <row r="4705" spans="2:9" x14ac:dyDescent="0.25">
      <c r="B4705" s="123"/>
      <c r="F4705" s="79"/>
      <c r="I4705" s="123"/>
    </row>
    <row r="4706" spans="2:9" x14ac:dyDescent="0.25">
      <c r="B4706" s="123"/>
      <c r="F4706" s="79"/>
      <c r="I4706" s="123"/>
    </row>
    <row r="4707" spans="2:9" x14ac:dyDescent="0.25">
      <c r="B4707" s="123"/>
      <c r="F4707" s="79"/>
      <c r="I4707" s="123"/>
    </row>
    <row r="4708" spans="2:9" x14ac:dyDescent="0.25">
      <c r="B4708" s="123"/>
      <c r="F4708" s="79"/>
      <c r="I4708" s="123"/>
    </row>
    <row r="4709" spans="2:9" x14ac:dyDescent="0.25">
      <c r="B4709" s="123"/>
      <c r="F4709" s="79"/>
      <c r="I4709" s="123"/>
    </row>
    <row r="4710" spans="2:9" x14ac:dyDescent="0.25">
      <c r="B4710" s="123"/>
      <c r="F4710" s="79"/>
      <c r="I4710" s="123"/>
    </row>
    <row r="4711" spans="2:9" x14ac:dyDescent="0.25">
      <c r="B4711" s="123"/>
      <c r="F4711" s="79"/>
      <c r="I4711" s="123"/>
    </row>
    <row r="4712" spans="2:9" x14ac:dyDescent="0.25">
      <c r="B4712" s="123"/>
      <c r="F4712" s="79"/>
      <c r="I4712" s="123"/>
    </row>
    <row r="4713" spans="2:9" x14ac:dyDescent="0.25">
      <c r="B4713" s="123"/>
      <c r="F4713" s="79"/>
      <c r="I4713" s="123"/>
    </row>
    <row r="4714" spans="2:9" x14ac:dyDescent="0.25">
      <c r="B4714" s="123"/>
      <c r="F4714" s="79"/>
      <c r="I4714" s="123"/>
    </row>
    <row r="4715" spans="2:9" x14ac:dyDescent="0.25">
      <c r="B4715" s="123"/>
      <c r="F4715" s="79"/>
      <c r="I4715" s="123"/>
    </row>
    <row r="4716" spans="2:9" x14ac:dyDescent="0.25">
      <c r="B4716" s="123"/>
      <c r="F4716" s="79"/>
      <c r="I4716" s="123"/>
    </row>
    <row r="4717" spans="2:9" x14ac:dyDescent="0.25">
      <c r="B4717" s="123"/>
      <c r="F4717" s="79"/>
      <c r="I4717" s="123"/>
    </row>
    <row r="4718" spans="2:9" x14ac:dyDescent="0.25">
      <c r="B4718" s="123"/>
      <c r="F4718" s="79"/>
      <c r="I4718" s="123"/>
    </row>
    <row r="4719" spans="2:9" x14ac:dyDescent="0.25">
      <c r="B4719" s="123"/>
      <c r="F4719" s="79"/>
      <c r="I4719" s="123"/>
    </row>
    <row r="4720" spans="2:9" x14ac:dyDescent="0.25">
      <c r="B4720" s="123"/>
      <c r="F4720" s="79"/>
      <c r="I4720" s="123"/>
    </row>
    <row r="4721" spans="2:9" x14ac:dyDescent="0.25">
      <c r="B4721" s="123"/>
      <c r="F4721" s="79"/>
      <c r="I4721" s="123"/>
    </row>
    <row r="4722" spans="2:9" x14ac:dyDescent="0.25">
      <c r="B4722" s="123"/>
      <c r="F4722" s="79"/>
      <c r="I4722" s="123"/>
    </row>
    <row r="4723" spans="2:9" x14ac:dyDescent="0.25">
      <c r="B4723" s="123"/>
      <c r="F4723" s="79"/>
      <c r="I4723" s="123"/>
    </row>
    <row r="4724" spans="2:9" x14ac:dyDescent="0.25">
      <c r="B4724" s="123"/>
      <c r="F4724" s="79"/>
      <c r="I4724" s="123"/>
    </row>
    <row r="4725" spans="2:9" x14ac:dyDescent="0.25">
      <c r="B4725" s="123"/>
      <c r="F4725" s="79"/>
      <c r="I4725" s="123"/>
    </row>
    <row r="4726" spans="2:9" x14ac:dyDescent="0.25">
      <c r="B4726" s="123"/>
      <c r="F4726" s="79"/>
      <c r="I4726" s="123"/>
    </row>
    <row r="4727" spans="2:9" x14ac:dyDescent="0.25">
      <c r="B4727" s="123"/>
      <c r="F4727" s="79"/>
      <c r="I4727" s="123"/>
    </row>
    <row r="4728" spans="2:9" x14ac:dyDescent="0.25">
      <c r="B4728" s="123"/>
      <c r="F4728" s="79"/>
      <c r="I4728" s="123"/>
    </row>
    <row r="4729" spans="2:9" x14ac:dyDescent="0.25">
      <c r="B4729" s="123"/>
      <c r="F4729" s="79"/>
      <c r="I4729" s="123"/>
    </row>
    <row r="4730" spans="2:9" x14ac:dyDescent="0.25">
      <c r="B4730" s="123"/>
      <c r="F4730" s="79"/>
      <c r="I4730" s="123"/>
    </row>
    <row r="4731" spans="2:9" x14ac:dyDescent="0.25">
      <c r="B4731" s="123"/>
      <c r="F4731" s="79"/>
      <c r="I4731" s="123"/>
    </row>
    <row r="4732" spans="2:9" x14ac:dyDescent="0.25">
      <c r="B4732" s="123"/>
      <c r="F4732" s="79"/>
      <c r="I4732" s="123"/>
    </row>
    <row r="4733" spans="2:9" x14ac:dyDescent="0.25">
      <c r="B4733" s="123"/>
      <c r="F4733" s="79"/>
      <c r="I4733" s="123"/>
    </row>
    <row r="4734" spans="2:9" x14ac:dyDescent="0.25">
      <c r="B4734" s="123"/>
      <c r="F4734" s="79"/>
      <c r="I4734" s="123"/>
    </row>
    <row r="4735" spans="2:9" x14ac:dyDescent="0.25">
      <c r="B4735" s="123"/>
      <c r="F4735" s="79"/>
      <c r="I4735" s="123"/>
    </row>
    <row r="4736" spans="2:9" x14ac:dyDescent="0.25">
      <c r="B4736" s="123"/>
      <c r="F4736" s="79"/>
      <c r="I4736" s="123"/>
    </row>
    <row r="4737" spans="2:9" x14ac:dyDescent="0.25">
      <c r="B4737" s="123"/>
      <c r="F4737" s="79"/>
      <c r="I4737" s="123"/>
    </row>
    <row r="4738" spans="2:9" x14ac:dyDescent="0.25">
      <c r="B4738" s="123"/>
      <c r="F4738" s="79"/>
      <c r="I4738" s="123"/>
    </row>
    <row r="4739" spans="2:9" x14ac:dyDescent="0.25">
      <c r="B4739" s="123"/>
      <c r="F4739" s="79"/>
      <c r="I4739" s="123"/>
    </row>
    <row r="4740" spans="2:9" x14ac:dyDescent="0.25">
      <c r="B4740" s="123"/>
      <c r="F4740" s="79"/>
      <c r="I4740" s="123"/>
    </row>
    <row r="4741" spans="2:9" x14ac:dyDescent="0.25">
      <c r="B4741" s="123"/>
      <c r="F4741" s="79"/>
      <c r="I4741" s="123"/>
    </row>
    <row r="4742" spans="2:9" x14ac:dyDescent="0.25">
      <c r="B4742" s="123"/>
      <c r="F4742" s="79"/>
      <c r="I4742" s="123"/>
    </row>
    <row r="4743" spans="2:9" x14ac:dyDescent="0.25">
      <c r="B4743" s="123"/>
      <c r="F4743" s="79"/>
      <c r="I4743" s="123"/>
    </row>
    <row r="4744" spans="2:9" x14ac:dyDescent="0.25">
      <c r="B4744" s="123"/>
      <c r="F4744" s="79"/>
      <c r="I4744" s="123"/>
    </row>
    <row r="4745" spans="2:9" x14ac:dyDescent="0.25">
      <c r="B4745" s="123"/>
      <c r="F4745" s="79"/>
      <c r="I4745" s="123"/>
    </row>
    <row r="4746" spans="2:9" x14ac:dyDescent="0.25">
      <c r="B4746" s="123"/>
      <c r="F4746" s="79"/>
      <c r="I4746" s="123"/>
    </row>
    <row r="4747" spans="2:9" x14ac:dyDescent="0.25">
      <c r="B4747" s="123"/>
      <c r="F4747" s="79"/>
      <c r="I4747" s="123"/>
    </row>
    <row r="4748" spans="2:9" x14ac:dyDescent="0.25">
      <c r="B4748" s="123"/>
      <c r="F4748" s="79"/>
      <c r="I4748" s="123"/>
    </row>
    <row r="4749" spans="2:9" x14ac:dyDescent="0.25">
      <c r="B4749" s="123"/>
      <c r="F4749" s="79"/>
      <c r="I4749" s="123"/>
    </row>
    <row r="4750" spans="2:9" x14ac:dyDescent="0.25">
      <c r="B4750" s="123"/>
      <c r="F4750" s="79"/>
      <c r="I4750" s="123"/>
    </row>
    <row r="4751" spans="2:9" x14ac:dyDescent="0.25">
      <c r="B4751" s="123"/>
      <c r="F4751" s="79"/>
      <c r="I4751" s="123"/>
    </row>
    <row r="4752" spans="2:9" x14ac:dyDescent="0.25">
      <c r="B4752" s="123"/>
      <c r="F4752" s="79"/>
      <c r="I4752" s="123"/>
    </row>
    <row r="4753" spans="2:9" x14ac:dyDescent="0.25">
      <c r="B4753" s="123"/>
      <c r="F4753" s="79"/>
      <c r="I4753" s="123"/>
    </row>
    <row r="4754" spans="2:9" x14ac:dyDescent="0.25">
      <c r="B4754" s="123"/>
      <c r="F4754" s="79"/>
      <c r="I4754" s="123"/>
    </row>
    <row r="4755" spans="2:9" x14ac:dyDescent="0.25">
      <c r="B4755" s="123"/>
      <c r="F4755" s="79"/>
      <c r="I4755" s="123"/>
    </row>
    <row r="4756" spans="2:9" x14ac:dyDescent="0.25">
      <c r="B4756" s="123"/>
      <c r="F4756" s="79"/>
      <c r="I4756" s="123"/>
    </row>
    <row r="4757" spans="2:9" x14ac:dyDescent="0.25">
      <c r="B4757" s="123"/>
      <c r="F4757" s="79"/>
      <c r="I4757" s="123"/>
    </row>
    <row r="4758" spans="2:9" x14ac:dyDescent="0.25">
      <c r="B4758" s="123"/>
      <c r="F4758" s="79"/>
      <c r="I4758" s="123"/>
    </row>
    <row r="4759" spans="2:9" x14ac:dyDescent="0.25">
      <c r="B4759" s="123"/>
      <c r="F4759" s="79"/>
      <c r="I4759" s="123"/>
    </row>
    <row r="4760" spans="2:9" x14ac:dyDescent="0.25">
      <c r="B4760" s="123"/>
      <c r="F4760" s="79"/>
      <c r="I4760" s="123"/>
    </row>
    <row r="4761" spans="2:9" x14ac:dyDescent="0.25">
      <c r="B4761" s="123"/>
      <c r="F4761" s="79"/>
      <c r="I4761" s="123"/>
    </row>
    <row r="4762" spans="2:9" x14ac:dyDescent="0.25">
      <c r="B4762" s="123"/>
      <c r="F4762" s="79"/>
      <c r="I4762" s="123"/>
    </row>
    <row r="4763" spans="2:9" x14ac:dyDescent="0.25">
      <c r="B4763" s="123"/>
      <c r="F4763" s="79"/>
      <c r="I4763" s="123"/>
    </row>
    <row r="4764" spans="2:9" x14ac:dyDescent="0.25">
      <c r="B4764" s="123"/>
      <c r="F4764" s="79"/>
      <c r="I4764" s="123"/>
    </row>
    <row r="4765" spans="2:9" x14ac:dyDescent="0.25">
      <c r="B4765" s="123"/>
      <c r="F4765" s="79"/>
      <c r="I4765" s="123"/>
    </row>
    <row r="4766" spans="2:9" x14ac:dyDescent="0.25">
      <c r="B4766" s="123"/>
      <c r="F4766" s="79"/>
      <c r="I4766" s="123"/>
    </row>
    <row r="4767" spans="2:9" x14ac:dyDescent="0.25">
      <c r="B4767" s="123"/>
      <c r="F4767" s="79"/>
      <c r="I4767" s="123"/>
    </row>
    <row r="4768" spans="2:9" x14ac:dyDescent="0.25">
      <c r="B4768" s="123"/>
      <c r="F4768" s="79"/>
      <c r="I4768" s="123"/>
    </row>
    <row r="4769" spans="2:9" x14ac:dyDescent="0.25">
      <c r="B4769" s="123"/>
      <c r="F4769" s="79"/>
      <c r="I4769" s="123"/>
    </row>
    <row r="4770" spans="2:9" x14ac:dyDescent="0.25">
      <c r="B4770" s="123"/>
      <c r="F4770" s="79"/>
      <c r="I4770" s="123"/>
    </row>
    <row r="4771" spans="2:9" x14ac:dyDescent="0.25">
      <c r="B4771" s="123"/>
      <c r="F4771" s="79"/>
      <c r="I4771" s="123"/>
    </row>
    <row r="4772" spans="2:9" x14ac:dyDescent="0.25">
      <c r="B4772" s="123"/>
      <c r="F4772" s="79"/>
      <c r="I4772" s="123"/>
    </row>
    <row r="4773" spans="2:9" x14ac:dyDescent="0.25">
      <c r="B4773" s="123"/>
      <c r="F4773" s="79"/>
      <c r="I4773" s="123"/>
    </row>
    <row r="4774" spans="2:9" x14ac:dyDescent="0.25">
      <c r="B4774" s="123"/>
      <c r="F4774" s="79"/>
      <c r="I4774" s="123"/>
    </row>
    <row r="4775" spans="2:9" x14ac:dyDescent="0.25">
      <c r="B4775" s="123"/>
      <c r="F4775" s="79"/>
      <c r="I4775" s="123"/>
    </row>
    <row r="4776" spans="2:9" x14ac:dyDescent="0.25">
      <c r="B4776" s="123"/>
      <c r="F4776" s="79"/>
      <c r="I4776" s="123"/>
    </row>
    <row r="4777" spans="2:9" x14ac:dyDescent="0.25">
      <c r="B4777" s="123"/>
      <c r="F4777" s="79"/>
      <c r="I4777" s="123"/>
    </row>
    <row r="4778" spans="2:9" x14ac:dyDescent="0.25">
      <c r="B4778" s="123"/>
      <c r="F4778" s="79"/>
      <c r="I4778" s="123"/>
    </row>
    <row r="4779" spans="2:9" x14ac:dyDescent="0.25">
      <c r="B4779" s="123"/>
      <c r="F4779" s="79"/>
      <c r="I4779" s="123"/>
    </row>
    <row r="4780" spans="2:9" x14ac:dyDescent="0.25">
      <c r="B4780" s="123"/>
      <c r="F4780" s="79"/>
      <c r="I4780" s="123"/>
    </row>
    <row r="4781" spans="2:9" x14ac:dyDescent="0.25">
      <c r="B4781" s="123"/>
      <c r="F4781" s="79"/>
      <c r="I4781" s="123"/>
    </row>
    <row r="4782" spans="2:9" x14ac:dyDescent="0.25">
      <c r="B4782" s="123"/>
      <c r="F4782" s="79"/>
      <c r="I4782" s="123"/>
    </row>
    <row r="4783" spans="2:9" x14ac:dyDescent="0.25">
      <c r="B4783" s="123"/>
      <c r="F4783" s="79"/>
      <c r="I4783" s="123"/>
    </row>
    <row r="4784" spans="2:9" x14ac:dyDescent="0.25">
      <c r="B4784" s="123"/>
      <c r="F4784" s="79"/>
      <c r="I4784" s="123"/>
    </row>
    <row r="4785" spans="2:9" x14ac:dyDescent="0.25">
      <c r="B4785" s="123"/>
      <c r="F4785" s="79"/>
      <c r="I4785" s="123"/>
    </row>
    <row r="4786" spans="2:9" x14ac:dyDescent="0.25">
      <c r="B4786" s="123"/>
      <c r="F4786" s="79"/>
      <c r="I4786" s="123"/>
    </row>
    <row r="4787" spans="2:9" x14ac:dyDescent="0.25">
      <c r="B4787" s="123"/>
      <c r="F4787" s="79"/>
      <c r="I4787" s="123"/>
    </row>
    <row r="4788" spans="2:9" x14ac:dyDescent="0.25">
      <c r="B4788" s="123"/>
      <c r="F4788" s="79"/>
      <c r="I4788" s="123"/>
    </row>
    <row r="4789" spans="2:9" x14ac:dyDescent="0.25">
      <c r="B4789" s="123"/>
      <c r="F4789" s="79"/>
      <c r="I4789" s="123"/>
    </row>
    <row r="4790" spans="2:9" x14ac:dyDescent="0.25">
      <c r="B4790" s="123"/>
      <c r="F4790" s="79"/>
      <c r="I4790" s="123"/>
    </row>
    <row r="4791" spans="2:9" x14ac:dyDescent="0.25">
      <c r="B4791" s="123"/>
      <c r="F4791" s="79"/>
      <c r="I4791" s="123"/>
    </row>
    <row r="4792" spans="2:9" x14ac:dyDescent="0.25">
      <c r="B4792" s="123"/>
      <c r="F4792" s="79"/>
      <c r="I4792" s="123"/>
    </row>
    <row r="4793" spans="2:9" x14ac:dyDescent="0.25">
      <c r="B4793" s="123"/>
      <c r="F4793" s="79"/>
      <c r="I4793" s="123"/>
    </row>
    <row r="4794" spans="2:9" x14ac:dyDescent="0.25">
      <c r="B4794" s="123"/>
      <c r="F4794" s="79"/>
      <c r="I4794" s="123"/>
    </row>
    <row r="4795" spans="2:9" x14ac:dyDescent="0.25">
      <c r="B4795" s="123"/>
      <c r="F4795" s="79"/>
      <c r="I4795" s="123"/>
    </row>
    <row r="4796" spans="2:9" x14ac:dyDescent="0.25">
      <c r="B4796" s="123"/>
      <c r="F4796" s="79"/>
      <c r="I4796" s="123"/>
    </row>
    <row r="4797" spans="2:9" x14ac:dyDescent="0.25">
      <c r="B4797" s="123"/>
      <c r="F4797" s="79"/>
      <c r="I4797" s="123"/>
    </row>
    <row r="4798" spans="2:9" x14ac:dyDescent="0.25">
      <c r="B4798" s="123"/>
      <c r="F4798" s="79"/>
      <c r="I4798" s="123"/>
    </row>
    <row r="4799" spans="2:9" x14ac:dyDescent="0.25">
      <c r="B4799" s="123"/>
      <c r="F4799" s="79"/>
      <c r="I4799" s="123"/>
    </row>
    <row r="4800" spans="2:9" x14ac:dyDescent="0.25">
      <c r="B4800" s="123"/>
      <c r="F4800" s="79"/>
      <c r="I4800" s="123"/>
    </row>
    <row r="4801" spans="2:9" x14ac:dyDescent="0.25">
      <c r="B4801" s="123"/>
      <c r="F4801" s="79"/>
      <c r="I4801" s="123"/>
    </row>
    <row r="4802" spans="2:9" x14ac:dyDescent="0.25">
      <c r="B4802" s="123"/>
      <c r="F4802" s="79"/>
      <c r="I4802" s="123"/>
    </row>
    <row r="4803" spans="2:9" x14ac:dyDescent="0.25">
      <c r="B4803" s="123"/>
      <c r="F4803" s="79"/>
      <c r="I4803" s="123"/>
    </row>
    <row r="4804" spans="2:9" x14ac:dyDescent="0.25">
      <c r="B4804" s="123"/>
      <c r="F4804" s="79"/>
      <c r="I4804" s="123"/>
    </row>
    <row r="4805" spans="2:9" x14ac:dyDescent="0.25">
      <c r="B4805" s="123"/>
      <c r="F4805" s="79"/>
      <c r="I4805" s="123"/>
    </row>
    <row r="4806" spans="2:9" x14ac:dyDescent="0.25">
      <c r="B4806" s="123"/>
      <c r="F4806" s="79"/>
      <c r="I4806" s="123"/>
    </row>
    <row r="4807" spans="2:9" x14ac:dyDescent="0.25">
      <c r="B4807" s="123"/>
      <c r="F4807" s="79"/>
      <c r="I4807" s="123"/>
    </row>
    <row r="4808" spans="2:9" x14ac:dyDescent="0.25">
      <c r="B4808" s="123"/>
      <c r="F4808" s="79"/>
      <c r="I4808" s="123"/>
    </row>
    <row r="4809" spans="2:9" x14ac:dyDescent="0.25">
      <c r="B4809" s="123"/>
      <c r="F4809" s="79"/>
      <c r="I4809" s="123"/>
    </row>
    <row r="4810" spans="2:9" x14ac:dyDescent="0.25">
      <c r="B4810" s="123"/>
      <c r="F4810" s="79"/>
      <c r="I4810" s="123"/>
    </row>
    <row r="4811" spans="2:9" x14ac:dyDescent="0.25">
      <c r="B4811" s="123"/>
      <c r="F4811" s="79"/>
      <c r="I4811" s="123"/>
    </row>
    <row r="4812" spans="2:9" x14ac:dyDescent="0.25">
      <c r="B4812" s="123"/>
      <c r="F4812" s="79"/>
      <c r="I4812" s="123"/>
    </row>
    <row r="4813" spans="2:9" x14ac:dyDescent="0.25">
      <c r="B4813" s="123"/>
      <c r="F4813" s="79"/>
      <c r="I4813" s="123"/>
    </row>
    <row r="4814" spans="2:9" x14ac:dyDescent="0.25">
      <c r="B4814" s="123"/>
      <c r="F4814" s="79"/>
      <c r="I4814" s="123"/>
    </row>
    <row r="4815" spans="2:9" x14ac:dyDescent="0.25">
      <c r="B4815" s="123"/>
      <c r="F4815" s="79"/>
      <c r="I4815" s="123"/>
    </row>
    <row r="4816" spans="2:9" x14ac:dyDescent="0.25">
      <c r="B4816" s="123"/>
      <c r="F4816" s="79"/>
      <c r="I4816" s="123"/>
    </row>
    <row r="4817" spans="2:9" x14ac:dyDescent="0.25">
      <c r="B4817" s="123"/>
      <c r="F4817" s="79"/>
      <c r="I4817" s="123"/>
    </row>
    <row r="4818" spans="2:9" x14ac:dyDescent="0.25">
      <c r="B4818" s="123"/>
      <c r="F4818" s="79"/>
      <c r="I4818" s="123"/>
    </row>
    <row r="4819" spans="2:9" x14ac:dyDescent="0.25">
      <c r="B4819" s="123"/>
      <c r="F4819" s="79"/>
      <c r="I4819" s="123"/>
    </row>
    <row r="4820" spans="2:9" x14ac:dyDescent="0.25">
      <c r="B4820" s="123"/>
      <c r="F4820" s="79"/>
      <c r="I4820" s="123"/>
    </row>
    <row r="4821" spans="2:9" x14ac:dyDescent="0.25">
      <c r="B4821" s="123"/>
      <c r="F4821" s="79"/>
      <c r="I4821" s="123"/>
    </row>
    <row r="4822" spans="2:9" x14ac:dyDescent="0.25">
      <c r="B4822" s="123"/>
      <c r="F4822" s="79"/>
      <c r="I4822" s="123"/>
    </row>
    <row r="4823" spans="2:9" x14ac:dyDescent="0.25">
      <c r="B4823" s="123"/>
      <c r="F4823" s="79"/>
      <c r="I4823" s="123"/>
    </row>
    <row r="4824" spans="2:9" x14ac:dyDescent="0.25">
      <c r="B4824" s="123"/>
      <c r="F4824" s="79"/>
      <c r="I4824" s="123"/>
    </row>
    <row r="4825" spans="2:9" x14ac:dyDescent="0.25">
      <c r="B4825" s="123"/>
      <c r="F4825" s="79"/>
      <c r="I4825" s="123"/>
    </row>
    <row r="4826" spans="2:9" x14ac:dyDescent="0.25">
      <c r="B4826" s="123"/>
      <c r="F4826" s="79"/>
      <c r="I4826" s="123"/>
    </row>
    <row r="4827" spans="2:9" x14ac:dyDescent="0.25">
      <c r="B4827" s="123"/>
      <c r="F4827" s="79"/>
      <c r="I4827" s="123"/>
    </row>
    <row r="4828" spans="2:9" x14ac:dyDescent="0.25">
      <c r="B4828" s="123"/>
      <c r="F4828" s="79"/>
      <c r="I4828" s="123"/>
    </row>
    <row r="4829" spans="2:9" x14ac:dyDescent="0.25">
      <c r="B4829" s="123"/>
      <c r="F4829" s="79"/>
      <c r="I4829" s="123"/>
    </row>
    <row r="4830" spans="2:9" x14ac:dyDescent="0.25">
      <c r="B4830" s="123"/>
      <c r="F4830" s="79"/>
      <c r="I4830" s="123"/>
    </row>
    <row r="4831" spans="2:9" x14ac:dyDescent="0.25">
      <c r="B4831" s="123"/>
      <c r="F4831" s="79"/>
      <c r="I4831" s="123"/>
    </row>
    <row r="4832" spans="2:9" x14ac:dyDescent="0.25">
      <c r="B4832" s="123"/>
      <c r="F4832" s="79"/>
      <c r="I4832" s="123"/>
    </row>
    <row r="4833" spans="2:9" x14ac:dyDescent="0.25">
      <c r="B4833" s="123"/>
      <c r="F4833" s="79"/>
      <c r="I4833" s="123"/>
    </row>
    <row r="4834" spans="2:9" x14ac:dyDescent="0.25">
      <c r="B4834" s="123"/>
      <c r="F4834" s="79"/>
      <c r="I4834" s="123"/>
    </row>
    <row r="4835" spans="2:9" x14ac:dyDescent="0.25">
      <c r="B4835" s="123"/>
      <c r="F4835" s="79"/>
      <c r="I4835" s="123"/>
    </row>
    <row r="4836" spans="2:9" x14ac:dyDescent="0.25">
      <c r="B4836" s="123"/>
      <c r="F4836" s="79"/>
      <c r="I4836" s="123"/>
    </row>
    <row r="4837" spans="2:9" x14ac:dyDescent="0.25">
      <c r="B4837" s="123"/>
      <c r="F4837" s="79"/>
      <c r="I4837" s="123"/>
    </row>
    <row r="4838" spans="2:9" x14ac:dyDescent="0.25">
      <c r="B4838" s="123"/>
      <c r="F4838" s="79"/>
      <c r="I4838" s="123"/>
    </row>
    <row r="4839" spans="2:9" x14ac:dyDescent="0.25">
      <c r="B4839" s="123"/>
      <c r="F4839" s="79"/>
      <c r="I4839" s="123"/>
    </row>
    <row r="4840" spans="2:9" x14ac:dyDescent="0.25">
      <c r="B4840" s="123"/>
      <c r="F4840" s="79"/>
      <c r="I4840" s="123"/>
    </row>
    <row r="4841" spans="2:9" x14ac:dyDescent="0.25">
      <c r="B4841" s="123"/>
      <c r="F4841" s="79"/>
      <c r="I4841" s="123"/>
    </row>
    <row r="4842" spans="2:9" x14ac:dyDescent="0.25">
      <c r="B4842" s="123"/>
      <c r="F4842" s="79"/>
      <c r="I4842" s="123"/>
    </row>
    <row r="4843" spans="2:9" x14ac:dyDescent="0.25">
      <c r="B4843" s="123"/>
      <c r="F4843" s="79"/>
      <c r="I4843" s="123"/>
    </row>
    <row r="4844" spans="2:9" x14ac:dyDescent="0.25">
      <c r="B4844" s="123"/>
      <c r="F4844" s="79"/>
      <c r="I4844" s="123"/>
    </row>
    <row r="4845" spans="2:9" x14ac:dyDescent="0.25">
      <c r="B4845" s="123"/>
      <c r="F4845" s="79"/>
      <c r="I4845" s="123"/>
    </row>
    <row r="4846" spans="2:9" x14ac:dyDescent="0.25">
      <c r="B4846" s="123"/>
      <c r="F4846" s="79"/>
      <c r="I4846" s="123"/>
    </row>
    <row r="4847" spans="2:9" x14ac:dyDescent="0.25">
      <c r="B4847" s="123"/>
      <c r="F4847" s="79"/>
      <c r="I4847" s="123"/>
    </row>
    <row r="4848" spans="2:9" x14ac:dyDescent="0.25">
      <c r="B4848" s="123"/>
      <c r="F4848" s="79"/>
      <c r="I4848" s="123"/>
    </row>
    <row r="4849" spans="2:9" x14ac:dyDescent="0.25">
      <c r="B4849" s="123"/>
      <c r="F4849" s="79"/>
      <c r="I4849" s="123"/>
    </row>
    <row r="4850" spans="2:9" x14ac:dyDescent="0.25">
      <c r="B4850" s="123"/>
      <c r="F4850" s="79"/>
      <c r="I4850" s="123"/>
    </row>
    <row r="4851" spans="2:9" x14ac:dyDescent="0.25">
      <c r="B4851" s="123"/>
      <c r="F4851" s="79"/>
      <c r="I4851" s="123"/>
    </row>
    <row r="4852" spans="2:9" x14ac:dyDescent="0.25">
      <c r="B4852" s="123"/>
      <c r="F4852" s="79"/>
      <c r="I4852" s="123"/>
    </row>
    <row r="4853" spans="2:9" x14ac:dyDescent="0.25">
      <c r="B4853" s="123"/>
      <c r="F4853" s="79"/>
      <c r="I4853" s="123"/>
    </row>
    <row r="4854" spans="2:9" x14ac:dyDescent="0.25">
      <c r="B4854" s="123"/>
      <c r="F4854" s="79"/>
      <c r="I4854" s="123"/>
    </row>
    <row r="4855" spans="2:9" x14ac:dyDescent="0.25">
      <c r="B4855" s="123"/>
      <c r="F4855" s="79"/>
      <c r="I4855" s="123"/>
    </row>
    <row r="4856" spans="2:9" x14ac:dyDescent="0.25">
      <c r="B4856" s="123"/>
      <c r="F4856" s="79"/>
      <c r="I4856" s="123"/>
    </row>
    <row r="4857" spans="2:9" x14ac:dyDescent="0.25">
      <c r="B4857" s="123"/>
      <c r="F4857" s="79"/>
      <c r="I4857" s="123"/>
    </row>
    <row r="4858" spans="2:9" x14ac:dyDescent="0.25">
      <c r="B4858" s="123"/>
      <c r="F4858" s="79"/>
      <c r="I4858" s="123"/>
    </row>
    <row r="4859" spans="2:9" x14ac:dyDescent="0.25">
      <c r="B4859" s="123"/>
      <c r="F4859" s="79"/>
      <c r="I4859" s="123"/>
    </row>
    <row r="4860" spans="2:9" x14ac:dyDescent="0.25">
      <c r="B4860" s="123"/>
      <c r="F4860" s="79"/>
      <c r="I4860" s="123"/>
    </row>
    <row r="4861" spans="2:9" x14ac:dyDescent="0.25">
      <c r="B4861" s="123"/>
      <c r="F4861" s="79"/>
      <c r="I4861" s="123"/>
    </row>
    <row r="4862" spans="2:9" x14ac:dyDescent="0.25">
      <c r="B4862" s="123"/>
      <c r="F4862" s="79"/>
      <c r="I4862" s="123"/>
    </row>
    <row r="4863" spans="2:9" x14ac:dyDescent="0.25">
      <c r="B4863" s="123"/>
      <c r="F4863" s="79"/>
      <c r="I4863" s="123"/>
    </row>
    <row r="4864" spans="2:9" x14ac:dyDescent="0.25">
      <c r="B4864" s="123"/>
      <c r="F4864" s="79"/>
      <c r="I4864" s="123"/>
    </row>
    <row r="4865" spans="2:9" x14ac:dyDescent="0.25">
      <c r="B4865" s="123"/>
      <c r="F4865" s="79"/>
      <c r="I4865" s="123"/>
    </row>
    <row r="4866" spans="2:9" x14ac:dyDescent="0.25">
      <c r="B4866" s="123"/>
      <c r="F4866" s="79"/>
      <c r="I4866" s="123"/>
    </row>
    <row r="4867" spans="2:9" x14ac:dyDescent="0.25">
      <c r="B4867" s="123"/>
      <c r="F4867" s="79"/>
      <c r="I4867" s="123"/>
    </row>
    <row r="4868" spans="2:9" x14ac:dyDescent="0.25">
      <c r="B4868" s="123"/>
      <c r="F4868" s="79"/>
      <c r="I4868" s="123"/>
    </row>
    <row r="4869" spans="2:9" x14ac:dyDescent="0.25">
      <c r="B4869" s="123"/>
      <c r="I4869" s="123"/>
    </row>
    <row r="4870" spans="2:9" x14ac:dyDescent="0.25">
      <c r="B4870" s="123"/>
      <c r="I4870" s="123"/>
    </row>
    <row r="4871" spans="2:9" x14ac:dyDescent="0.25">
      <c r="B4871" s="123"/>
      <c r="I4871" s="123"/>
    </row>
    <row r="4872" spans="2:9" x14ac:dyDescent="0.25">
      <c r="B4872" s="123"/>
      <c r="I4872" s="123"/>
    </row>
    <row r="4873" spans="2:9" x14ac:dyDescent="0.25">
      <c r="B4873" s="123"/>
      <c r="I4873" s="123"/>
    </row>
    <row r="4874" spans="2:9" x14ac:dyDescent="0.25">
      <c r="B4874" s="123"/>
      <c r="I4874" s="123"/>
    </row>
    <row r="4875" spans="2:9" x14ac:dyDescent="0.25">
      <c r="B4875" s="123"/>
      <c r="I4875" s="123"/>
    </row>
    <row r="4876" spans="2:9" x14ac:dyDescent="0.25">
      <c r="B4876" s="123"/>
      <c r="I4876" s="123"/>
    </row>
    <row r="4877" spans="2:9" x14ac:dyDescent="0.25">
      <c r="B4877" s="123"/>
      <c r="I4877" s="123"/>
    </row>
    <row r="4878" spans="2:9" x14ac:dyDescent="0.25">
      <c r="B4878" s="123"/>
      <c r="I4878" s="123"/>
    </row>
    <row r="4879" spans="2:9" x14ac:dyDescent="0.25">
      <c r="B4879" s="123"/>
      <c r="I4879" s="123"/>
    </row>
    <row r="4880" spans="2:9" x14ac:dyDescent="0.25">
      <c r="B4880" s="123"/>
      <c r="I4880" s="123"/>
    </row>
    <row r="4881" spans="2:9" x14ac:dyDescent="0.25">
      <c r="B4881" s="123"/>
      <c r="I4881" s="123"/>
    </row>
    <row r="4882" spans="2:9" x14ac:dyDescent="0.25">
      <c r="B4882" s="123"/>
      <c r="I4882" s="123"/>
    </row>
    <row r="4883" spans="2:9" x14ac:dyDescent="0.25">
      <c r="B4883" s="123"/>
      <c r="I4883" s="123"/>
    </row>
    <row r="4884" spans="2:9" x14ac:dyDescent="0.25">
      <c r="B4884" s="123"/>
      <c r="I4884" s="123"/>
    </row>
    <row r="4885" spans="2:9" x14ac:dyDescent="0.25">
      <c r="B4885" s="123"/>
      <c r="I4885" s="123"/>
    </row>
    <row r="4886" spans="2:9" x14ac:dyDescent="0.25">
      <c r="B4886" s="123"/>
      <c r="I4886" s="123"/>
    </row>
    <row r="4887" spans="2:9" x14ac:dyDescent="0.25">
      <c r="B4887" s="123"/>
      <c r="I4887" s="123"/>
    </row>
    <row r="4888" spans="2:9" x14ac:dyDescent="0.25">
      <c r="B4888" s="123"/>
      <c r="I4888" s="123"/>
    </row>
    <row r="4889" spans="2:9" x14ac:dyDescent="0.25">
      <c r="B4889" s="123"/>
      <c r="I4889" s="123"/>
    </row>
    <row r="4890" spans="2:9" x14ac:dyDescent="0.25">
      <c r="B4890" s="123"/>
      <c r="I4890" s="123"/>
    </row>
    <row r="4891" spans="2:9" x14ac:dyDescent="0.25">
      <c r="B4891" s="123"/>
      <c r="I4891" s="123"/>
    </row>
    <row r="4892" spans="2:9" x14ac:dyDescent="0.25">
      <c r="B4892" s="123"/>
      <c r="I4892" s="123"/>
    </row>
    <row r="4893" spans="2:9" x14ac:dyDescent="0.25">
      <c r="B4893" s="123"/>
      <c r="I4893" s="123"/>
    </row>
    <row r="4894" spans="2:9" x14ac:dyDescent="0.25">
      <c r="B4894" s="123"/>
      <c r="I4894" s="123"/>
    </row>
    <row r="4895" spans="2:9" x14ac:dyDescent="0.25">
      <c r="B4895" s="123"/>
      <c r="I4895" s="123"/>
    </row>
    <row r="4896" spans="2:9" x14ac:dyDescent="0.25">
      <c r="B4896" s="123"/>
      <c r="I4896" s="123"/>
    </row>
    <row r="4897" spans="2:9" x14ac:dyDescent="0.25">
      <c r="B4897" s="123"/>
      <c r="I4897" s="123"/>
    </row>
    <row r="4898" spans="2:9" x14ac:dyDescent="0.25">
      <c r="B4898" s="123"/>
      <c r="I4898" s="123"/>
    </row>
    <row r="4899" spans="2:9" x14ac:dyDescent="0.25">
      <c r="B4899" s="123"/>
      <c r="I4899" s="123"/>
    </row>
    <row r="4900" spans="2:9" x14ac:dyDescent="0.25">
      <c r="B4900" s="123"/>
      <c r="I4900" s="123"/>
    </row>
    <row r="4901" spans="2:9" x14ac:dyDescent="0.25">
      <c r="B4901" s="123"/>
      <c r="I4901" s="123"/>
    </row>
    <row r="4902" spans="2:9" x14ac:dyDescent="0.25">
      <c r="B4902" s="123"/>
      <c r="I4902" s="123"/>
    </row>
    <row r="4903" spans="2:9" x14ac:dyDescent="0.25">
      <c r="B4903" s="123"/>
      <c r="I4903" s="123"/>
    </row>
    <row r="4904" spans="2:9" x14ac:dyDescent="0.25">
      <c r="B4904" s="123"/>
      <c r="I4904" s="123"/>
    </row>
    <row r="4905" spans="2:9" x14ac:dyDescent="0.25">
      <c r="B4905" s="123"/>
      <c r="I4905" s="123"/>
    </row>
    <row r="4906" spans="2:9" x14ac:dyDescent="0.25">
      <c r="B4906" s="123"/>
      <c r="I4906" s="123"/>
    </row>
    <row r="4907" spans="2:9" x14ac:dyDescent="0.25">
      <c r="B4907" s="123"/>
      <c r="I4907" s="123"/>
    </row>
    <row r="4908" spans="2:9" x14ac:dyDescent="0.25">
      <c r="B4908" s="123"/>
      <c r="I4908" s="123"/>
    </row>
    <row r="4909" spans="2:9" x14ac:dyDescent="0.25">
      <c r="B4909" s="123"/>
      <c r="I4909" s="123"/>
    </row>
    <row r="4910" spans="2:9" x14ac:dyDescent="0.25">
      <c r="B4910" s="123"/>
      <c r="I4910" s="123"/>
    </row>
    <row r="4911" spans="2:9" x14ac:dyDescent="0.25">
      <c r="B4911" s="123"/>
      <c r="I4911" s="123"/>
    </row>
    <row r="4912" spans="2:9" x14ac:dyDescent="0.25">
      <c r="B4912" s="123"/>
      <c r="I4912" s="123"/>
    </row>
    <row r="4913" spans="2:9" x14ac:dyDescent="0.25">
      <c r="B4913" s="123"/>
      <c r="I4913" s="123"/>
    </row>
    <row r="4914" spans="2:9" x14ac:dyDescent="0.25">
      <c r="B4914" s="123"/>
      <c r="I4914" s="123"/>
    </row>
    <row r="4915" spans="2:9" x14ac:dyDescent="0.25">
      <c r="B4915" s="123"/>
      <c r="I4915" s="123"/>
    </row>
    <row r="4916" spans="2:9" x14ac:dyDescent="0.25">
      <c r="B4916" s="123"/>
      <c r="I4916" s="123"/>
    </row>
    <row r="4917" spans="2:9" x14ac:dyDescent="0.25">
      <c r="B4917" s="123"/>
      <c r="I4917" s="123"/>
    </row>
    <row r="4918" spans="2:9" x14ac:dyDescent="0.25">
      <c r="B4918" s="123"/>
      <c r="I4918" s="123"/>
    </row>
    <row r="4919" spans="2:9" x14ac:dyDescent="0.25">
      <c r="B4919" s="123"/>
      <c r="I4919" s="123"/>
    </row>
    <row r="4920" spans="2:9" x14ac:dyDescent="0.25">
      <c r="B4920" s="123"/>
      <c r="I4920" s="123"/>
    </row>
    <row r="4921" spans="2:9" x14ac:dyDescent="0.25">
      <c r="B4921" s="123"/>
      <c r="I4921" s="123"/>
    </row>
    <row r="4922" spans="2:9" x14ac:dyDescent="0.25">
      <c r="B4922" s="123"/>
      <c r="I4922" s="123"/>
    </row>
    <row r="4923" spans="2:9" x14ac:dyDescent="0.25">
      <c r="B4923" s="123"/>
      <c r="I4923" s="123"/>
    </row>
    <row r="4924" spans="2:9" x14ac:dyDescent="0.25">
      <c r="B4924" s="123"/>
      <c r="I4924" s="123"/>
    </row>
    <row r="4925" spans="2:9" x14ac:dyDescent="0.25">
      <c r="B4925" s="123"/>
      <c r="I4925" s="123"/>
    </row>
    <row r="4926" spans="2:9" x14ac:dyDescent="0.25">
      <c r="B4926" s="123"/>
      <c r="I4926" s="123"/>
    </row>
    <row r="4927" spans="2:9" x14ac:dyDescent="0.25">
      <c r="B4927" s="123"/>
      <c r="I4927" s="123"/>
    </row>
    <row r="4928" spans="2:9" x14ac:dyDescent="0.25">
      <c r="B4928" s="123"/>
      <c r="I4928" s="123"/>
    </row>
    <row r="4929" spans="2:9" x14ac:dyDescent="0.25">
      <c r="B4929" s="123"/>
      <c r="I4929" s="123"/>
    </row>
    <row r="4930" spans="2:9" x14ac:dyDescent="0.25">
      <c r="B4930" s="123"/>
      <c r="I4930" s="123"/>
    </row>
    <row r="4931" spans="2:9" x14ac:dyDescent="0.25">
      <c r="B4931" s="123"/>
      <c r="I4931" s="123"/>
    </row>
    <row r="4932" spans="2:9" x14ac:dyDescent="0.25">
      <c r="B4932" s="123"/>
      <c r="I4932" s="123"/>
    </row>
    <row r="4933" spans="2:9" x14ac:dyDescent="0.25">
      <c r="B4933" s="123"/>
      <c r="I4933" s="123"/>
    </row>
    <row r="4934" spans="2:9" x14ac:dyDescent="0.25">
      <c r="B4934" s="123"/>
      <c r="I4934" s="123"/>
    </row>
    <row r="4935" spans="2:9" x14ac:dyDescent="0.25">
      <c r="B4935" s="123"/>
      <c r="I4935" s="123"/>
    </row>
    <row r="4936" spans="2:9" x14ac:dyDescent="0.25">
      <c r="B4936" s="123"/>
      <c r="I4936" s="123"/>
    </row>
    <row r="4937" spans="2:9" x14ac:dyDescent="0.25">
      <c r="B4937" s="123"/>
      <c r="I4937" s="123"/>
    </row>
    <row r="4938" spans="2:9" x14ac:dyDescent="0.25">
      <c r="B4938" s="123"/>
      <c r="I4938" s="123"/>
    </row>
    <row r="4939" spans="2:9" x14ac:dyDescent="0.25">
      <c r="B4939" s="123"/>
      <c r="I4939" s="123"/>
    </row>
    <row r="4940" spans="2:9" x14ac:dyDescent="0.25">
      <c r="B4940" s="123"/>
      <c r="I4940" s="123"/>
    </row>
    <row r="4941" spans="2:9" x14ac:dyDescent="0.25">
      <c r="B4941" s="123"/>
      <c r="I4941" s="123"/>
    </row>
    <row r="4942" spans="2:9" x14ac:dyDescent="0.25">
      <c r="B4942" s="123"/>
      <c r="I4942" s="123"/>
    </row>
    <row r="4943" spans="2:9" x14ac:dyDescent="0.25">
      <c r="B4943" s="123"/>
      <c r="I4943" s="123"/>
    </row>
    <row r="4944" spans="2:9" x14ac:dyDescent="0.25">
      <c r="B4944" s="123"/>
      <c r="I4944" s="123"/>
    </row>
    <row r="4945" spans="2:9" x14ac:dyDescent="0.25">
      <c r="B4945" s="123"/>
      <c r="I4945" s="123"/>
    </row>
    <row r="4946" spans="2:9" x14ac:dyDescent="0.25">
      <c r="B4946" s="123"/>
      <c r="I4946" s="123"/>
    </row>
    <row r="4947" spans="2:9" x14ac:dyDescent="0.25">
      <c r="B4947" s="123"/>
      <c r="I4947" s="123"/>
    </row>
    <row r="4948" spans="2:9" x14ac:dyDescent="0.25">
      <c r="B4948" s="123"/>
      <c r="I4948" s="123"/>
    </row>
    <row r="4949" spans="2:9" x14ac:dyDescent="0.25">
      <c r="B4949" s="123"/>
      <c r="I4949" s="123"/>
    </row>
    <row r="4950" spans="2:9" x14ac:dyDescent="0.25">
      <c r="B4950" s="123"/>
      <c r="I4950" s="123"/>
    </row>
    <row r="4951" spans="2:9" x14ac:dyDescent="0.25">
      <c r="B4951" s="123"/>
      <c r="I4951" s="123"/>
    </row>
    <row r="4952" spans="2:9" x14ac:dyDescent="0.25">
      <c r="B4952" s="123"/>
      <c r="I4952" s="123"/>
    </row>
    <row r="4953" spans="2:9" x14ac:dyDescent="0.25">
      <c r="B4953" s="123"/>
      <c r="I4953" s="123"/>
    </row>
    <row r="4954" spans="2:9" x14ac:dyDescent="0.25">
      <c r="B4954" s="123"/>
      <c r="I4954" s="123"/>
    </row>
    <row r="4955" spans="2:9" x14ac:dyDescent="0.25">
      <c r="B4955" s="123"/>
      <c r="I4955" s="123"/>
    </row>
    <row r="4956" spans="2:9" x14ac:dyDescent="0.25">
      <c r="B4956" s="123"/>
      <c r="I4956" s="123"/>
    </row>
    <row r="4957" spans="2:9" x14ac:dyDescent="0.25">
      <c r="B4957" s="123"/>
      <c r="I4957" s="123"/>
    </row>
    <row r="4958" spans="2:9" x14ac:dyDescent="0.25">
      <c r="B4958" s="123"/>
      <c r="I4958" s="123"/>
    </row>
    <row r="4959" spans="2:9" x14ac:dyDescent="0.25">
      <c r="B4959" s="123"/>
      <c r="I4959" s="123"/>
    </row>
    <row r="4960" spans="2:9" x14ac:dyDescent="0.25">
      <c r="B4960" s="123"/>
      <c r="I4960" s="123"/>
    </row>
    <row r="4961" spans="2:9" x14ac:dyDescent="0.25">
      <c r="B4961" s="123"/>
      <c r="I4961" s="123"/>
    </row>
    <row r="4962" spans="2:9" x14ac:dyDescent="0.25">
      <c r="B4962" s="123"/>
      <c r="I4962" s="123"/>
    </row>
    <row r="4963" spans="2:9" x14ac:dyDescent="0.25">
      <c r="B4963" s="123"/>
      <c r="I4963" s="123"/>
    </row>
    <row r="4964" spans="2:9" x14ac:dyDescent="0.25">
      <c r="B4964" s="123"/>
      <c r="I4964" s="123"/>
    </row>
    <row r="4965" spans="2:9" x14ac:dyDescent="0.25">
      <c r="B4965" s="123"/>
      <c r="I4965" s="123"/>
    </row>
    <row r="4966" spans="2:9" x14ac:dyDescent="0.25">
      <c r="B4966" s="123"/>
      <c r="I4966" s="123"/>
    </row>
    <row r="4967" spans="2:9" x14ac:dyDescent="0.25">
      <c r="B4967" s="123"/>
      <c r="I4967" s="123"/>
    </row>
    <row r="4968" spans="2:9" x14ac:dyDescent="0.25">
      <c r="B4968" s="123"/>
      <c r="I4968" s="123"/>
    </row>
    <row r="4969" spans="2:9" x14ac:dyDescent="0.25">
      <c r="B4969" s="123"/>
      <c r="I4969" s="123"/>
    </row>
    <row r="4970" spans="2:9" x14ac:dyDescent="0.25">
      <c r="B4970" s="123"/>
      <c r="I4970" s="123"/>
    </row>
    <row r="4971" spans="2:9" x14ac:dyDescent="0.25">
      <c r="B4971" s="123"/>
      <c r="I4971" s="123"/>
    </row>
    <row r="4972" spans="2:9" x14ac:dyDescent="0.25">
      <c r="B4972" s="123"/>
      <c r="I4972" s="123"/>
    </row>
    <row r="4973" spans="2:9" x14ac:dyDescent="0.25">
      <c r="B4973" s="123"/>
      <c r="I4973" s="123"/>
    </row>
    <row r="4974" spans="2:9" x14ac:dyDescent="0.25">
      <c r="B4974" s="123"/>
      <c r="I4974" s="123"/>
    </row>
    <row r="4975" spans="2:9" x14ac:dyDescent="0.25">
      <c r="B4975" s="123"/>
      <c r="I4975" s="123"/>
    </row>
    <row r="4976" spans="2:9" x14ac:dyDescent="0.25">
      <c r="B4976" s="123"/>
      <c r="I4976" s="123"/>
    </row>
    <row r="4977" spans="2:9" x14ac:dyDescent="0.25">
      <c r="B4977" s="123"/>
      <c r="I4977" s="123"/>
    </row>
    <row r="4978" spans="2:9" x14ac:dyDescent="0.25">
      <c r="B4978" s="123"/>
      <c r="I4978" s="123"/>
    </row>
    <row r="4979" spans="2:9" x14ac:dyDescent="0.25">
      <c r="B4979" s="123"/>
      <c r="I4979" s="123"/>
    </row>
    <row r="4980" spans="2:9" x14ac:dyDescent="0.25">
      <c r="B4980" s="123"/>
      <c r="I4980" s="123"/>
    </row>
    <row r="4981" spans="2:9" x14ac:dyDescent="0.25">
      <c r="B4981" s="123"/>
      <c r="I4981" s="123"/>
    </row>
    <row r="4982" spans="2:9" x14ac:dyDescent="0.25">
      <c r="B4982" s="123"/>
      <c r="I4982" s="123"/>
    </row>
    <row r="4983" spans="2:9" x14ac:dyDescent="0.25">
      <c r="B4983" s="123"/>
      <c r="I4983" s="123"/>
    </row>
    <row r="4984" spans="2:9" x14ac:dyDescent="0.25">
      <c r="B4984" s="123"/>
      <c r="I4984" s="123"/>
    </row>
    <row r="4985" spans="2:9" x14ac:dyDescent="0.25">
      <c r="B4985" s="123"/>
      <c r="I4985" s="123"/>
    </row>
    <row r="4986" spans="2:9" x14ac:dyDescent="0.25">
      <c r="B4986" s="123"/>
      <c r="I4986" s="123"/>
    </row>
    <row r="4987" spans="2:9" x14ac:dyDescent="0.25">
      <c r="B4987" s="123"/>
      <c r="I4987" s="123"/>
    </row>
    <row r="4988" spans="2:9" x14ac:dyDescent="0.25">
      <c r="B4988" s="123"/>
      <c r="I4988" s="123"/>
    </row>
    <row r="4989" spans="2:9" x14ac:dyDescent="0.25">
      <c r="B4989" s="123"/>
      <c r="I4989" s="123"/>
    </row>
    <row r="4990" spans="2:9" x14ac:dyDescent="0.25">
      <c r="B4990" s="123"/>
      <c r="I4990" s="123"/>
    </row>
    <row r="4991" spans="2:9" x14ac:dyDescent="0.25">
      <c r="B4991" s="123"/>
      <c r="I4991" s="123"/>
    </row>
    <row r="4992" spans="2:9" x14ac:dyDescent="0.25">
      <c r="B4992" s="123"/>
      <c r="I4992" s="123"/>
    </row>
    <row r="4993" spans="2:9" x14ac:dyDescent="0.25">
      <c r="B4993" s="123"/>
      <c r="I4993" s="123"/>
    </row>
    <row r="4994" spans="2:9" x14ac:dyDescent="0.25">
      <c r="B4994" s="123"/>
      <c r="I4994" s="123"/>
    </row>
    <row r="4995" spans="2:9" x14ac:dyDescent="0.25">
      <c r="B4995" s="123"/>
      <c r="I4995" s="123"/>
    </row>
    <row r="4996" spans="2:9" x14ac:dyDescent="0.25">
      <c r="B4996" s="123"/>
      <c r="I4996" s="123"/>
    </row>
    <row r="4997" spans="2:9" x14ac:dyDescent="0.25">
      <c r="B4997" s="123"/>
      <c r="I4997" s="123"/>
    </row>
    <row r="4998" spans="2:9" x14ac:dyDescent="0.25">
      <c r="B4998" s="123"/>
      <c r="I4998" s="123"/>
    </row>
    <row r="4999" spans="2:9" x14ac:dyDescent="0.25">
      <c r="B4999" s="123"/>
      <c r="I4999" s="123"/>
    </row>
    <row r="5000" spans="2:9" x14ac:dyDescent="0.25">
      <c r="B5000" s="123"/>
      <c r="I5000" s="123"/>
    </row>
    <row r="5001" spans="2:9" x14ac:dyDescent="0.25">
      <c r="B5001" s="123"/>
      <c r="I5001" s="123"/>
    </row>
    <row r="5002" spans="2:9" x14ac:dyDescent="0.25">
      <c r="B5002" s="123"/>
      <c r="I5002" s="123"/>
    </row>
    <row r="5003" spans="2:9" x14ac:dyDescent="0.25">
      <c r="B5003" s="123"/>
      <c r="I5003" s="123"/>
    </row>
  </sheetData>
  <autoFilter ref="A1:I5003" xr:uid="{D2AED364-795D-4A23-B970-9E20CD00C073}">
    <sortState xmlns:xlrd2="http://schemas.microsoft.com/office/spreadsheetml/2017/richdata2" ref="A2:I5003">
      <sortCondition ref="A1:A5003"/>
    </sortState>
  </autoFilter>
  <conditionalFormatting sqref="G6:H14">
    <cfRule type="cellIs" dxfId="232" priority="80" operator="equal">
      <formula>"TBD"</formula>
    </cfRule>
    <cfRule type="cellIs" dxfId="231" priority="81" operator="equal">
      <formula>"Install"</formula>
    </cfRule>
    <cfRule type="cellIs" dxfId="230" priority="82" operator="equal">
      <formula>"PM"</formula>
    </cfRule>
  </conditionalFormatting>
  <conditionalFormatting sqref="C3084:C3088">
    <cfRule type="duplicateValues" dxfId="229" priority="78"/>
    <cfRule type="duplicateValues" dxfId="228" priority="79"/>
  </conditionalFormatting>
  <conditionalFormatting sqref="G3084:G3133">
    <cfRule type="cellIs" dxfId="227" priority="75" operator="equal">
      <formula>"TBD"</formula>
    </cfRule>
    <cfRule type="cellIs" dxfId="226" priority="76" operator="equal">
      <formula>"Install"</formula>
    </cfRule>
    <cfRule type="cellIs" dxfId="225" priority="77" operator="equal">
      <formula>"PM"</formula>
    </cfRule>
  </conditionalFormatting>
  <conditionalFormatting sqref="H3084:H3113">
    <cfRule type="cellIs" dxfId="224" priority="73" operator="equal">
      <formula>"Paid"</formula>
    </cfRule>
    <cfRule type="cellIs" dxfId="223" priority="74" operator="equal">
      <formula>"Missing Invoice"</formula>
    </cfRule>
  </conditionalFormatting>
  <conditionalFormatting sqref="H3084:H3113">
    <cfRule type="cellIs" dxfId="222" priority="72" operator="equal">
      <formula>"processed"</formula>
    </cfRule>
  </conditionalFormatting>
  <conditionalFormatting sqref="H3084:H3113">
    <cfRule type="cellIs" dxfId="221" priority="71" operator="equal">
      <formula>"DNP"</formula>
    </cfRule>
  </conditionalFormatting>
  <conditionalFormatting sqref="H3084:H3113">
    <cfRule type="cellIs" dxfId="220" priority="70" operator="equal">
      <formula>"Invoice Requires Further Research"</formula>
    </cfRule>
  </conditionalFormatting>
  <conditionalFormatting sqref="H3084:H3113">
    <cfRule type="cellIs" dxfId="219" priority="68" operator="equal">
      <formula>"Paid"</formula>
    </cfRule>
    <cfRule type="cellIs" dxfId="218" priority="69" operator="equal">
      <formula>"Missing Invoice"</formula>
    </cfRule>
  </conditionalFormatting>
  <conditionalFormatting sqref="H3084:H3113">
    <cfRule type="cellIs" dxfId="217" priority="67" operator="equal">
      <formula>"processed"</formula>
    </cfRule>
  </conditionalFormatting>
  <conditionalFormatting sqref="G410">
    <cfRule type="cellIs" dxfId="216" priority="57" operator="equal">
      <formula>"TBD"</formula>
    </cfRule>
    <cfRule type="cellIs" dxfId="215" priority="58" operator="equal">
      <formula>"Install"</formula>
    </cfRule>
    <cfRule type="cellIs" dxfId="214" priority="59" operator="equal">
      <formula>"PM"</formula>
    </cfRule>
  </conditionalFormatting>
  <conditionalFormatting sqref="H410">
    <cfRule type="cellIs" dxfId="213" priority="56" operator="equal">
      <formula>"processed"</formula>
    </cfRule>
  </conditionalFormatting>
  <conditionalFormatting sqref="G213">
    <cfRule type="cellIs" dxfId="212" priority="21" operator="equal">
      <formula>"TBD"</formula>
    </cfRule>
    <cfRule type="cellIs" dxfId="211" priority="22" operator="equal">
      <formula>"Install"</formula>
    </cfRule>
    <cfRule type="cellIs" dxfId="210" priority="23" operator="equal">
      <formula>"PM"</formula>
    </cfRule>
  </conditionalFormatting>
  <conditionalFormatting sqref="H176">
    <cfRule type="cellIs" dxfId="209" priority="51" operator="equal">
      <formula>"Paid"</formula>
    </cfRule>
    <cfRule type="cellIs" dxfId="208" priority="52" operator="equal">
      <formula>"Missing Invoice"</formula>
    </cfRule>
  </conditionalFormatting>
  <conditionalFormatting sqref="H176">
    <cfRule type="cellIs" dxfId="207" priority="50" operator="equal">
      <formula>"processed"</formula>
    </cfRule>
  </conditionalFormatting>
  <conditionalFormatting sqref="H176">
    <cfRule type="cellIs" dxfId="206" priority="49" operator="equal">
      <formula>"DNP"</formula>
    </cfRule>
  </conditionalFormatting>
  <conditionalFormatting sqref="H176">
    <cfRule type="cellIs" dxfId="205" priority="48" operator="equal">
      <formula>"Invoice Requires Further Research"</formula>
    </cfRule>
  </conditionalFormatting>
  <conditionalFormatting sqref="G176">
    <cfRule type="cellIs" dxfId="204" priority="45" operator="equal">
      <formula>"TBD"</formula>
    </cfRule>
    <cfRule type="cellIs" dxfId="203" priority="46" operator="equal">
      <formula>"Install"</formula>
    </cfRule>
    <cfRule type="cellIs" dxfId="202" priority="47" operator="equal">
      <formula>"PM"</formula>
    </cfRule>
  </conditionalFormatting>
  <conditionalFormatting sqref="G211">
    <cfRule type="cellIs" dxfId="201" priority="42" operator="equal">
      <formula>"TBD"</formula>
    </cfRule>
    <cfRule type="cellIs" dxfId="200" priority="43" operator="equal">
      <formula>"Install"</formula>
    </cfRule>
    <cfRule type="cellIs" dxfId="199" priority="44" operator="equal">
      <formula>"PM"</formula>
    </cfRule>
  </conditionalFormatting>
  <conditionalFormatting sqref="H211">
    <cfRule type="cellIs" dxfId="198" priority="40" operator="equal">
      <formula>"Paid"</formula>
    </cfRule>
    <cfRule type="cellIs" dxfId="197" priority="41" operator="equal">
      <formula>"Missing Invoice"</formula>
    </cfRule>
  </conditionalFormatting>
  <conditionalFormatting sqref="H211">
    <cfRule type="cellIs" dxfId="196" priority="39" operator="equal">
      <formula>"processed"</formula>
    </cfRule>
  </conditionalFormatting>
  <conditionalFormatting sqref="H211">
    <cfRule type="cellIs" dxfId="195" priority="38" operator="equal">
      <formula>"DNP"</formula>
    </cfRule>
  </conditionalFormatting>
  <conditionalFormatting sqref="H211">
    <cfRule type="cellIs" dxfId="194" priority="37" operator="equal">
      <formula>"Invoice Requires Further Research"</formula>
    </cfRule>
  </conditionalFormatting>
  <conditionalFormatting sqref="H212">
    <cfRule type="cellIs" dxfId="193" priority="35" operator="equal">
      <formula>"Paid"</formula>
    </cfRule>
    <cfRule type="cellIs" dxfId="192" priority="36" operator="equal">
      <formula>"Missing Invoice"</formula>
    </cfRule>
  </conditionalFormatting>
  <conditionalFormatting sqref="H212">
    <cfRule type="cellIs" dxfId="191" priority="34" operator="equal">
      <formula>"processed"</formula>
    </cfRule>
  </conditionalFormatting>
  <conditionalFormatting sqref="H212">
    <cfRule type="cellIs" dxfId="190" priority="33" operator="equal">
      <formula>"DNP"</formula>
    </cfRule>
  </conditionalFormatting>
  <conditionalFormatting sqref="H212">
    <cfRule type="cellIs" dxfId="189" priority="32" operator="equal">
      <formula>"Invoice Requires Further Research"</formula>
    </cfRule>
  </conditionalFormatting>
  <conditionalFormatting sqref="G212">
    <cfRule type="cellIs" dxfId="188" priority="29" operator="equal">
      <formula>"TBD"</formula>
    </cfRule>
    <cfRule type="cellIs" dxfId="187" priority="30" operator="equal">
      <formula>"Install"</formula>
    </cfRule>
    <cfRule type="cellIs" dxfId="186" priority="31" operator="equal">
      <formula>"PM"</formula>
    </cfRule>
  </conditionalFormatting>
  <conditionalFormatting sqref="H213">
    <cfRule type="cellIs" dxfId="185" priority="27" operator="equal">
      <formula>"Paid"</formula>
    </cfRule>
    <cfRule type="cellIs" dxfId="184" priority="28" operator="equal">
      <formula>"Missing Invoice"</formula>
    </cfRule>
  </conditionalFormatting>
  <conditionalFormatting sqref="H213">
    <cfRule type="cellIs" dxfId="183" priority="26" operator="equal">
      <formula>"processed"</formula>
    </cfRule>
  </conditionalFormatting>
  <conditionalFormatting sqref="H213">
    <cfRule type="cellIs" dxfId="182" priority="25" operator="equal">
      <formula>"DNP"</formula>
    </cfRule>
  </conditionalFormatting>
  <conditionalFormatting sqref="H213">
    <cfRule type="cellIs" dxfId="181" priority="24" operator="equal">
      <formula>"Invoice Requires Further Research"</formula>
    </cfRule>
  </conditionalFormatting>
  <conditionalFormatting sqref="G353:G375">
    <cfRule type="cellIs" dxfId="180" priority="18" operator="equal">
      <formula>"TBD"</formula>
    </cfRule>
    <cfRule type="cellIs" dxfId="179" priority="19" operator="equal">
      <formula>"Install"</formula>
    </cfRule>
    <cfRule type="cellIs" dxfId="178" priority="20" operator="equal">
      <formula>"PM"</formula>
    </cfRule>
  </conditionalFormatting>
  <conditionalFormatting sqref="G1640:G2221">
    <cfRule type="cellIs" dxfId="177" priority="15" operator="equal">
      <formula>"TBD"</formula>
    </cfRule>
    <cfRule type="cellIs" dxfId="176" priority="16" operator="equal">
      <formula>"Install"</formula>
    </cfRule>
    <cfRule type="cellIs" dxfId="175" priority="17" operator="equal">
      <formula>"PM"</formula>
    </cfRule>
  </conditionalFormatting>
  <conditionalFormatting sqref="H1640:H2221">
    <cfRule type="cellIs" dxfId="174" priority="13" operator="equal">
      <formula>"Paid"</formula>
    </cfRule>
  </conditionalFormatting>
  <conditionalFormatting sqref="H1640:H2221">
    <cfRule type="cellIs" dxfId="173" priority="12" operator="equal">
      <formula>"processed"</formula>
    </cfRule>
  </conditionalFormatting>
  <conditionalFormatting sqref="H1640:H2221">
    <cfRule type="cellIs" dxfId="172" priority="14" operator="equal">
      <formula>"Missing Invoice"</formula>
    </cfRule>
  </conditionalFormatting>
  <conditionalFormatting sqref="H3139:H3196">
    <cfRule type="cellIs" dxfId="171" priority="10" operator="equal">
      <formula>"Paid"</formula>
    </cfRule>
    <cfRule type="cellIs" dxfId="170" priority="11" operator="equal">
      <formula>"Missing Invoice"</formula>
    </cfRule>
  </conditionalFormatting>
  <conditionalFormatting sqref="H3139:H3196">
    <cfRule type="cellIs" dxfId="169" priority="9" operator="equal">
      <formula>"processed"</formula>
    </cfRule>
  </conditionalFormatting>
  <conditionalFormatting sqref="H3139:H3196">
    <cfRule type="cellIs" dxfId="168" priority="8" operator="equal">
      <formula>"DNP"</formula>
    </cfRule>
  </conditionalFormatting>
  <conditionalFormatting sqref="H3139:H3196">
    <cfRule type="cellIs" dxfId="167" priority="7" operator="equal">
      <formula>"Invoice Requires Further Research"</formula>
    </cfRule>
  </conditionalFormatting>
  <conditionalFormatting sqref="G3139:G3156">
    <cfRule type="cellIs" dxfId="166" priority="4" operator="equal">
      <formula>"TBD"</formula>
    </cfRule>
    <cfRule type="cellIs" dxfId="165" priority="5" operator="equal">
      <formula>"Install"</formula>
    </cfRule>
    <cfRule type="cellIs" dxfId="164" priority="6" operator="equal">
      <formula>"PM"</formula>
    </cfRule>
  </conditionalFormatting>
  <conditionalFormatting sqref="G3157:G3196">
    <cfRule type="cellIs" dxfId="163" priority="1" operator="equal">
      <formula>"TBD"</formula>
    </cfRule>
    <cfRule type="cellIs" dxfId="162" priority="2" operator="equal">
      <formula>"Install"</formula>
    </cfRule>
    <cfRule type="cellIs" dxfId="161" priority="3" operator="equal">
      <formula>"PM"</formula>
    </cfRule>
  </conditionalFormatting>
  <dataValidations count="3">
    <dataValidation type="list" allowBlank="1" showInputMessage="1" showErrorMessage="1" error="Select Correct Verification" sqref="G6:H14" xr:uid="{BA5E2A9B-5F6A-4B8D-84C6-58411C9E26D4}">
      <formula1>"Install, PM, Service Call, Tech Support, TBD"</formula1>
    </dataValidation>
    <dataValidation type="list" allowBlank="1" showInputMessage="1" showErrorMessage="1" sqref="G3084:G3133 G410 G176 G211:G213 G353:G375 G1640:G2221" xr:uid="{43B53F3E-AABF-4BDC-896E-3C5C02129CF6}">
      <formula1>"Install, PM, Service Call, Tech Support, TBD"</formula1>
    </dataValidation>
    <dataValidation allowBlank="1" showInputMessage="1" showErrorMessage="1" sqref="G3134:G3196" xr:uid="{1E89958C-139A-4ECF-A9BA-8C9EC2633208}"/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68753-A151-405B-AC63-E2B7C3F8E52F}">
  <sheetPr codeName="Sheet4"/>
  <dimension ref="A1:IM148"/>
  <sheetViews>
    <sheetView topLeftCell="A130" workbookViewId="0">
      <selection activeCell="A4" sqref="A4"/>
    </sheetView>
  </sheetViews>
  <sheetFormatPr defaultRowHeight="15" x14ac:dyDescent="0.25"/>
  <cols>
    <col min="1" max="1" width="56.7109375" bestFit="1" customWidth="1"/>
    <col min="2" max="2" width="13.42578125" bestFit="1" customWidth="1"/>
    <col min="3" max="3" width="28.7109375" bestFit="1" customWidth="1"/>
    <col min="4" max="4" width="11.28515625" bestFit="1" customWidth="1"/>
    <col min="5" max="120" width="11" bestFit="1" customWidth="1"/>
    <col min="121" max="121" width="7.28515625" bestFit="1" customWidth="1"/>
    <col min="122" max="122" width="11.28515625" bestFit="1" customWidth="1"/>
    <col min="123" max="244" width="11" bestFit="1" customWidth="1"/>
    <col min="245" max="245" width="7.28515625" bestFit="1" customWidth="1"/>
    <col min="246" max="246" width="33.85546875" bestFit="1" customWidth="1"/>
    <col min="247" max="247" width="16.28515625" bestFit="1" customWidth="1"/>
  </cols>
  <sheetData>
    <row r="1" spans="1:247" x14ac:dyDescent="0.25">
      <c r="A1" s="6" t="s">
        <v>252</v>
      </c>
      <c r="B1" s="49" t="s">
        <v>259</v>
      </c>
      <c r="C1" s="49" t="s">
        <v>254</v>
      </c>
      <c r="D1" s="49" t="s">
        <v>255</v>
      </c>
      <c r="F1" t="s">
        <v>410</v>
      </c>
    </row>
    <row r="2" spans="1:247" x14ac:dyDescent="0.25">
      <c r="A2" s="7" t="s">
        <v>7</v>
      </c>
      <c r="B2" s="13">
        <v>9620000002</v>
      </c>
      <c r="C2" s="13">
        <v>4</v>
      </c>
      <c r="D2" s="13">
        <v>1977.8400000000001</v>
      </c>
    </row>
    <row r="3" spans="1:247" x14ac:dyDescent="0.25">
      <c r="A3" s="7" t="s">
        <v>16</v>
      </c>
      <c r="B3" s="13">
        <v>9620000062</v>
      </c>
      <c r="C3" s="13">
        <v>11</v>
      </c>
      <c r="D3" s="13">
        <v>3321.88</v>
      </c>
    </row>
    <row r="4" spans="1:247" s="8" customFormat="1" x14ac:dyDescent="0.25">
      <c r="A4" s="7" t="s">
        <v>71</v>
      </c>
      <c r="B4" s="13">
        <v>9620000009</v>
      </c>
      <c r="C4" s="13">
        <v>3</v>
      </c>
      <c r="D4" s="13">
        <v>2499.7399999999998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x14ac:dyDescent="0.25">
      <c r="A5" s="7" t="s">
        <v>8</v>
      </c>
      <c r="B5" s="13">
        <v>9620000014</v>
      </c>
      <c r="C5" s="13">
        <v>9</v>
      </c>
      <c r="D5" s="13">
        <v>4375.7899999999991</v>
      </c>
    </row>
    <row r="6" spans="1:247" x14ac:dyDescent="0.25">
      <c r="A6" s="7" t="s">
        <v>10</v>
      </c>
      <c r="B6" s="13">
        <v>9620000026</v>
      </c>
      <c r="C6" s="13">
        <v>6</v>
      </c>
      <c r="D6" s="13">
        <v>1505.21</v>
      </c>
    </row>
    <row r="7" spans="1:247" x14ac:dyDescent="0.25">
      <c r="A7" s="7" t="s">
        <v>11</v>
      </c>
      <c r="B7" s="13">
        <v>9620000027</v>
      </c>
      <c r="C7" s="13">
        <v>15</v>
      </c>
      <c r="D7" s="13">
        <v>5630.85</v>
      </c>
    </row>
    <row r="8" spans="1:247" x14ac:dyDescent="0.25">
      <c r="A8" s="7" t="s">
        <v>12</v>
      </c>
      <c r="B8" s="13">
        <v>9620000035</v>
      </c>
      <c r="C8" s="13">
        <v>13</v>
      </c>
      <c r="D8" s="13">
        <v>3837.6400000000003</v>
      </c>
    </row>
    <row r="9" spans="1:247" x14ac:dyDescent="0.25">
      <c r="A9" s="7" t="s">
        <v>13</v>
      </c>
      <c r="B9" s="13">
        <v>9620000738</v>
      </c>
      <c r="C9" s="13">
        <v>8</v>
      </c>
      <c r="D9" s="13">
        <v>1409.5</v>
      </c>
    </row>
    <row r="10" spans="1:247" x14ac:dyDescent="0.25">
      <c r="A10" s="7" t="s">
        <v>14</v>
      </c>
      <c r="B10" s="13">
        <v>9620000063</v>
      </c>
      <c r="C10" s="13">
        <v>57</v>
      </c>
      <c r="D10" s="13">
        <v>17411.61</v>
      </c>
    </row>
    <row r="11" spans="1:247" x14ac:dyDescent="0.25">
      <c r="A11" s="7" t="s">
        <v>17</v>
      </c>
      <c r="B11" s="13">
        <v>9620000075</v>
      </c>
      <c r="C11" s="13">
        <v>51</v>
      </c>
      <c r="D11" s="13">
        <v>17372.419999999987</v>
      </c>
    </row>
    <row r="12" spans="1:247" x14ac:dyDescent="0.25">
      <c r="A12" s="7" t="s">
        <v>19</v>
      </c>
      <c r="B12" s="13">
        <v>9620000078</v>
      </c>
      <c r="C12" s="13">
        <v>12</v>
      </c>
      <c r="D12" s="13">
        <v>4824.58</v>
      </c>
    </row>
    <row r="13" spans="1:247" x14ac:dyDescent="0.25">
      <c r="A13" s="7" t="s">
        <v>20</v>
      </c>
      <c r="B13" s="13">
        <v>9620000080</v>
      </c>
      <c r="C13" s="13">
        <v>3</v>
      </c>
      <c r="D13" s="13">
        <v>1605.54</v>
      </c>
    </row>
    <row r="14" spans="1:247" x14ac:dyDescent="0.25">
      <c r="A14" s="7" t="s">
        <v>21</v>
      </c>
      <c r="B14" s="13">
        <v>9620000083</v>
      </c>
      <c r="C14" s="13">
        <v>61</v>
      </c>
      <c r="D14" s="13">
        <v>33538.769999999997</v>
      </c>
    </row>
    <row r="15" spans="1:247" x14ac:dyDescent="0.25">
      <c r="A15" s="7" t="s">
        <v>22</v>
      </c>
      <c r="B15" s="13">
        <v>9620000090</v>
      </c>
      <c r="C15" s="13">
        <v>1</v>
      </c>
      <c r="D15" s="13">
        <v>384.13</v>
      </c>
    </row>
    <row r="16" spans="1:247" x14ac:dyDescent="0.25">
      <c r="A16" s="7" t="s">
        <v>23</v>
      </c>
      <c r="B16" s="13">
        <v>9620000093</v>
      </c>
      <c r="C16" s="13">
        <v>15</v>
      </c>
      <c r="D16" s="13">
        <v>8493.9500000000007</v>
      </c>
    </row>
    <row r="17" spans="1:4" x14ac:dyDescent="0.25">
      <c r="A17" s="7" t="s">
        <v>24</v>
      </c>
      <c r="B17" s="13">
        <v>9620050081</v>
      </c>
      <c r="C17" s="13">
        <v>25</v>
      </c>
      <c r="D17" s="13">
        <v>9988.489999999998</v>
      </c>
    </row>
    <row r="18" spans="1:4" x14ac:dyDescent="0.25">
      <c r="A18" s="7" t="s">
        <v>25</v>
      </c>
      <c r="B18" s="13">
        <v>9620000100</v>
      </c>
      <c r="C18" s="13">
        <v>16</v>
      </c>
      <c r="D18" s="13">
        <v>8895.42</v>
      </c>
    </row>
    <row r="19" spans="1:4" x14ac:dyDescent="0.25">
      <c r="A19" s="7" t="s">
        <v>26</v>
      </c>
      <c r="B19" s="13">
        <v>9620000125</v>
      </c>
      <c r="C19" s="13">
        <v>93</v>
      </c>
      <c r="D19" s="13">
        <v>42755.39</v>
      </c>
    </row>
    <row r="20" spans="1:4" x14ac:dyDescent="0.25">
      <c r="A20" s="7" t="s">
        <v>27</v>
      </c>
      <c r="B20" s="13">
        <v>9620000127</v>
      </c>
      <c r="C20" s="13">
        <v>9</v>
      </c>
      <c r="D20" s="13">
        <v>4985.9699999999993</v>
      </c>
    </row>
    <row r="21" spans="1:4" x14ac:dyDescent="0.25">
      <c r="A21" s="7" t="s">
        <v>28</v>
      </c>
      <c r="B21" s="13">
        <v>9620000131</v>
      </c>
      <c r="C21" s="13">
        <v>14</v>
      </c>
      <c r="D21" s="13">
        <v>6561.01</v>
      </c>
    </row>
    <row r="22" spans="1:4" x14ac:dyDescent="0.25">
      <c r="A22" s="7" t="s">
        <v>29</v>
      </c>
      <c r="B22" s="13">
        <v>9620000667</v>
      </c>
      <c r="C22" s="13">
        <v>91</v>
      </c>
      <c r="D22" s="13">
        <v>32041.49</v>
      </c>
    </row>
    <row r="23" spans="1:4" x14ac:dyDescent="0.25">
      <c r="A23" s="7" t="s">
        <v>30</v>
      </c>
      <c r="B23" s="13">
        <v>9620000145</v>
      </c>
      <c r="C23" s="13">
        <v>6</v>
      </c>
      <c r="D23" s="13">
        <v>4142.0300000000007</v>
      </c>
    </row>
    <row r="24" spans="1:4" x14ac:dyDescent="0.25">
      <c r="A24" s="7" t="s">
        <v>31</v>
      </c>
      <c r="B24" s="13">
        <v>9620000745</v>
      </c>
      <c r="C24" s="13">
        <v>2</v>
      </c>
      <c r="D24" s="13">
        <v>598.82999999999993</v>
      </c>
    </row>
    <row r="25" spans="1:4" x14ac:dyDescent="0.25">
      <c r="A25" s="7" t="s">
        <v>32</v>
      </c>
      <c r="B25" s="13">
        <v>9620000167</v>
      </c>
      <c r="C25" s="13">
        <v>2</v>
      </c>
      <c r="D25" s="13">
        <v>1012</v>
      </c>
    </row>
    <row r="26" spans="1:4" x14ac:dyDescent="0.25">
      <c r="A26" s="7" t="s">
        <v>33</v>
      </c>
      <c r="B26" s="13">
        <v>9620000168</v>
      </c>
      <c r="C26" s="13">
        <v>1</v>
      </c>
      <c r="D26" s="13">
        <v>979.07</v>
      </c>
    </row>
    <row r="27" spans="1:4" x14ac:dyDescent="0.25">
      <c r="A27" s="7" t="s">
        <v>34</v>
      </c>
      <c r="B27" s="13">
        <v>9620005091</v>
      </c>
      <c r="C27" s="13">
        <v>3</v>
      </c>
      <c r="D27" s="13">
        <v>762.38</v>
      </c>
    </row>
    <row r="28" spans="1:4" x14ac:dyDescent="0.25">
      <c r="A28" s="7" t="s">
        <v>256</v>
      </c>
      <c r="B28" s="13">
        <v>9620000174</v>
      </c>
      <c r="C28" s="13">
        <v>1</v>
      </c>
      <c r="D28" s="13">
        <v>151.1</v>
      </c>
    </row>
    <row r="29" spans="1:4" x14ac:dyDescent="0.25">
      <c r="A29" s="7" t="s">
        <v>36</v>
      </c>
      <c r="B29" s="13">
        <v>9620000182</v>
      </c>
      <c r="C29" s="13">
        <v>6</v>
      </c>
      <c r="D29" s="13">
        <v>1639.72</v>
      </c>
    </row>
    <row r="30" spans="1:4" x14ac:dyDescent="0.25">
      <c r="A30" s="7" t="s">
        <v>37</v>
      </c>
      <c r="B30" s="13">
        <v>9620000183</v>
      </c>
      <c r="C30" s="13">
        <v>58</v>
      </c>
      <c r="D30" s="13">
        <v>23030.189999999995</v>
      </c>
    </row>
    <row r="31" spans="1:4" x14ac:dyDescent="0.25">
      <c r="A31" s="7" t="s">
        <v>39</v>
      </c>
      <c r="B31" s="13">
        <v>9620000184</v>
      </c>
      <c r="C31" s="13">
        <v>3</v>
      </c>
      <c r="D31" s="13">
        <v>1629.3799999999999</v>
      </c>
    </row>
    <row r="32" spans="1:4" x14ac:dyDescent="0.25">
      <c r="A32" s="7" t="s">
        <v>40</v>
      </c>
      <c r="B32" s="13">
        <v>9620000186</v>
      </c>
      <c r="C32" s="13">
        <v>3</v>
      </c>
      <c r="D32" s="13">
        <v>676.7</v>
      </c>
    </row>
    <row r="33" spans="1:4" x14ac:dyDescent="0.25">
      <c r="A33" s="7" t="s">
        <v>41</v>
      </c>
      <c r="B33" s="13">
        <v>9620000208</v>
      </c>
      <c r="C33" s="13">
        <v>15</v>
      </c>
      <c r="D33" s="13">
        <v>9201.08</v>
      </c>
    </row>
    <row r="34" spans="1:4" x14ac:dyDescent="0.25">
      <c r="A34" s="7" t="s">
        <v>42</v>
      </c>
      <c r="B34" s="13">
        <v>9620035814</v>
      </c>
      <c r="C34" s="13">
        <v>4</v>
      </c>
      <c r="D34" s="13">
        <v>1655.94</v>
      </c>
    </row>
    <row r="35" spans="1:4" x14ac:dyDescent="0.25">
      <c r="A35" s="7" t="s">
        <v>45</v>
      </c>
      <c r="B35" s="13">
        <v>9620000258</v>
      </c>
      <c r="C35" s="13">
        <v>52</v>
      </c>
      <c r="D35" s="13">
        <v>15215.679999999997</v>
      </c>
    </row>
    <row r="36" spans="1:4" x14ac:dyDescent="0.25">
      <c r="A36" s="7" t="s">
        <v>47</v>
      </c>
      <c r="B36" s="13">
        <v>9620000263</v>
      </c>
      <c r="C36" s="13">
        <v>56</v>
      </c>
      <c r="D36" s="13">
        <v>12660.31</v>
      </c>
    </row>
    <row r="37" spans="1:4" x14ac:dyDescent="0.25">
      <c r="A37" s="7" t="s">
        <v>48</v>
      </c>
      <c r="B37" s="13">
        <v>9620000264</v>
      </c>
      <c r="C37" s="13">
        <v>29</v>
      </c>
      <c r="D37" s="13">
        <v>17888.719999999998</v>
      </c>
    </row>
    <row r="38" spans="1:4" x14ac:dyDescent="0.25">
      <c r="A38" s="7" t="s">
        <v>49</v>
      </c>
      <c r="B38" s="13">
        <v>9620000265</v>
      </c>
      <c r="C38" s="13">
        <v>24</v>
      </c>
      <c r="D38" s="13">
        <v>9004.6</v>
      </c>
    </row>
    <row r="39" spans="1:4" x14ac:dyDescent="0.25">
      <c r="A39" s="7" t="s">
        <v>50</v>
      </c>
      <c r="B39" s="13">
        <v>9620000268</v>
      </c>
      <c r="C39" s="13">
        <v>48</v>
      </c>
      <c r="D39" s="13">
        <v>18860.09</v>
      </c>
    </row>
    <row r="40" spans="1:4" x14ac:dyDescent="0.25">
      <c r="A40" s="7" t="s">
        <v>51</v>
      </c>
      <c r="B40" s="13">
        <v>9620000270</v>
      </c>
      <c r="C40" s="13">
        <v>10</v>
      </c>
      <c r="D40" s="13">
        <v>1694.42</v>
      </c>
    </row>
    <row r="41" spans="1:4" x14ac:dyDescent="0.25">
      <c r="A41" s="7" t="s">
        <v>52</v>
      </c>
      <c r="B41" s="13">
        <v>9620000271</v>
      </c>
      <c r="C41" s="13">
        <v>2</v>
      </c>
      <c r="D41" s="13">
        <v>777.66</v>
      </c>
    </row>
    <row r="42" spans="1:4" x14ac:dyDescent="0.25">
      <c r="A42" s="7" t="s">
        <v>53</v>
      </c>
      <c r="B42" s="13">
        <v>9620000279</v>
      </c>
      <c r="C42" s="13">
        <v>11</v>
      </c>
      <c r="D42" s="13">
        <v>5954.03</v>
      </c>
    </row>
    <row r="43" spans="1:4" x14ac:dyDescent="0.25">
      <c r="A43" s="7" t="s">
        <v>54</v>
      </c>
      <c r="B43" s="13">
        <v>9620000277</v>
      </c>
      <c r="C43" s="13">
        <v>4</v>
      </c>
      <c r="D43" s="13">
        <v>1172.5</v>
      </c>
    </row>
    <row r="44" spans="1:4" x14ac:dyDescent="0.25">
      <c r="A44" s="7" t="s">
        <v>55</v>
      </c>
      <c r="B44" s="13">
        <v>9620000276</v>
      </c>
      <c r="C44" s="13">
        <v>22</v>
      </c>
      <c r="D44" s="13">
        <v>7509.26</v>
      </c>
    </row>
    <row r="45" spans="1:4" x14ac:dyDescent="0.25">
      <c r="A45" s="7" t="s">
        <v>56</v>
      </c>
      <c r="B45" s="13">
        <v>9620046935</v>
      </c>
      <c r="C45" s="13">
        <v>47</v>
      </c>
      <c r="D45" s="13">
        <v>20934.989999999998</v>
      </c>
    </row>
    <row r="46" spans="1:4" x14ac:dyDescent="0.25">
      <c r="A46" s="7" t="s">
        <v>57</v>
      </c>
      <c r="B46" s="13">
        <v>9620000303</v>
      </c>
      <c r="C46" s="13">
        <v>21</v>
      </c>
      <c r="D46" s="13">
        <v>9834.3000000000011</v>
      </c>
    </row>
    <row r="47" spans="1:4" x14ac:dyDescent="0.25">
      <c r="A47" s="7" t="s">
        <v>58</v>
      </c>
      <c r="B47" s="13">
        <v>9620000307</v>
      </c>
      <c r="C47" s="13">
        <v>2</v>
      </c>
      <c r="D47" s="13">
        <v>2343.94</v>
      </c>
    </row>
    <row r="48" spans="1:4" x14ac:dyDescent="0.25">
      <c r="A48" s="7" t="s">
        <v>59</v>
      </c>
      <c r="B48" s="13">
        <v>9620000804</v>
      </c>
      <c r="C48" s="13">
        <v>19</v>
      </c>
      <c r="D48" s="13">
        <v>9929.600000000004</v>
      </c>
    </row>
    <row r="49" spans="1:4" x14ac:dyDescent="0.25">
      <c r="A49" s="7" t="s">
        <v>60</v>
      </c>
      <c r="B49" s="13">
        <v>9620000324</v>
      </c>
      <c r="C49" s="13">
        <v>97</v>
      </c>
      <c r="D49" s="13">
        <v>32311.450000000012</v>
      </c>
    </row>
    <row r="50" spans="1:4" x14ac:dyDescent="0.25">
      <c r="A50" s="7" t="s">
        <v>62</v>
      </c>
      <c r="B50" s="13">
        <v>9620048519</v>
      </c>
      <c r="C50" s="13">
        <v>9</v>
      </c>
      <c r="D50" s="13">
        <v>1772.1</v>
      </c>
    </row>
    <row r="51" spans="1:4" x14ac:dyDescent="0.25">
      <c r="A51" s="7" t="s">
        <v>63</v>
      </c>
      <c r="B51" s="13">
        <v>9620000329</v>
      </c>
      <c r="C51" s="13">
        <v>17</v>
      </c>
      <c r="D51" s="13">
        <v>9025.880000000001</v>
      </c>
    </row>
    <row r="52" spans="1:4" x14ac:dyDescent="0.25">
      <c r="A52" s="7" t="s">
        <v>65</v>
      </c>
      <c r="B52" s="13">
        <v>9620000339</v>
      </c>
      <c r="C52" s="13">
        <v>3</v>
      </c>
      <c r="D52" s="13">
        <v>970</v>
      </c>
    </row>
    <row r="53" spans="1:4" x14ac:dyDescent="0.25">
      <c r="A53" s="7" t="s">
        <v>66</v>
      </c>
      <c r="B53" s="13">
        <v>9620000349</v>
      </c>
      <c r="C53" s="13">
        <v>7</v>
      </c>
      <c r="D53" s="13">
        <v>11841.51</v>
      </c>
    </row>
    <row r="54" spans="1:4" x14ac:dyDescent="0.25">
      <c r="A54" s="7" t="s">
        <v>67</v>
      </c>
      <c r="B54" s="13">
        <v>9620000355</v>
      </c>
      <c r="C54" s="13">
        <v>22</v>
      </c>
      <c r="D54" s="13">
        <v>5048.05</v>
      </c>
    </row>
    <row r="55" spans="1:4" x14ac:dyDescent="0.25">
      <c r="A55" s="7" t="s">
        <v>68</v>
      </c>
      <c r="B55" s="13">
        <v>9620048515</v>
      </c>
      <c r="C55" s="13">
        <v>1</v>
      </c>
      <c r="D55" s="13">
        <v>831.83</v>
      </c>
    </row>
    <row r="56" spans="1:4" x14ac:dyDescent="0.25">
      <c r="A56" s="7" t="s">
        <v>70</v>
      </c>
      <c r="B56" s="13">
        <v>9620000377</v>
      </c>
      <c r="C56" s="13">
        <v>54</v>
      </c>
      <c r="D56" s="13">
        <v>16470.109999999997</v>
      </c>
    </row>
    <row r="57" spans="1:4" x14ac:dyDescent="0.25">
      <c r="A57" s="7" t="s">
        <v>72</v>
      </c>
      <c r="B57" s="13">
        <v>9620000382</v>
      </c>
      <c r="C57" s="13">
        <v>6</v>
      </c>
      <c r="D57" s="13">
        <v>1047.55</v>
      </c>
    </row>
    <row r="58" spans="1:4" x14ac:dyDescent="0.25">
      <c r="A58" s="7" t="s">
        <v>73</v>
      </c>
      <c r="B58" s="13">
        <v>9620000385</v>
      </c>
      <c r="C58" s="13">
        <v>5</v>
      </c>
      <c r="D58" s="13">
        <v>2354.0599999999995</v>
      </c>
    </row>
    <row r="59" spans="1:4" x14ac:dyDescent="0.25">
      <c r="A59" s="7" t="s">
        <v>74</v>
      </c>
      <c r="B59" s="13">
        <v>9620054532</v>
      </c>
      <c r="C59" s="13">
        <v>6</v>
      </c>
      <c r="D59" s="13">
        <v>2908.87</v>
      </c>
    </row>
    <row r="60" spans="1:4" x14ac:dyDescent="0.25">
      <c r="A60" s="7" t="s">
        <v>75</v>
      </c>
      <c r="B60" s="13">
        <v>9620000397</v>
      </c>
      <c r="C60" s="13">
        <v>11</v>
      </c>
      <c r="D60" s="13">
        <v>9059.9100000000017</v>
      </c>
    </row>
    <row r="61" spans="1:4" x14ac:dyDescent="0.25">
      <c r="A61" s="7" t="s">
        <v>76</v>
      </c>
      <c r="B61" s="13">
        <v>9620000403</v>
      </c>
      <c r="C61" s="13">
        <v>6</v>
      </c>
      <c r="D61" s="13">
        <v>2002.5</v>
      </c>
    </row>
    <row r="62" spans="1:4" x14ac:dyDescent="0.25">
      <c r="A62" s="7" t="s">
        <v>77</v>
      </c>
      <c r="B62" s="13">
        <v>9620000405</v>
      </c>
      <c r="C62" s="13">
        <v>20</v>
      </c>
      <c r="D62" s="13">
        <v>5641.5499999999993</v>
      </c>
    </row>
    <row r="63" spans="1:4" x14ac:dyDescent="0.25">
      <c r="A63" s="7" t="s">
        <v>78</v>
      </c>
      <c r="B63" s="13">
        <v>9620000835</v>
      </c>
      <c r="C63" s="13">
        <v>11</v>
      </c>
      <c r="D63" s="13">
        <v>4407.12</v>
      </c>
    </row>
    <row r="64" spans="1:4" x14ac:dyDescent="0.25">
      <c r="A64" s="7" t="s">
        <v>79</v>
      </c>
      <c r="B64" s="13">
        <v>9620000410</v>
      </c>
      <c r="C64" s="13">
        <v>4</v>
      </c>
      <c r="D64" s="13">
        <v>1858.42</v>
      </c>
    </row>
    <row r="65" spans="1:4" x14ac:dyDescent="0.25">
      <c r="A65" s="7" t="s">
        <v>80</v>
      </c>
      <c r="B65" s="13">
        <v>9620000414</v>
      </c>
      <c r="C65" s="13">
        <v>76</v>
      </c>
      <c r="D65" s="13">
        <v>26647.340000000004</v>
      </c>
    </row>
    <row r="66" spans="1:4" x14ac:dyDescent="0.25">
      <c r="A66" s="7" t="s">
        <v>81</v>
      </c>
      <c r="B66" s="13">
        <v>9620054012</v>
      </c>
      <c r="C66" s="13">
        <v>15</v>
      </c>
      <c r="D66" s="13">
        <v>7883.54</v>
      </c>
    </row>
    <row r="67" spans="1:4" x14ac:dyDescent="0.25">
      <c r="A67" s="7" t="s">
        <v>82</v>
      </c>
      <c r="B67" s="13">
        <v>9620000435</v>
      </c>
      <c r="C67" s="13">
        <v>30</v>
      </c>
      <c r="D67" s="13">
        <v>26232.69</v>
      </c>
    </row>
    <row r="68" spans="1:4" x14ac:dyDescent="0.25">
      <c r="A68" s="7" t="s">
        <v>83</v>
      </c>
      <c r="B68" s="13">
        <v>9620000443</v>
      </c>
      <c r="C68" s="13">
        <v>7</v>
      </c>
      <c r="D68" s="13">
        <v>1219.3899999999999</v>
      </c>
    </row>
    <row r="69" spans="1:4" x14ac:dyDescent="0.25">
      <c r="A69" s="7" t="s">
        <v>84</v>
      </c>
      <c r="B69" s="13">
        <v>9620000447</v>
      </c>
      <c r="C69" s="13">
        <v>27</v>
      </c>
      <c r="D69" s="13">
        <v>11463.6</v>
      </c>
    </row>
    <row r="70" spans="1:4" x14ac:dyDescent="0.25">
      <c r="A70" s="7" t="s">
        <v>85</v>
      </c>
      <c r="B70" s="13">
        <v>9620000449</v>
      </c>
      <c r="C70" s="13">
        <v>22</v>
      </c>
      <c r="D70" s="13">
        <v>8233.7199999999993</v>
      </c>
    </row>
    <row r="71" spans="1:4" x14ac:dyDescent="0.25">
      <c r="A71" s="7" t="s">
        <v>86</v>
      </c>
      <c r="B71" s="13">
        <v>9620000456</v>
      </c>
      <c r="C71" s="13">
        <v>6</v>
      </c>
      <c r="D71" s="13">
        <v>2830.5800000000004</v>
      </c>
    </row>
    <row r="72" spans="1:4" x14ac:dyDescent="0.25">
      <c r="A72" s="7" t="s">
        <v>87</v>
      </c>
      <c r="B72" s="13">
        <v>9620000459</v>
      </c>
      <c r="C72" s="13">
        <v>51</v>
      </c>
      <c r="D72" s="13">
        <v>19242.340000000004</v>
      </c>
    </row>
    <row r="73" spans="1:4" x14ac:dyDescent="0.25">
      <c r="A73" s="7" t="s">
        <v>88</v>
      </c>
      <c r="B73" s="13">
        <v>9620000460</v>
      </c>
      <c r="C73" s="13">
        <v>8</v>
      </c>
      <c r="D73" s="13">
        <v>3289.58</v>
      </c>
    </row>
    <row r="74" spans="1:4" x14ac:dyDescent="0.25">
      <c r="A74" s="7" t="s">
        <v>89</v>
      </c>
      <c r="B74" s="13">
        <v>9620000464</v>
      </c>
      <c r="C74" s="13">
        <v>91</v>
      </c>
      <c r="D74" s="13">
        <v>25119.510000000002</v>
      </c>
    </row>
    <row r="75" spans="1:4" x14ac:dyDescent="0.25">
      <c r="A75" s="7" t="s">
        <v>90</v>
      </c>
      <c r="B75" s="13">
        <v>9620000467</v>
      </c>
      <c r="C75" s="13">
        <v>1</v>
      </c>
      <c r="D75" s="13">
        <v>781.47</v>
      </c>
    </row>
    <row r="76" spans="1:4" x14ac:dyDescent="0.25">
      <c r="A76" s="7" t="s">
        <v>257</v>
      </c>
      <c r="B76" s="13">
        <v>9620047085</v>
      </c>
      <c r="C76" s="13">
        <v>2</v>
      </c>
      <c r="D76" s="13">
        <v>653.79</v>
      </c>
    </row>
    <row r="77" spans="1:4" x14ac:dyDescent="0.25">
      <c r="A77" s="7" t="s">
        <v>91</v>
      </c>
      <c r="B77" s="13">
        <v>9620000509</v>
      </c>
      <c r="C77" s="13">
        <v>12</v>
      </c>
      <c r="D77" s="13">
        <v>3630.1899999999996</v>
      </c>
    </row>
    <row r="78" spans="1:4" x14ac:dyDescent="0.25">
      <c r="A78" s="7" t="s">
        <v>93</v>
      </c>
      <c r="B78" s="13">
        <v>9620000522</v>
      </c>
      <c r="C78" s="13">
        <v>4</v>
      </c>
      <c r="D78" s="13">
        <v>1149.1300000000001</v>
      </c>
    </row>
    <row r="79" spans="1:4" x14ac:dyDescent="0.25">
      <c r="A79" s="7" t="s">
        <v>94</v>
      </c>
      <c r="B79" s="13">
        <v>9620000535</v>
      </c>
      <c r="C79" s="13">
        <v>1</v>
      </c>
      <c r="D79" s="13">
        <v>274.63</v>
      </c>
    </row>
    <row r="80" spans="1:4" x14ac:dyDescent="0.25">
      <c r="A80" s="7" t="s">
        <v>95</v>
      </c>
      <c r="B80" s="13">
        <v>9620000545</v>
      </c>
      <c r="C80" s="13">
        <v>5</v>
      </c>
      <c r="D80" s="13">
        <v>6453.21</v>
      </c>
    </row>
    <row r="81" spans="1:4" x14ac:dyDescent="0.25">
      <c r="A81" s="7" t="s">
        <v>97</v>
      </c>
      <c r="B81" s="13">
        <v>9620000556</v>
      </c>
      <c r="C81" s="13">
        <v>50</v>
      </c>
      <c r="D81" s="13">
        <v>18560.160000000003</v>
      </c>
    </row>
    <row r="82" spans="1:4" x14ac:dyDescent="0.25">
      <c r="A82" s="7" t="s">
        <v>98</v>
      </c>
      <c r="B82" s="13">
        <v>9620000563</v>
      </c>
      <c r="C82" s="13">
        <v>4</v>
      </c>
      <c r="D82" s="13">
        <v>2885.5899999999997</v>
      </c>
    </row>
    <row r="83" spans="1:4" x14ac:dyDescent="0.25">
      <c r="A83" s="7" t="s">
        <v>99</v>
      </c>
      <c r="B83" s="13">
        <v>9620000567</v>
      </c>
      <c r="C83" s="13">
        <v>3</v>
      </c>
      <c r="D83" s="13">
        <v>2227.2600000000002</v>
      </c>
    </row>
    <row r="84" spans="1:4" x14ac:dyDescent="0.25">
      <c r="A84" s="7" t="s">
        <v>100</v>
      </c>
      <c r="B84" s="13">
        <v>9620000577</v>
      </c>
      <c r="C84" s="13">
        <v>2</v>
      </c>
      <c r="D84" s="13">
        <v>382.5</v>
      </c>
    </row>
    <row r="85" spans="1:4" x14ac:dyDescent="0.25">
      <c r="A85" s="7" t="s">
        <v>102</v>
      </c>
      <c r="B85" s="13">
        <v>9620000586</v>
      </c>
      <c r="C85" s="13">
        <v>7</v>
      </c>
      <c r="D85" s="13">
        <v>1818.64</v>
      </c>
    </row>
    <row r="86" spans="1:4" x14ac:dyDescent="0.25">
      <c r="A86" s="7" t="s">
        <v>103</v>
      </c>
      <c r="B86" s="13">
        <v>9620000601</v>
      </c>
      <c r="C86" s="13">
        <v>6</v>
      </c>
      <c r="D86" s="13">
        <v>1744.1799999999998</v>
      </c>
    </row>
    <row r="87" spans="1:4" x14ac:dyDescent="0.25">
      <c r="A87" s="7" t="s">
        <v>248</v>
      </c>
      <c r="B87" s="13">
        <v>9620000614</v>
      </c>
      <c r="C87" s="13">
        <v>12</v>
      </c>
      <c r="D87" s="13">
        <v>3210.23</v>
      </c>
    </row>
    <row r="88" spans="1:4" x14ac:dyDescent="0.25">
      <c r="A88" s="7" t="s">
        <v>104</v>
      </c>
      <c r="B88" s="13">
        <v>9620000638</v>
      </c>
      <c r="C88" s="13">
        <v>7</v>
      </c>
      <c r="D88" s="13">
        <v>2833.54</v>
      </c>
    </row>
    <row r="89" spans="1:4" x14ac:dyDescent="0.25">
      <c r="A89" s="7" t="s">
        <v>105</v>
      </c>
      <c r="B89" s="13">
        <v>9620000642</v>
      </c>
      <c r="C89" s="13">
        <v>9</v>
      </c>
      <c r="D89" s="13">
        <v>2372.79</v>
      </c>
    </row>
    <row r="90" spans="1:4" x14ac:dyDescent="0.25">
      <c r="A90" s="7" t="s">
        <v>106</v>
      </c>
      <c r="B90" s="13">
        <v>9620000648</v>
      </c>
      <c r="C90" s="13">
        <v>1</v>
      </c>
      <c r="D90" s="13">
        <v>782.5</v>
      </c>
    </row>
    <row r="91" spans="1:4" x14ac:dyDescent="0.25">
      <c r="A91" s="7" t="s">
        <v>108</v>
      </c>
      <c r="B91" s="13">
        <v>9620000653</v>
      </c>
      <c r="C91" s="13">
        <v>6</v>
      </c>
      <c r="D91" s="13">
        <v>4281.63</v>
      </c>
    </row>
    <row r="92" spans="1:4" x14ac:dyDescent="0.25">
      <c r="A92" s="7" t="s">
        <v>109</v>
      </c>
      <c r="B92" s="13">
        <v>9620000658</v>
      </c>
      <c r="C92" s="13">
        <v>5</v>
      </c>
      <c r="D92" s="13">
        <v>4260.8099999999995</v>
      </c>
    </row>
    <row r="93" spans="1:4" x14ac:dyDescent="0.25">
      <c r="A93" s="7" t="s">
        <v>110</v>
      </c>
      <c r="B93" s="13">
        <v>9620000666</v>
      </c>
      <c r="C93" s="13">
        <v>10</v>
      </c>
      <c r="D93" s="13">
        <v>1833.15</v>
      </c>
    </row>
    <row r="94" spans="1:4" x14ac:dyDescent="0.25">
      <c r="A94" s="7" t="s">
        <v>111</v>
      </c>
      <c r="B94" s="13">
        <v>9620000682</v>
      </c>
      <c r="C94" s="13">
        <v>55</v>
      </c>
      <c r="D94" s="13">
        <v>18007.370000000017</v>
      </c>
    </row>
    <row r="95" spans="1:4" x14ac:dyDescent="0.25">
      <c r="A95" s="7" t="s">
        <v>112</v>
      </c>
      <c r="B95" s="13">
        <v>9620000702</v>
      </c>
      <c r="C95" s="13">
        <v>1</v>
      </c>
      <c r="D95" s="13">
        <v>825</v>
      </c>
    </row>
    <row r="96" spans="1:4" x14ac:dyDescent="0.25">
      <c r="A96" s="7" t="s">
        <v>113</v>
      </c>
      <c r="B96" s="13">
        <v>9620000705</v>
      </c>
      <c r="C96" s="13">
        <v>48</v>
      </c>
      <c r="D96" s="13">
        <v>20885.679999999997</v>
      </c>
    </row>
    <row r="97" spans="1:4" x14ac:dyDescent="0.25">
      <c r="A97" s="7" t="s">
        <v>114</v>
      </c>
      <c r="B97" s="13">
        <v>9620047081</v>
      </c>
      <c r="C97" s="13">
        <v>51</v>
      </c>
      <c r="D97" s="13">
        <v>20222.730000000003</v>
      </c>
    </row>
    <row r="98" spans="1:4" x14ac:dyDescent="0.25">
      <c r="A98" s="7" t="s">
        <v>115</v>
      </c>
      <c r="B98" s="13">
        <v>9620000714</v>
      </c>
      <c r="C98" s="13">
        <v>11</v>
      </c>
      <c r="D98" s="13">
        <v>4659.82</v>
      </c>
    </row>
    <row r="99" spans="1:4" x14ac:dyDescent="0.25">
      <c r="A99" s="7" t="s">
        <v>116</v>
      </c>
      <c r="B99" s="13">
        <v>9620000723</v>
      </c>
      <c r="C99" s="13">
        <v>24</v>
      </c>
      <c r="D99" s="13">
        <v>5756.3799999999992</v>
      </c>
    </row>
    <row r="100" spans="1:4" x14ac:dyDescent="0.25">
      <c r="A100" s="7" t="s">
        <v>258</v>
      </c>
      <c r="B100" s="13" t="e">
        <v>#N/A</v>
      </c>
      <c r="C100" s="13"/>
      <c r="D100" s="13"/>
    </row>
    <row r="101" spans="1:4" x14ac:dyDescent="0.25">
      <c r="A101" s="7" t="s">
        <v>260</v>
      </c>
      <c r="B101" s="13">
        <v>9620000384</v>
      </c>
      <c r="C101" s="13">
        <v>582</v>
      </c>
      <c r="D101" s="13">
        <v>219481.53999999998</v>
      </c>
    </row>
    <row r="102" spans="1:4" x14ac:dyDescent="0.25">
      <c r="A102" s="7" t="s">
        <v>122</v>
      </c>
      <c r="B102" s="13">
        <v>9620000012</v>
      </c>
      <c r="C102" s="13">
        <v>132</v>
      </c>
      <c r="D102" s="13">
        <v>41961.829999999994</v>
      </c>
    </row>
    <row r="103" spans="1:4" x14ac:dyDescent="0.25">
      <c r="A103" s="7" t="s">
        <v>407</v>
      </c>
      <c r="B103" s="13">
        <v>9620000033</v>
      </c>
      <c r="C103" s="13">
        <v>2</v>
      </c>
      <c r="D103" s="13">
        <v>625</v>
      </c>
    </row>
    <row r="104" spans="1:4" x14ac:dyDescent="0.25">
      <c r="A104" s="7" t="s">
        <v>408</v>
      </c>
      <c r="B104" s="13">
        <v>9620000037</v>
      </c>
      <c r="C104" s="13">
        <v>3</v>
      </c>
      <c r="D104" s="13">
        <v>2694.98</v>
      </c>
    </row>
    <row r="105" spans="1:4" x14ac:dyDescent="0.25">
      <c r="A105" s="7" t="s">
        <v>377</v>
      </c>
      <c r="B105" s="13">
        <v>9620000087</v>
      </c>
      <c r="C105" s="13">
        <v>2</v>
      </c>
      <c r="D105" s="13">
        <v>421.15</v>
      </c>
    </row>
    <row r="106" spans="1:4" x14ac:dyDescent="0.25">
      <c r="A106" s="7" t="s">
        <v>378</v>
      </c>
      <c r="B106" s="13">
        <v>9620000097</v>
      </c>
      <c r="C106" s="13">
        <v>10</v>
      </c>
      <c r="D106" s="13">
        <v>3532.9199999999996</v>
      </c>
    </row>
    <row r="107" spans="1:4" x14ac:dyDescent="0.25">
      <c r="A107" s="7" t="s">
        <v>409</v>
      </c>
      <c r="B107" s="13">
        <v>9620000139</v>
      </c>
      <c r="C107" s="13">
        <v>10</v>
      </c>
      <c r="D107" s="13">
        <v>2302.98</v>
      </c>
    </row>
    <row r="108" spans="1:4" x14ac:dyDescent="0.25">
      <c r="A108" s="7" t="s">
        <v>379</v>
      </c>
      <c r="B108" s="13">
        <v>9620046790</v>
      </c>
      <c r="C108" s="13">
        <v>2</v>
      </c>
      <c r="D108" s="13">
        <v>627.22</v>
      </c>
    </row>
    <row r="109" spans="1:4" x14ac:dyDescent="0.25">
      <c r="A109" s="7" t="s">
        <v>43</v>
      </c>
      <c r="B109" s="13">
        <v>9620000227</v>
      </c>
      <c r="C109" s="13">
        <v>3</v>
      </c>
      <c r="D109" s="13">
        <v>2852.69</v>
      </c>
    </row>
    <row r="110" spans="1:4" x14ac:dyDescent="0.25">
      <c r="A110" s="7" t="s">
        <v>404</v>
      </c>
      <c r="B110" s="13">
        <v>9620046925</v>
      </c>
      <c r="C110" s="13">
        <v>24</v>
      </c>
      <c r="D110" s="13">
        <v>14028.250000000002</v>
      </c>
    </row>
    <row r="111" spans="1:4" x14ac:dyDescent="0.25">
      <c r="A111" s="7" t="s">
        <v>164</v>
      </c>
      <c r="B111" s="13">
        <v>9620000233</v>
      </c>
      <c r="C111" s="13">
        <v>1</v>
      </c>
      <c r="D111" s="13">
        <v>1239.3599999999999</v>
      </c>
    </row>
    <row r="112" spans="1:4" x14ac:dyDescent="0.25">
      <c r="A112" s="7" t="s">
        <v>195</v>
      </c>
      <c r="B112" s="13">
        <v>9620000399</v>
      </c>
      <c r="C112" s="13">
        <v>49</v>
      </c>
      <c r="D112" s="13">
        <v>27414.169999999995</v>
      </c>
    </row>
    <row r="113" spans="1:4" x14ac:dyDescent="0.25">
      <c r="A113" s="7" t="s">
        <v>380</v>
      </c>
      <c r="B113" s="13">
        <v>9620000462</v>
      </c>
      <c r="C113" s="13">
        <v>2</v>
      </c>
      <c r="D113" s="13">
        <v>882.67000000000007</v>
      </c>
    </row>
    <row r="114" spans="1:4" x14ac:dyDescent="0.25">
      <c r="A114" s="7" t="s">
        <v>402</v>
      </c>
      <c r="B114" s="13">
        <v>9620000611</v>
      </c>
      <c r="C114" s="13">
        <v>1</v>
      </c>
      <c r="D114" s="13">
        <v>460.3</v>
      </c>
    </row>
    <row r="115" spans="1:4" x14ac:dyDescent="0.25">
      <c r="A115" s="7" t="s">
        <v>406</v>
      </c>
      <c r="B115" s="13">
        <v>9620057283</v>
      </c>
      <c r="C115" s="13">
        <v>5</v>
      </c>
      <c r="D115" s="13">
        <v>2632.78</v>
      </c>
    </row>
    <row r="116" spans="1:4" x14ac:dyDescent="0.25">
      <c r="A116" s="7" t="s">
        <v>125</v>
      </c>
      <c r="B116" s="13">
        <v>9620000034</v>
      </c>
      <c r="C116" s="13">
        <v>20</v>
      </c>
      <c r="D116" s="13">
        <v>7533.31</v>
      </c>
    </row>
    <row r="117" spans="1:4" x14ac:dyDescent="0.25">
      <c r="A117" s="7" t="s">
        <v>436</v>
      </c>
      <c r="B117" s="13">
        <v>9620000084</v>
      </c>
      <c r="C117" s="13">
        <v>2</v>
      </c>
      <c r="D117" s="13">
        <v>1623.6100000000001</v>
      </c>
    </row>
    <row r="118" spans="1:4" x14ac:dyDescent="0.25">
      <c r="A118" s="7" t="s">
        <v>1149</v>
      </c>
      <c r="B118" s="13">
        <v>9620000133</v>
      </c>
      <c r="C118" s="13">
        <v>2</v>
      </c>
      <c r="D118" s="13">
        <v>1720.5099999999998</v>
      </c>
    </row>
    <row r="119" spans="1:4" x14ac:dyDescent="0.25">
      <c r="A119" s="7" t="s">
        <v>438</v>
      </c>
      <c r="B119" s="13">
        <v>9620044379</v>
      </c>
      <c r="C119" s="13">
        <v>88</v>
      </c>
      <c r="D119" s="13">
        <v>30123.280000000002</v>
      </c>
    </row>
    <row r="120" spans="1:4" x14ac:dyDescent="0.25">
      <c r="A120" s="7" t="s">
        <v>38</v>
      </c>
      <c r="B120" s="13">
        <v>9620051785</v>
      </c>
      <c r="C120" s="13">
        <v>4</v>
      </c>
      <c r="D120" s="13">
        <v>2068.3999999999996</v>
      </c>
    </row>
    <row r="121" spans="1:4" x14ac:dyDescent="0.25">
      <c r="A121" s="7" t="s">
        <v>498</v>
      </c>
      <c r="B121" s="13">
        <v>9620054022</v>
      </c>
      <c r="C121" s="13">
        <v>47</v>
      </c>
      <c r="D121" s="13">
        <v>38148.18</v>
      </c>
    </row>
    <row r="122" spans="1:4" x14ac:dyDescent="0.25">
      <c r="A122" s="7" t="s">
        <v>160</v>
      </c>
      <c r="B122" s="13">
        <v>9620000218</v>
      </c>
      <c r="C122" s="13">
        <v>89</v>
      </c>
      <c r="D122" s="13">
        <v>27772.729999999985</v>
      </c>
    </row>
    <row r="123" spans="1:4" x14ac:dyDescent="0.25">
      <c r="A123" s="7" t="s">
        <v>440</v>
      </c>
      <c r="B123" s="13">
        <v>9620000224</v>
      </c>
      <c r="C123" s="13">
        <v>1</v>
      </c>
      <c r="D123" s="13">
        <v>110</v>
      </c>
    </row>
    <row r="124" spans="1:4" x14ac:dyDescent="0.25">
      <c r="A124" s="7" t="s">
        <v>441</v>
      </c>
      <c r="B124" s="13">
        <v>9620000256</v>
      </c>
      <c r="C124" s="13">
        <v>8</v>
      </c>
      <c r="D124" s="13">
        <v>2009.9399999999998</v>
      </c>
    </row>
    <row r="125" spans="1:4" x14ac:dyDescent="0.25">
      <c r="A125" s="7" t="s">
        <v>168</v>
      </c>
      <c r="B125" s="13">
        <v>9620000262</v>
      </c>
      <c r="C125" s="13">
        <v>1</v>
      </c>
      <c r="D125" s="13">
        <v>380</v>
      </c>
    </row>
    <row r="126" spans="1:4" x14ac:dyDescent="0.25">
      <c r="A126" s="7" t="s">
        <v>442</v>
      </c>
      <c r="B126" s="13">
        <v>9620000340</v>
      </c>
      <c r="C126" s="13">
        <v>1</v>
      </c>
      <c r="D126" s="13">
        <v>536.9</v>
      </c>
    </row>
    <row r="127" spans="1:4" x14ac:dyDescent="0.25">
      <c r="A127" s="7" t="s">
        <v>183</v>
      </c>
      <c r="B127" s="13">
        <v>9620000352</v>
      </c>
      <c r="C127" s="13">
        <v>2</v>
      </c>
      <c r="D127" s="13">
        <v>863.87999999999988</v>
      </c>
    </row>
    <row r="128" spans="1:4" x14ac:dyDescent="0.25">
      <c r="A128" s="7" t="s">
        <v>448</v>
      </c>
      <c r="B128" s="13">
        <v>9620051177</v>
      </c>
      <c r="C128" s="13">
        <v>5</v>
      </c>
      <c r="D128" s="13">
        <v>1233.8800000000001</v>
      </c>
    </row>
    <row r="129" spans="1:4" x14ac:dyDescent="0.25">
      <c r="A129" s="7" t="s">
        <v>207</v>
      </c>
      <c r="B129" s="13">
        <v>9620000498</v>
      </c>
      <c r="C129" s="13">
        <v>4</v>
      </c>
      <c r="D129" s="13">
        <v>580.95000000000005</v>
      </c>
    </row>
    <row r="130" spans="1:4" x14ac:dyDescent="0.25">
      <c r="A130" s="7" t="s">
        <v>485</v>
      </c>
      <c r="B130" s="13">
        <v>9620000503</v>
      </c>
      <c r="C130" s="13">
        <v>2</v>
      </c>
      <c r="D130" s="13">
        <v>706.94</v>
      </c>
    </row>
    <row r="131" spans="1:4" x14ac:dyDescent="0.25">
      <c r="A131" s="7" t="s">
        <v>486</v>
      </c>
      <c r="B131" s="13">
        <v>9620000527</v>
      </c>
      <c r="C131" s="13">
        <v>5</v>
      </c>
      <c r="D131" s="13">
        <v>1516.1999999999998</v>
      </c>
    </row>
    <row r="132" spans="1:4" x14ac:dyDescent="0.25">
      <c r="A132" s="7" t="s">
        <v>1150</v>
      </c>
      <c r="B132" s="13">
        <v>9620000536</v>
      </c>
      <c r="C132" s="13">
        <v>1</v>
      </c>
      <c r="D132" s="13">
        <v>251</v>
      </c>
    </row>
    <row r="133" spans="1:4" x14ac:dyDescent="0.25">
      <c r="A133" s="7" t="s">
        <v>220</v>
      </c>
      <c r="B133" s="13">
        <v>9620000566</v>
      </c>
      <c r="C133" s="13">
        <v>23</v>
      </c>
      <c r="D133" s="13">
        <v>17921.43</v>
      </c>
    </row>
    <row r="134" spans="1:4" x14ac:dyDescent="0.25">
      <c r="A134" s="7" t="s">
        <v>443</v>
      </c>
      <c r="B134" s="13">
        <v>9620000576</v>
      </c>
      <c r="C134" s="13">
        <v>19</v>
      </c>
      <c r="D134" s="13">
        <v>4697.43</v>
      </c>
    </row>
    <row r="135" spans="1:4" x14ac:dyDescent="0.25">
      <c r="A135" s="7" t="s">
        <v>1151</v>
      </c>
      <c r="B135" s="13">
        <v>9620004094</v>
      </c>
      <c r="C135" s="13">
        <v>3</v>
      </c>
      <c r="D135" s="13">
        <v>971</v>
      </c>
    </row>
    <row r="136" spans="1:4" x14ac:dyDescent="0.25">
      <c r="A136" s="7" t="s">
        <v>101</v>
      </c>
      <c r="B136" s="13">
        <v>9620000584</v>
      </c>
      <c r="C136" s="13">
        <v>2</v>
      </c>
      <c r="D136" s="13">
        <v>603.42999999999995</v>
      </c>
    </row>
    <row r="137" spans="1:4" x14ac:dyDescent="0.25">
      <c r="A137" s="7" t="s">
        <v>444</v>
      </c>
      <c r="B137" s="13">
        <v>9620000589</v>
      </c>
      <c r="C137" s="13">
        <v>5</v>
      </c>
      <c r="D137" s="13">
        <v>1999.55</v>
      </c>
    </row>
    <row r="138" spans="1:4" x14ac:dyDescent="0.25">
      <c r="A138" s="7" t="s">
        <v>445</v>
      </c>
      <c r="B138" s="13">
        <v>9620000590</v>
      </c>
      <c r="C138" s="13">
        <v>2</v>
      </c>
      <c r="D138" s="13">
        <v>892.5</v>
      </c>
    </row>
    <row r="139" spans="1:4" x14ac:dyDescent="0.25">
      <c r="A139" s="7" t="s">
        <v>1147</v>
      </c>
      <c r="B139" s="13">
        <v>9620051178</v>
      </c>
      <c r="C139" s="13">
        <v>16</v>
      </c>
      <c r="D139" s="13">
        <v>5858.78</v>
      </c>
    </row>
    <row r="140" spans="1:4" x14ac:dyDescent="0.25">
      <c r="A140" s="7" t="s">
        <v>494</v>
      </c>
      <c r="B140" s="13">
        <v>9620000622</v>
      </c>
      <c r="C140" s="13">
        <v>9</v>
      </c>
      <c r="D140" s="13">
        <v>2704.51</v>
      </c>
    </row>
    <row r="141" spans="1:4" x14ac:dyDescent="0.25">
      <c r="A141" s="7" t="s">
        <v>487</v>
      </c>
      <c r="B141" s="13">
        <v>9620000660</v>
      </c>
      <c r="C141" s="13">
        <v>1</v>
      </c>
      <c r="D141" s="13">
        <v>156.96</v>
      </c>
    </row>
    <row r="142" spans="1:4" x14ac:dyDescent="0.25">
      <c r="A142" s="7" t="s">
        <v>495</v>
      </c>
      <c r="B142" s="13">
        <v>9620000661</v>
      </c>
      <c r="C142" s="13">
        <v>3</v>
      </c>
      <c r="D142" s="13">
        <v>1719.67</v>
      </c>
    </row>
    <row r="143" spans="1:4" x14ac:dyDescent="0.25">
      <c r="A143" s="7" t="s">
        <v>499</v>
      </c>
      <c r="B143" s="13">
        <v>9620044382</v>
      </c>
      <c r="C143" s="13">
        <v>8</v>
      </c>
      <c r="D143" s="13">
        <v>2917.24</v>
      </c>
    </row>
    <row r="144" spans="1:4" x14ac:dyDescent="0.25">
      <c r="A144" s="7" t="s">
        <v>447</v>
      </c>
      <c r="B144" s="13">
        <v>9620000683</v>
      </c>
      <c r="C144" s="13">
        <v>1</v>
      </c>
      <c r="D144" s="13">
        <v>360</v>
      </c>
    </row>
    <row r="145" spans="1:4" x14ac:dyDescent="0.25">
      <c r="A145" s="7" t="s">
        <v>242</v>
      </c>
      <c r="B145" s="13">
        <v>9620046963</v>
      </c>
      <c r="C145" s="13">
        <v>4</v>
      </c>
      <c r="D145" s="13">
        <v>1305</v>
      </c>
    </row>
    <row r="146" spans="1:4" x14ac:dyDescent="0.25">
      <c r="A146" s="7" t="s">
        <v>496</v>
      </c>
      <c r="B146" s="13">
        <v>9620000897</v>
      </c>
      <c r="C146" s="13">
        <v>14</v>
      </c>
      <c r="D146" s="13">
        <v>5902.86</v>
      </c>
    </row>
    <row r="147" spans="1:4" x14ac:dyDescent="0.25">
      <c r="A147" s="7" t="s">
        <v>1156</v>
      </c>
      <c r="B147" s="13">
        <v>9620000869</v>
      </c>
      <c r="C147" s="13">
        <v>58</v>
      </c>
      <c r="D147" s="13">
        <v>33132.559999999998</v>
      </c>
    </row>
    <row r="148" spans="1:4" x14ac:dyDescent="0.25">
      <c r="A148" s="7" t="s">
        <v>253</v>
      </c>
      <c r="B148" s="13" t="e">
        <v>#N/A</v>
      </c>
      <c r="C148" s="13">
        <v>3195</v>
      </c>
      <c r="D148" s="13">
        <v>1282361.7899999979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3865-8E33-48AC-A469-D0345C92D3F3}">
  <sheetPr codeName="Sheet5"/>
  <dimension ref="A1:D198"/>
  <sheetViews>
    <sheetView topLeftCell="A165" workbookViewId="0">
      <selection activeCell="D193" sqref="D193"/>
    </sheetView>
  </sheetViews>
  <sheetFormatPr defaultRowHeight="15" x14ac:dyDescent="0.25"/>
  <cols>
    <col min="1" max="1" width="34.85546875" bestFit="1" customWidth="1"/>
    <col min="2" max="2" width="11" bestFit="1" customWidth="1"/>
    <col min="3" max="3" width="119.140625" bestFit="1" customWidth="1"/>
    <col min="4" max="4" width="11" bestFit="1" customWidth="1"/>
  </cols>
  <sheetData>
    <row r="1" spans="1:4" ht="15.75" thickBot="1" x14ac:dyDescent="0.3">
      <c r="A1" s="102" t="s">
        <v>397</v>
      </c>
      <c r="B1" s="103" t="s">
        <v>398</v>
      </c>
      <c r="C1" t="s">
        <v>120</v>
      </c>
      <c r="D1" t="s">
        <v>119</v>
      </c>
    </row>
    <row r="2" spans="1:4" x14ac:dyDescent="0.25">
      <c r="A2" s="1" t="s">
        <v>121</v>
      </c>
      <c r="B2" s="92">
        <v>9620000002</v>
      </c>
      <c r="C2" t="str">
        <f>VLOOKUP("*"&amp;B2&amp;"*", directory_snapshot!A:A, 1, FALSE)</f>
        <v>3Wire LLC_9620000002, 9620033341, 9620033389, 9620004979_RECON.xlsx</v>
      </c>
      <c r="D2" s="92">
        <f>VLOOKUP(B2, 'List of active SV'!A:A, 1, FALSE)</f>
        <v>9620000002</v>
      </c>
    </row>
    <row r="3" spans="1:4" x14ac:dyDescent="0.25">
      <c r="A3" s="2" t="s">
        <v>71</v>
      </c>
      <c r="B3" s="93">
        <v>9620000009</v>
      </c>
      <c r="C3" s="49" t="str">
        <f>VLOOKUP("*"&amp;B3&amp;"*", directory_snapshot!A:A, 1, FALSE)</f>
        <v>Isaac Coffee Co LLC dba AAA Espresso Tech_9620000009_Recon.xlsx</v>
      </c>
      <c r="D3" s="92">
        <f>VLOOKUP(B3, 'List of active SV'!A:A, 1, FALSE)</f>
        <v>9620000009</v>
      </c>
    </row>
    <row r="4" spans="1:4" x14ac:dyDescent="0.25">
      <c r="A4" s="1" t="s">
        <v>122</v>
      </c>
      <c r="B4" s="92">
        <v>9620000012</v>
      </c>
      <c r="C4" s="49" t="str">
        <f>VLOOKUP("*"&amp;B4&amp;"*", directory_snapshot!A:A, 1, FALSE)</f>
        <v>Abs &amp; Taylor_9620000012, 9620000731_RECON.xlsx</v>
      </c>
      <c r="D4" s="92">
        <f>VLOOKUP(B4, 'List of active SV'!A:A, 1, FALSE)</f>
        <v>9620000012</v>
      </c>
    </row>
    <row r="5" spans="1:4" x14ac:dyDescent="0.25">
      <c r="A5" s="2" t="s">
        <v>8</v>
      </c>
      <c r="B5" s="93">
        <v>9620000014</v>
      </c>
      <c r="C5" s="49" t="str">
        <f>VLOOKUP("*"&amp;B5&amp;"*", directory_snapshot!A:A, 1, FALSE)</f>
        <v>Absolute Equipment Service Solutions_9620000014_RECON.xlsx</v>
      </c>
      <c r="D5" s="92">
        <f>VLOOKUP(B5, 'List of active SV'!A:A, 1, FALSE)</f>
        <v>9620000014</v>
      </c>
    </row>
    <row r="6" spans="1:4" x14ac:dyDescent="0.25">
      <c r="A6" s="1" t="s">
        <v>9</v>
      </c>
      <c r="B6" s="92">
        <v>9620000732</v>
      </c>
      <c r="C6" s="49" t="str">
        <f>VLOOKUP("*"&amp;B6&amp;"*", directory_snapshot!A:A, 1, FALSE)</f>
        <v>Action Refrigeration_9620000732_RECON.xlsx</v>
      </c>
      <c r="D6" s="92">
        <f>VLOOKUP(B6, 'List of active SV'!A:A, 1, FALSE)</f>
        <v>9620000732</v>
      </c>
    </row>
    <row r="7" spans="1:4" x14ac:dyDescent="0.25">
      <c r="A7" s="2" t="s">
        <v>123</v>
      </c>
      <c r="B7" s="93">
        <v>9620000026</v>
      </c>
      <c r="C7" s="49" t="str">
        <f>VLOOKUP("*"&amp;B7&amp;"*", directory_snapshot!A:A, 1, FALSE)</f>
        <v>Advanced Coffee &amp; Water_9620000026_RECON.xlsx</v>
      </c>
      <c r="D7" s="92">
        <f>VLOOKUP(B7, 'List of active SV'!A:A, 1, FALSE)</f>
        <v>9620000026</v>
      </c>
    </row>
    <row r="8" spans="1:4" x14ac:dyDescent="0.25">
      <c r="A8" s="1" t="s">
        <v>11</v>
      </c>
      <c r="B8" s="92">
        <v>9620000027</v>
      </c>
      <c r="C8" s="49" t="str">
        <f>VLOOKUP("*"&amp;B8&amp;"*", directory_snapshot!A:A, 1, FALSE)</f>
        <v>Advanced Coffee Tech Service_9620000027, 9620000734_RECON.xlsx</v>
      </c>
      <c r="D8" s="92">
        <f>VLOOKUP(B8, 'List of active SV'!A:A, 1, FALSE)</f>
        <v>9620000027</v>
      </c>
    </row>
    <row r="9" spans="1:4" x14ac:dyDescent="0.25">
      <c r="A9" s="2" t="s">
        <v>124</v>
      </c>
      <c r="B9" s="93">
        <v>9620000033</v>
      </c>
      <c r="C9" s="49" t="str">
        <f>VLOOKUP("*"&amp;B9&amp;"*", directory_snapshot!A:A, 1, FALSE)</f>
        <v>Albert-James Company_9620000033_RECON.xlsx</v>
      </c>
      <c r="D9" s="92">
        <f>VLOOKUP(B9, 'List of active SV'!A:A, 1, FALSE)</f>
        <v>9620000033</v>
      </c>
    </row>
    <row r="10" spans="1:4" x14ac:dyDescent="0.25">
      <c r="A10" s="1" t="s">
        <v>125</v>
      </c>
      <c r="B10" s="92">
        <v>9620000034</v>
      </c>
      <c r="C10" s="49" t="str">
        <f>VLOOKUP("*"&amp;B10&amp;"*", directory_snapshot!A:A, 1, FALSE)</f>
        <v>All Coffee Concepts LLC dba Coffee Werks_9620000034_Recon.xlsx</v>
      </c>
      <c r="D10" s="92">
        <f>VLOOKUP(B10, 'List of active SV'!A:A, 1, FALSE)</f>
        <v>9620000034</v>
      </c>
    </row>
    <row r="11" spans="1:4" x14ac:dyDescent="0.25">
      <c r="A11" s="2" t="s">
        <v>12</v>
      </c>
      <c r="B11" s="93">
        <v>9620000035</v>
      </c>
      <c r="C11" s="49" t="str">
        <f>VLOOKUP("*"&amp;B11&amp;"*", directory_snapshot!A:A, 1, FALSE)</f>
        <v>All Espresso Service_9620000035_Recon.xlsx</v>
      </c>
      <c r="D11" s="92">
        <f>VLOOKUP(B11, 'List of active SV'!A:A, 1, FALSE)</f>
        <v>9620000035</v>
      </c>
    </row>
    <row r="12" spans="1:4" x14ac:dyDescent="0.25">
      <c r="A12" s="1" t="s">
        <v>126</v>
      </c>
      <c r="B12" s="92">
        <v>9620000037</v>
      </c>
      <c r="C12" s="49" t="str">
        <f>VLOOKUP("*"&amp;B12&amp;"*", directory_snapshot!A:A, 1, FALSE)</f>
        <v>Allens Tri State Mechanical_9620000037_RECON.xlsx</v>
      </c>
      <c r="D12" s="92">
        <f>VLOOKUP(B12, 'List of active SV'!A:A, 1, FALSE)</f>
        <v>9620000037</v>
      </c>
    </row>
    <row r="13" spans="1:4" x14ac:dyDescent="0.25">
      <c r="A13" s="2" t="s">
        <v>127</v>
      </c>
      <c r="B13" s="93">
        <v>9620000738</v>
      </c>
      <c r="C13" s="49" t="str">
        <f>VLOOKUP("*"&amp;B13&amp;"*", directory_snapshot!A:A, 1, FALSE)</f>
        <v>Associated Restaurant Services_9620000738, 9620000059_RECON.xlsx</v>
      </c>
      <c r="D13" s="92">
        <f>VLOOKUP(B13, 'List of active SV'!A:A, 1, FALSE)</f>
        <v>9620000738</v>
      </c>
    </row>
    <row r="14" spans="1:4" x14ac:dyDescent="0.25">
      <c r="A14" s="1" t="s">
        <v>128</v>
      </c>
      <c r="B14" s="92">
        <v>9620000062</v>
      </c>
      <c r="C14" s="49" t="str">
        <f>VLOOKUP("*"&amp;B14&amp;"*", directory_snapshot!A:A, 1, FALSE)</f>
        <v>A Tech Espresso_9620000062_RECON.xlsx</v>
      </c>
      <c r="D14" s="92">
        <f>VLOOKUP(B14, 'List of active SV'!A:A, 1, FALSE)</f>
        <v>9620000062</v>
      </c>
    </row>
    <row r="15" spans="1:4" x14ac:dyDescent="0.25">
      <c r="A15" s="2" t="s">
        <v>129</v>
      </c>
      <c r="B15" s="93">
        <v>9620000063</v>
      </c>
      <c r="C15" s="49" t="str">
        <f>VLOOKUP("*"&amp;B15&amp;"*", directory_snapshot!A:A, 1, FALSE)</f>
        <v>Atlantic Espresso Tech_9620000063_RECON.xlsx</v>
      </c>
      <c r="D15" s="92">
        <f>VLOOKUP(B15, 'List of active SV'!A:A, 1, FALSE)</f>
        <v>9620000063</v>
      </c>
    </row>
    <row r="16" spans="1:4" x14ac:dyDescent="0.25">
      <c r="A16" s="1" t="s">
        <v>130</v>
      </c>
      <c r="B16" s="92">
        <v>9620000071</v>
      </c>
      <c r="C16" s="49" t="str">
        <f>VLOOKUP("*"&amp;B16&amp;"*", directory_snapshot!A:A, 1, FALSE)</f>
        <v>B&amp;L Equipment Service, LLC_9620000071_RECON.xlsx</v>
      </c>
      <c r="D16" s="92">
        <f>VLOOKUP(B16, 'List of active SV'!A:A, 1, FALSE)</f>
        <v>9620000071</v>
      </c>
    </row>
    <row r="17" spans="1:4" x14ac:dyDescent="0.25">
      <c r="A17" s="2" t="s">
        <v>131</v>
      </c>
      <c r="B17" s="93">
        <v>9620000072</v>
      </c>
      <c r="C17" s="49" t="str">
        <f>VLOOKUP("*"&amp;B17&amp;"*", directory_snapshot!A:A, 1, FALSE)</f>
        <v>B.A.R.E. Repair_9620000072_RECON.xlsx</v>
      </c>
      <c r="D17" s="92">
        <f>VLOOKUP(B17, 'List of active SV'!A:A, 1, FALSE)</f>
        <v>9620000072</v>
      </c>
    </row>
    <row r="18" spans="1:4" x14ac:dyDescent="0.25">
      <c r="A18" s="1" t="s">
        <v>132</v>
      </c>
      <c r="B18" s="92">
        <v>9620000075</v>
      </c>
      <c r="C18" s="49" t="str">
        <f>VLOOKUP("*"&amp;B18&amp;"*", directory_snapshot!A:A, 1, FALSE)</f>
        <v>Bailey and Sons_9620000075_RECON.xlsx</v>
      </c>
      <c r="D18" s="92">
        <f>VLOOKUP(B18, 'List of active SV'!A:A, 1, FALSE)</f>
        <v>9620000075</v>
      </c>
    </row>
    <row r="19" spans="1:4" x14ac:dyDescent="0.25">
      <c r="A19" s="2" t="s">
        <v>18</v>
      </c>
      <c r="B19" s="93">
        <v>9620000077</v>
      </c>
      <c r="C19" s="49" t="str">
        <f>VLOOKUP("*"&amp;B19&amp;"*", directory_snapshot!A:A, 1, FALSE)</f>
        <v>Barbers Restaurant Equipment_9620000077_RECON.xlsx</v>
      </c>
      <c r="D19" s="92">
        <f>VLOOKUP(B19, 'List of active SV'!A:A, 1, FALSE)</f>
        <v>9620000077</v>
      </c>
    </row>
    <row r="20" spans="1:4" x14ac:dyDescent="0.25">
      <c r="A20" s="1" t="s">
        <v>133</v>
      </c>
      <c r="B20" s="92">
        <v>9620000078</v>
      </c>
      <c r="C20" s="49" t="str">
        <f>VLOOKUP("*"&amp;B20&amp;"*", directory_snapshot!A:A, 1, FALSE)</f>
        <v>Bay State Espresso LLC_9620000078_RECON.xlsx</v>
      </c>
      <c r="D20" s="92">
        <f>VLOOKUP(B20, 'List of active SV'!A:A, 1, FALSE)</f>
        <v>9620000078</v>
      </c>
    </row>
    <row r="21" spans="1:4" x14ac:dyDescent="0.25">
      <c r="A21" s="2" t="s">
        <v>20</v>
      </c>
      <c r="B21" s="93">
        <v>9620000080</v>
      </c>
      <c r="C21" s="49" t="str">
        <f>VLOOKUP("*"&amp;B21&amp;"*", directory_snapshot!A:A, 1, FALSE)</f>
        <v>BEAR Services_9620000080_RECON.xlsx</v>
      </c>
      <c r="D21" s="92">
        <f>VLOOKUP(B21, 'List of active SV'!A:A, 1, FALSE)</f>
        <v>9620000080</v>
      </c>
    </row>
    <row r="22" spans="1:4" x14ac:dyDescent="0.25">
      <c r="A22" s="1" t="s">
        <v>134</v>
      </c>
      <c r="B22" s="92">
        <v>9620000083</v>
      </c>
      <c r="C22" s="49" t="str">
        <f>VLOOKUP("*"&amp;B22&amp;"*", directory_snapshot!A:A, 1, FALSE)</f>
        <v>Bernard Mechanical_9620000083_RECON.xlsx</v>
      </c>
      <c r="D22" s="92">
        <f>VLOOKUP(B22, 'List of active SV'!A:A, 1, FALSE)</f>
        <v>9620000083</v>
      </c>
    </row>
    <row r="23" spans="1:4" x14ac:dyDescent="0.25">
      <c r="A23" s="2" t="s">
        <v>135</v>
      </c>
      <c r="B23" s="93">
        <v>9620000084</v>
      </c>
      <c r="C23" s="49" t="str">
        <f>VLOOKUP("*"&amp;B23&amp;"*", directory_snapshot!A:A, 1, FALSE)</f>
        <v>Best Beverage Equipment Service_9620000084_RECON.xlsx</v>
      </c>
      <c r="D23" s="92">
        <f>VLOOKUP(B23, 'List of active SV'!A:A, 1, FALSE)</f>
        <v>9620000084</v>
      </c>
    </row>
    <row r="24" spans="1:4" x14ac:dyDescent="0.25">
      <c r="A24" s="1" t="s">
        <v>136</v>
      </c>
      <c r="B24" s="92">
        <v>9620000087</v>
      </c>
      <c r="C24" s="49" t="str">
        <f>VLOOKUP("*"&amp;B24&amp;"*", directory_snapshot!A:A, 1, FALSE)</f>
        <v>BEST LLC (Best Equipment Service Technicians)_9620000087_Recon.xlsx</v>
      </c>
      <c r="D24" s="92">
        <f>VLOOKUP(B24, 'List of active SV'!A:A, 1, FALSE)</f>
        <v>9620000087</v>
      </c>
    </row>
    <row r="25" spans="1:4" x14ac:dyDescent="0.25">
      <c r="A25" s="2" t="s">
        <v>137</v>
      </c>
      <c r="B25" s="93">
        <v>9620000088</v>
      </c>
      <c r="C25" s="49" t="str">
        <f>VLOOKUP("*"&amp;B25&amp;"*", directory_snapshot!A:A, 1, FALSE)</f>
        <v>Bev Tech of Hawaii_9620000088_RECON.xlsx</v>
      </c>
      <c r="D25" s="92">
        <f>VLOOKUP(B25, 'List of active SV'!A:A, 1, FALSE)</f>
        <v>9620000088</v>
      </c>
    </row>
    <row r="26" spans="1:4" x14ac:dyDescent="0.25">
      <c r="A26" s="1" t="s">
        <v>138</v>
      </c>
      <c r="B26" s="92">
        <v>9620000089</v>
      </c>
      <c r="C26" s="49" t="str">
        <f>VLOOKUP("*"&amp;B26&amp;"*", directory_snapshot!A:A, 1, FALSE)</f>
        <v>B.E.S.I. Beverage Equipment Service, Inc. (Chariton, IA)_9620000089_Recon.xlsx</v>
      </c>
      <c r="D26" s="92">
        <f>VLOOKUP(B26, 'List of active SV'!A:A, 1, FALSE)</f>
        <v>9620000089</v>
      </c>
    </row>
    <row r="27" spans="1:4" x14ac:dyDescent="0.25">
      <c r="A27" s="2" t="s">
        <v>139</v>
      </c>
      <c r="B27" s="93">
        <v>9620000090</v>
      </c>
      <c r="C27" s="49" t="str">
        <f>VLOOKUP("*"&amp;B27&amp;"*", directory_snapshot!A:A, 1, FALSE)</f>
        <v>Beverage Equipment Services, Inc. (Memphis, TN)_9620000090_RECON.xlsx</v>
      </c>
      <c r="D27" s="92">
        <f>VLOOKUP(B27, 'List of active SV'!A:A, 1, FALSE)</f>
        <v>9620000090</v>
      </c>
    </row>
    <row r="28" spans="1:4" x14ac:dyDescent="0.25">
      <c r="A28" s="1" t="s">
        <v>249</v>
      </c>
      <c r="B28" s="92">
        <v>9620000092</v>
      </c>
      <c r="C28" s="49" t="str">
        <f>VLOOKUP("*"&amp;B28&amp;"*", directory_snapshot!A:A, 1, FALSE)</f>
        <v>Beverage Services Inc_9620000092_RECON.xlsx</v>
      </c>
      <c r="D28" s="92">
        <f>VLOOKUP(B28, 'List of active SV'!A:A, 1, FALSE)</f>
        <v>9620000092</v>
      </c>
    </row>
    <row r="29" spans="1:4" x14ac:dyDescent="0.25">
      <c r="A29" s="2" t="s">
        <v>23</v>
      </c>
      <c r="B29" s="93">
        <v>9620000093</v>
      </c>
      <c r="C29" s="49" t="str">
        <f>VLOOKUP("*"&amp;B29&amp;"*", directory_snapshot!A:A, 1, FALSE)</f>
        <v>Beverage Solutions_9620000093_RECON.xlsx</v>
      </c>
      <c r="D29" s="92">
        <f>VLOOKUP(B29, 'List of active SV'!A:A, 1, FALSE)</f>
        <v>9620000093</v>
      </c>
    </row>
    <row r="30" spans="1:4" x14ac:dyDescent="0.25">
      <c r="A30" s="1" t="s">
        <v>24</v>
      </c>
      <c r="B30" s="92">
        <v>9620050081</v>
      </c>
      <c r="C30" s="49" t="str">
        <f>VLOOKUP("*"&amp;B30&amp;"*", directory_snapshot!A:A, 1, FALSE)</f>
        <v>Beverage Systems Inc_9620050081_RECON.xlsx</v>
      </c>
      <c r="D30" s="92">
        <f>VLOOKUP(B30, 'List of active SV'!A:A, 1, FALSE)</f>
        <v>9620050081</v>
      </c>
    </row>
    <row r="31" spans="1:4" x14ac:dyDescent="0.25">
      <c r="A31" s="2" t="s">
        <v>437</v>
      </c>
      <c r="B31" s="93">
        <v>9620000094</v>
      </c>
      <c r="C31" s="49" t="str">
        <f>VLOOKUP("*"&amp;B31&amp;"*", directory_snapshot!A:A, 1, FALSE)</f>
        <v>Beverage Techs_9620000094_RECON.xlsx</v>
      </c>
      <c r="D31" s="92">
        <f>VLOOKUP(B31, 'List of active SV'!A:A, 1, FALSE)</f>
        <v>9620000094</v>
      </c>
    </row>
    <row r="32" spans="1:4" x14ac:dyDescent="0.25">
      <c r="A32" s="95" t="s">
        <v>140</v>
      </c>
      <c r="B32" s="92">
        <v>9620000745</v>
      </c>
      <c r="C32" s="49" t="str">
        <f>VLOOKUP("*"&amp;B32&amp;"*", directory_snapshot!A:A, 1, FALSE)</f>
        <v>Coffee Break Service dba BevTechs Fresno_9620000096, 9620000745_RECON.xlsx</v>
      </c>
      <c r="D32" s="92">
        <f>VLOOKUP(B32, 'List of active SV'!A:A, 1, FALSE)</f>
        <v>9620000745</v>
      </c>
    </row>
    <row r="33" spans="1:4" x14ac:dyDescent="0.25">
      <c r="A33" s="94" t="s">
        <v>141</v>
      </c>
      <c r="B33" s="93">
        <v>9620000097</v>
      </c>
      <c r="C33" s="49" t="str">
        <f>VLOOKUP("*"&amp;B33&amp;"*", directory_snapshot!A:A, 1, FALSE)</f>
        <v>Bev Tek (Albany)_9620000097_RECON.xlsx</v>
      </c>
      <c r="D33" s="92">
        <f>VLOOKUP(B33, 'List of active SV'!A:A, 1, FALSE)</f>
        <v>9620000097</v>
      </c>
    </row>
    <row r="34" spans="1:4" x14ac:dyDescent="0.25">
      <c r="A34" s="1" t="s">
        <v>25</v>
      </c>
      <c r="B34" s="92">
        <v>9620000100</v>
      </c>
      <c r="C34" s="49" t="str">
        <f>VLOOKUP("*"&amp;B34&amp;"*", directory_snapshot!A:A, 1, FALSE)</f>
        <v>Bildon Appliance_9620000100_RECON.xlsx</v>
      </c>
      <c r="D34" s="92">
        <f>VLOOKUP(B34, 'List of active SV'!A:A, 1, FALSE)</f>
        <v>9620000100</v>
      </c>
    </row>
    <row r="35" spans="1:4" x14ac:dyDescent="0.25">
      <c r="A35" s="2" t="s">
        <v>142</v>
      </c>
      <c r="B35" s="93">
        <v>9620000106</v>
      </c>
      <c r="C35" s="49" t="str">
        <f>VLOOKUP("*"&amp;B35&amp;"*", directory_snapshot!A:A, 1, FALSE)</f>
        <v>Blocks Commercial Kitchen_9620000106_RECON.xlsx</v>
      </c>
      <c r="D35" s="92">
        <f>VLOOKUP(B35, 'List of active SV'!A:A, 1, FALSE)</f>
        <v>9620000106</v>
      </c>
    </row>
    <row r="36" spans="1:4" x14ac:dyDescent="0.25">
      <c r="A36" s="1" t="s">
        <v>143</v>
      </c>
      <c r="B36" s="92">
        <v>9620047084</v>
      </c>
      <c r="C36" s="49" t="str">
        <f>VLOOKUP("*"&amp;B36&amp;"*", directory_snapshot!A:A, 1, FALSE)</f>
        <v>Bluemont Group dba Dunkin Donuts_9620047084_RECON.xlsx</v>
      </c>
      <c r="D36" s="92">
        <f>VLOOKUP(B36, 'List of active SV'!A:A, 1, FALSE)</f>
        <v>9620047084</v>
      </c>
    </row>
    <row r="37" spans="1:4" x14ac:dyDescent="0.25">
      <c r="A37" s="2" t="s">
        <v>144</v>
      </c>
      <c r="B37" s="93">
        <v>9620000124</v>
      </c>
      <c r="C37" s="49" t="str">
        <f>VLOOKUP("*"&amp;B37&amp;"*", directory_snapshot!A:A, 1, FALSE)</f>
        <v>Burneys Commercial Service Inc_9620000124_RECON.xlsx</v>
      </c>
      <c r="D37" s="92">
        <f>VLOOKUP(B37, 'List of active SV'!A:A, 1, FALSE)</f>
        <v>9620000124</v>
      </c>
    </row>
    <row r="38" spans="1:4" x14ac:dyDescent="0.25">
      <c r="A38" s="1" t="s">
        <v>145</v>
      </c>
      <c r="B38" s="92">
        <v>9620000125</v>
      </c>
      <c r="C38" s="49" t="str">
        <f>VLOOKUP("*"&amp;B38&amp;"*", directory_snapshot!A:A, 1, FALSE)</f>
        <v>Bush &amp; Ennis_9620000125_RECON.xlsx</v>
      </c>
      <c r="D38" s="92">
        <f>VLOOKUP(B38, 'List of active SV'!A:A, 1, FALSE)</f>
        <v>9620000125</v>
      </c>
    </row>
    <row r="39" spans="1:4" x14ac:dyDescent="0.25">
      <c r="A39" s="2" t="s">
        <v>27</v>
      </c>
      <c r="B39" s="93">
        <v>9620000127</v>
      </c>
      <c r="C39" s="49" t="str">
        <f>VLOOKUP("*"&amp;B39&amp;"*", directory_snapshot!A:A, 1, FALSE)</f>
        <v>C &amp; S Coffee Equipment_9620000127_RECON.xlsx</v>
      </c>
      <c r="D39" s="92">
        <f>VLOOKUP(B39, 'List of active SV'!A:A, 1, FALSE)</f>
        <v>9620000127</v>
      </c>
    </row>
    <row r="40" spans="1:4" x14ac:dyDescent="0.25">
      <c r="A40" s="1" t="s">
        <v>28</v>
      </c>
      <c r="B40" s="92">
        <v>9620000131</v>
      </c>
      <c r="C40" s="49" t="str">
        <f>VLOOKUP("*"&amp;B40&amp;"*", directory_snapshot!A:A, 1, FALSE)</f>
        <v>Caftec_9620000131_RECON.xlsx</v>
      </c>
      <c r="D40" s="92">
        <f>VLOOKUP(B40, 'List of active SV'!A:A, 1, FALSE)</f>
        <v>9620000131</v>
      </c>
    </row>
    <row r="41" spans="1:4" x14ac:dyDescent="0.25">
      <c r="A41" s="2" t="s">
        <v>146</v>
      </c>
      <c r="B41" s="93">
        <v>9620000133</v>
      </c>
      <c r="C41" s="49" t="str">
        <f>VLOOKUP("*"&amp;B41&amp;"*", directory_snapshot!A:A, 1, FALSE)</f>
        <v>Camp Service &amp; Parts, Inc_9620000133_RECON.xlsx</v>
      </c>
      <c r="D41" s="92">
        <f>VLOOKUP(B41, 'List of active SV'!A:A, 1, FALSE)</f>
        <v>9620000133</v>
      </c>
    </row>
    <row r="42" spans="1:4" x14ac:dyDescent="0.25">
      <c r="A42" s="96" t="s">
        <v>29</v>
      </c>
      <c r="B42" s="92">
        <v>9620000667</v>
      </c>
      <c r="C42" s="49" t="str">
        <f>VLOOKUP("*"&amp;B42&amp;"*", directory_snapshot!A:A, 1, FALSE)</f>
        <v>Cappuccino Connection_9620000136, 9620000667, 9620000893, 9620000894_RECON.xlsx</v>
      </c>
      <c r="D42" s="92">
        <f>VLOOKUP(B42, 'List of active SV'!A:A, 1, FALSE)</f>
        <v>9620000667</v>
      </c>
    </row>
    <row r="43" spans="1:4" x14ac:dyDescent="0.25">
      <c r="A43" s="2" t="s">
        <v>147</v>
      </c>
      <c r="B43" s="93">
        <v>9620000139</v>
      </c>
      <c r="C43" s="49" t="str">
        <f>VLOOKUP("*"&amp;B43&amp;"*", directory_snapshot!A:A, 1, FALSE)</f>
        <v>Carolina Beverage Solutions_9620000139_Recon.xlsx</v>
      </c>
      <c r="D43" s="92">
        <f>VLOOKUP(B43, 'List of active SV'!A:A, 1, FALSE)</f>
        <v>9620000139</v>
      </c>
    </row>
    <row r="44" spans="1:4" x14ac:dyDescent="0.25">
      <c r="A44" s="1" t="s">
        <v>148</v>
      </c>
      <c r="B44" s="92">
        <v>9620000183</v>
      </c>
      <c r="C44" s="49" t="str">
        <f>VLOOKUP("*"&amp;B44&amp;"*", directory_snapshot!A:A, 1, FALSE)</f>
        <v>Commercial Coffee Repairs_9620000183_RECON.xlsx</v>
      </c>
      <c r="D44" s="92">
        <f>VLOOKUP(B44, 'List of active SV'!A:A, 1, FALSE)</f>
        <v>9620000183</v>
      </c>
    </row>
    <row r="45" spans="1:4" x14ac:dyDescent="0.25">
      <c r="A45" s="2" t="s">
        <v>149</v>
      </c>
      <c r="B45" s="93">
        <v>9620000145</v>
      </c>
      <c r="C45" s="49" t="str">
        <f>VLOOKUP("*"&amp;B45&amp;"*", directory_snapshot!A:A, 1, FALSE)</f>
        <v>CDS Repairs_9620000145_Recon.xlsx</v>
      </c>
      <c r="D45" s="92">
        <f>VLOOKUP(B45, 'List of active SV'!A:A, 1, FALSE)</f>
        <v>9620000145</v>
      </c>
    </row>
    <row r="46" spans="1:4" x14ac:dyDescent="0.25">
      <c r="A46" s="1" t="s">
        <v>150</v>
      </c>
      <c r="B46" s="92">
        <v>9620000160</v>
      </c>
      <c r="C46" s="49" t="str">
        <f>VLOOKUP("*"&amp;B46&amp;"*", directory_snapshot!A:A, 1, FALSE)</f>
        <v>CMM Services LLC_9620000160_RECON.xlsx</v>
      </c>
      <c r="D46" s="92">
        <f>VLOOKUP(B46, 'List of active SV'!A:A, 1, FALSE)</f>
        <v>9620000160</v>
      </c>
    </row>
    <row r="47" spans="1:4" x14ac:dyDescent="0.25">
      <c r="A47" s="2" t="s">
        <v>151</v>
      </c>
      <c r="B47" s="93">
        <v>9620044379</v>
      </c>
      <c r="C47" s="49" t="str">
        <f>VLOOKUP("*"&amp;B47&amp;"*", directory_snapshot!A:A, 1, FALSE)</f>
        <v>Coda Coffee Company dba 9 Bar Tech Co_9620044379, 9620045801_RECON.xlsx</v>
      </c>
      <c r="D47" s="92">
        <f>VLOOKUP(B47, 'List of active SV'!A:A, 1, FALSE)</f>
        <v>9620044379</v>
      </c>
    </row>
    <row r="48" spans="1:4" x14ac:dyDescent="0.25">
      <c r="A48" s="1" t="s">
        <v>152</v>
      </c>
      <c r="B48" s="92">
        <v>9620046790</v>
      </c>
      <c r="C48" s="49" t="str">
        <f>VLOOKUP("*"&amp;B48&amp;"*", directory_snapshot!A:A, 1, FALSE)</f>
        <v>Coffee &amp; Tea Works_9620046790_RECON.xlsx</v>
      </c>
      <c r="D48" s="92">
        <f>VLOOKUP(B48, 'List of active SV'!A:A, 1, FALSE)</f>
        <v>9620046790</v>
      </c>
    </row>
    <row r="49" spans="1:4" x14ac:dyDescent="0.25">
      <c r="A49" s="2" t="s">
        <v>32</v>
      </c>
      <c r="B49" s="93">
        <v>9620000167</v>
      </c>
      <c r="C49" s="49" t="str">
        <f>VLOOKUP("*"&amp;B49&amp;"*", directory_snapshot!A:A, 1, FALSE)</f>
        <v>Coffee Doctors Inc._9620000167_RECON.xlsx</v>
      </c>
      <c r="D49" s="92">
        <f>VLOOKUP(B49, 'List of active SV'!A:A, 1, FALSE)</f>
        <v>9620000167</v>
      </c>
    </row>
    <row r="50" spans="1:4" x14ac:dyDescent="0.25">
      <c r="A50" s="1" t="s">
        <v>153</v>
      </c>
      <c r="B50" s="92">
        <v>9620000168</v>
      </c>
      <c r="C50" s="49" t="str">
        <f>VLOOKUP("*"&amp;B50&amp;"*", directory_snapshot!A:A, 1, FALSE)</f>
        <v>Coffee Express Inc. (WI)_9620000168_RECON.xlsx</v>
      </c>
      <c r="D50" s="92">
        <f>VLOOKUP(B50, 'List of active SV'!A:A, 1, FALSE)</f>
        <v>9620000168</v>
      </c>
    </row>
    <row r="51" spans="1:4" x14ac:dyDescent="0.25">
      <c r="A51" s="2" t="s">
        <v>154</v>
      </c>
      <c r="B51" s="93">
        <v>9620000172</v>
      </c>
      <c r="C51" s="49" t="str">
        <f>VLOOKUP("*"&amp;B51&amp;"*", directory_snapshot!A:A, 1, FALSE)</f>
        <v>Coffee Street Sales &amp; Service_9620000172_RECON.xlsx</v>
      </c>
      <c r="D51" s="92">
        <f>VLOOKUP(B51, 'List of active SV'!A:A, 1, FALSE)</f>
        <v>9620000172</v>
      </c>
    </row>
    <row r="52" spans="1:4" x14ac:dyDescent="0.25">
      <c r="A52" s="1" t="s">
        <v>155</v>
      </c>
      <c r="B52" s="92">
        <v>9620000174</v>
      </c>
      <c r="C52" s="49" t="str">
        <f>VLOOKUP("*"&amp;B52&amp;"*", directory_snapshot!A:A, 1, FALSE)</f>
        <v>Coffey Refrigeration_9620000174_RECON.xlsx</v>
      </c>
      <c r="D52" s="92">
        <f>VLOOKUP(B52, 'List of active SV'!A:A, 1, FALSE)</f>
        <v>9620000174</v>
      </c>
    </row>
    <row r="53" spans="1:4" x14ac:dyDescent="0.25">
      <c r="A53" s="94" t="s">
        <v>35</v>
      </c>
      <c r="B53" s="93">
        <v>9620000176</v>
      </c>
      <c r="C53" s="49" t="str">
        <f>VLOOKUP("*"&amp;B53&amp;"*", directory_snapshot!A:A, 1, FALSE)</f>
        <v>Colorado Coffee Techs_9620000176_RECON.xlsx</v>
      </c>
      <c r="D53" s="92">
        <f>VLOOKUP(B53, 'List of active SV'!A:A, 1, FALSE)</f>
        <v>9620000176</v>
      </c>
    </row>
    <row r="54" spans="1:4" x14ac:dyDescent="0.25">
      <c r="A54" s="1" t="s">
        <v>156</v>
      </c>
      <c r="B54" s="92">
        <v>9620000182</v>
      </c>
      <c r="C54" s="49" t="str">
        <f>VLOOKUP("*"&amp;B54&amp;"*", directory_snapshot!A:A, 1, FALSE)</f>
        <v>Commercial Beverage Equipment, Inc_9620000182_RECON.xlsx</v>
      </c>
      <c r="D54" s="92">
        <f>VLOOKUP(B54, 'List of active SV'!A:A, 1, FALSE)</f>
        <v>9620000182</v>
      </c>
    </row>
    <row r="55" spans="1:4" x14ac:dyDescent="0.25">
      <c r="A55" s="2" t="s">
        <v>38</v>
      </c>
      <c r="B55" s="93">
        <v>9620051785</v>
      </c>
      <c r="C55" s="49" t="str">
        <f>VLOOKUP("*"&amp;B55&amp;"*", directory_snapshot!A:A, 1, FALSE)</f>
        <v>Commercial Cooking Equipment_9620051785_RECON.xlsx</v>
      </c>
      <c r="D55" s="92">
        <f>VLOOKUP(B55, 'List of active SV'!A:A, 1, FALSE)</f>
        <v>9620051785</v>
      </c>
    </row>
    <row r="56" spans="1:4" x14ac:dyDescent="0.25">
      <c r="A56" s="1" t="s">
        <v>39</v>
      </c>
      <c r="B56" s="92">
        <v>9620000184</v>
      </c>
      <c r="C56" s="49" t="str">
        <f>VLOOKUP("*"&amp;B56&amp;"*", directory_snapshot!A:A, 1, FALSE)</f>
        <v>Commercial Equipment Services_9620000184_RECON.xlsx</v>
      </c>
      <c r="D56" s="92">
        <f>VLOOKUP(B56, 'List of active SV'!A:A, 1, FALSE)</f>
        <v>9620000184</v>
      </c>
    </row>
    <row r="57" spans="1:4" x14ac:dyDescent="0.25">
      <c r="A57" s="2" t="s">
        <v>157</v>
      </c>
      <c r="B57" s="93">
        <v>9620000186</v>
      </c>
      <c r="C57" s="49" t="str">
        <f>VLOOKUP("*"&amp;B57&amp;"*", directory_snapshot!A:A, 1, FALSE)</f>
        <v>Condaxis_9620000186_RECON.xlsx</v>
      </c>
      <c r="D57" s="92">
        <f>VLOOKUP(B57, 'List of active SV'!A:A, 1, FALSE)</f>
        <v>9620000186</v>
      </c>
    </row>
    <row r="58" spans="1:4" x14ac:dyDescent="0.25">
      <c r="A58" s="1" t="s">
        <v>158</v>
      </c>
      <c r="B58" s="92">
        <v>9620000192</v>
      </c>
      <c r="C58" s="49" t="str">
        <f>VLOOKUP("*"&amp;B58&amp;"*", directory_snapshot!A:A, 1, FALSE)</f>
        <v>Cora Italian Specialties_9620000192_RECON.xlsx</v>
      </c>
      <c r="D58" s="92">
        <f>VLOOKUP(B58, 'List of active SV'!A:A, 1, FALSE)</f>
        <v>9620000192</v>
      </c>
    </row>
    <row r="59" spans="1:4" x14ac:dyDescent="0.25">
      <c r="A59" s="2" t="s">
        <v>439</v>
      </c>
      <c r="B59" s="93">
        <v>9620000194</v>
      </c>
      <c r="C59" s="49" t="str">
        <f>VLOOKUP("*"&amp;B59&amp;"*", directory_snapshot!A:A, 1, FALSE)</f>
        <v>Corvis Distributing_9620000194_RECON.xlsx</v>
      </c>
      <c r="D59" s="92">
        <f>VLOOKUP(B59, 'List of active SV'!A:A, 1, FALSE)</f>
        <v>9620000194</v>
      </c>
    </row>
    <row r="60" spans="1:4" x14ac:dyDescent="0.25">
      <c r="A60" s="1" t="s">
        <v>41</v>
      </c>
      <c r="B60" s="92">
        <v>9620000208</v>
      </c>
      <c r="C60" s="49" t="str">
        <f>VLOOKUP("*"&amp;B60&amp;"*", directory_snapshot!A:A, 1, FALSE)</f>
        <v>Decatur Espresso_9620000208_RECON.xlsx</v>
      </c>
      <c r="D60" s="92">
        <f>VLOOKUP(B60, 'List of active SV'!A:A, 1, FALSE)</f>
        <v>9620000208</v>
      </c>
    </row>
    <row r="61" spans="1:4" x14ac:dyDescent="0.25">
      <c r="A61" s="2" t="s">
        <v>159</v>
      </c>
      <c r="B61" s="93">
        <v>9620000209</v>
      </c>
      <c r="C61" s="49" t="str">
        <f>VLOOKUP("*"&amp;B61&amp;"*", directory_snapshot!A:A, 1, FALSE)</f>
        <v>De Lucas_9620000209_RECON.xlsx</v>
      </c>
      <c r="D61" s="92">
        <f>VLOOKUP(B61, 'List of active SV'!A:A, 1, FALSE)</f>
        <v>9620000209</v>
      </c>
    </row>
    <row r="62" spans="1:4" x14ac:dyDescent="0.25">
      <c r="A62" s="1" t="s">
        <v>160</v>
      </c>
      <c r="B62" s="92">
        <v>9620000218</v>
      </c>
      <c r="C62" s="49" t="str">
        <f>VLOOKUP("*"&amp;B62&amp;"*", directory_snapshot!A:A, 1, FALSE)</f>
        <v>Dispenser Services_9620000218_RECON.xlsx</v>
      </c>
      <c r="D62" s="92">
        <f>VLOOKUP(B62, 'List of active SV'!A:A, 1, FALSE)</f>
        <v>9620000218</v>
      </c>
    </row>
    <row r="63" spans="1:4" x14ac:dyDescent="0.25">
      <c r="A63" s="2" t="s">
        <v>161</v>
      </c>
      <c r="B63" s="93">
        <v>9620035814</v>
      </c>
      <c r="C63" s="49" t="str">
        <f>VLOOKUP("*"&amp;B63&amp;"*", directory_snapshot!A:A, 1, FALSE)</f>
        <v>Do It All Maintenance Repair_9620035814, 9620056993_RECON.xlsx</v>
      </c>
      <c r="D63" s="92">
        <f>VLOOKUP(B63, 'List of active SV'!A:A, 1, FALSE)</f>
        <v>9620035814</v>
      </c>
    </row>
    <row r="64" spans="1:4" x14ac:dyDescent="0.25">
      <c r="A64" s="1" t="s">
        <v>162</v>
      </c>
      <c r="B64" s="92">
        <v>9620000224</v>
      </c>
      <c r="C64" s="49" t="str">
        <f>VLOOKUP("*"&amp;B64&amp;"*", directory_snapshot!A:A, 1, FALSE)</f>
        <v>Dolce Neve Inc._9620000224_RECON.xlsx</v>
      </c>
      <c r="D64" s="92">
        <f>VLOOKUP(B64, 'List of active SV'!A:A, 1, FALSE)</f>
        <v>9620000224</v>
      </c>
    </row>
    <row r="65" spans="1:4" x14ac:dyDescent="0.25">
      <c r="A65" s="2" t="s">
        <v>43</v>
      </c>
      <c r="B65" s="93">
        <v>9620000227</v>
      </c>
      <c r="C65" s="49" t="str">
        <f>VLOOKUP("*"&amp;B65&amp;"*", directory_snapshot!A:A, 1, FALSE)</f>
        <v>DRSS Ottawa_9620000227_RECON.xlsx</v>
      </c>
      <c r="D65" s="92">
        <f>VLOOKUP(B65, 'List of active SV'!A:A, 1, FALSE)</f>
        <v>9620000227</v>
      </c>
    </row>
    <row r="66" spans="1:4" x14ac:dyDescent="0.25">
      <c r="A66" s="1" t="s">
        <v>44</v>
      </c>
      <c r="B66" s="92">
        <v>9620000228</v>
      </c>
      <c r="C66" s="49" t="str">
        <f>VLOOKUP("*"&amp;B66&amp;"*", directory_snapshot!A:A, 1, FALSE)</f>
        <v>Duffys AIS_9620000228, 9620000783, 9620000784, 9620000785, 9620004467_RECON.xlsx</v>
      </c>
      <c r="D66" s="92">
        <f>VLOOKUP(B66, 'List of active SV'!A:A, 1, FALSE)</f>
        <v>9620000228</v>
      </c>
    </row>
    <row r="67" spans="1:4" x14ac:dyDescent="0.25">
      <c r="A67" s="2" t="s">
        <v>404</v>
      </c>
      <c r="B67" s="93">
        <v>9620046925</v>
      </c>
      <c r="C67" s="49" t="str">
        <f>VLOOKUP("*"&amp;B67&amp;"*", directory_snapshot!A:A, 1, FALSE)</f>
        <v>Duke Services_9620046925_Recon.xlsx</v>
      </c>
      <c r="D67" s="92">
        <f>VLOOKUP(B67, 'List of active SV'!A:A, 1, FALSE)</f>
        <v>9620046925</v>
      </c>
    </row>
    <row r="68" spans="1:4" x14ac:dyDescent="0.25">
      <c r="A68" s="1" t="s">
        <v>164</v>
      </c>
      <c r="B68" s="92">
        <v>9620000233</v>
      </c>
      <c r="C68" s="49" t="str">
        <f>VLOOKUP("*"&amp;B68&amp;"*", directory_snapshot!A:A, 1, FALSE)</f>
        <v>E.H. Services_9620000233_RECON.xlsx</v>
      </c>
      <c r="D68" s="92">
        <f>VLOOKUP(B68, 'List of active SV'!A:A, 1, FALSE)</f>
        <v>9620000233</v>
      </c>
    </row>
    <row r="69" spans="1:4" x14ac:dyDescent="0.25">
      <c r="A69" s="2" t="s">
        <v>165</v>
      </c>
      <c r="B69" s="93">
        <v>9620000246</v>
      </c>
      <c r="C69" s="49" t="str">
        <f>VLOOKUP("*"&amp;B69&amp;"*", directory_snapshot!A:A, 1, FALSE)</f>
        <v>EMR Services Ltd_9620000246_RECON.xlsx</v>
      </c>
      <c r="D69" s="92">
        <f>VLOOKUP(B69, 'List of active SV'!A:A, 1, FALSE)</f>
        <v>9620000246</v>
      </c>
    </row>
    <row r="70" spans="1:4" x14ac:dyDescent="0.25">
      <c r="A70" s="104" t="s">
        <v>166</v>
      </c>
      <c r="B70" s="92">
        <v>9620000254</v>
      </c>
      <c r="C70" s="49" t="str">
        <f>VLOOKUP("*"&amp;B70&amp;"*", directory_snapshot!A:A, 1, FALSE)</f>
        <v>Espresso Beverage Solutions_9620000254_Recon.xlsx</v>
      </c>
      <c r="D70" s="92">
        <f>VLOOKUP(B70, 'List of active SV'!A:A, 1, FALSE)</f>
        <v>9620000254</v>
      </c>
    </row>
    <row r="71" spans="1:4" x14ac:dyDescent="0.25">
      <c r="A71" s="2" t="s">
        <v>167</v>
      </c>
      <c r="B71" s="93">
        <v>9620000256</v>
      </c>
      <c r="C71" s="49" t="str">
        <f>VLOOKUP("*"&amp;B71&amp;"*", directory_snapshot!A:A, 1, FALSE)</f>
        <v>Espresso Coffee Direct_9620000256_Recon.xlsx</v>
      </c>
      <c r="D71" s="92">
        <f>VLOOKUP(B71, 'List of active SV'!A:A, 1, FALSE)</f>
        <v>9620000256</v>
      </c>
    </row>
    <row r="72" spans="1:4" x14ac:dyDescent="0.25">
      <c r="A72" s="1" t="s">
        <v>45</v>
      </c>
      <c r="B72" s="92">
        <v>9620000258</v>
      </c>
      <c r="C72" s="49" t="str">
        <f>VLOOKUP("*"&amp;B72&amp;"*", directory_snapshot!A:A, 1, FALSE)</f>
        <v>Espresso Express_9620000258_RECON.xlsx</v>
      </c>
      <c r="D72" s="92">
        <f>VLOOKUP(B72, 'List of active SV'!A:A, 1, FALSE)</f>
        <v>9620000258</v>
      </c>
    </row>
    <row r="73" spans="1:4" x14ac:dyDescent="0.25">
      <c r="A73" s="2" t="s">
        <v>46</v>
      </c>
      <c r="B73" s="93">
        <v>9620000260</v>
      </c>
      <c r="C73" s="49" t="str">
        <f>VLOOKUP("*"&amp;B73&amp;"*", directory_snapshot!A:A, 1, FALSE)</f>
        <v>Espresso Machine Experts_9620000260_RECON.xlsx</v>
      </c>
      <c r="D73" s="92">
        <f>VLOOKUP(B73, 'List of active SV'!A:A, 1, FALSE)</f>
        <v>9620000260</v>
      </c>
    </row>
    <row r="74" spans="1:4" x14ac:dyDescent="0.25">
      <c r="A74" s="1" t="s">
        <v>1155</v>
      </c>
      <c r="B74" s="92">
        <v>9620000262</v>
      </c>
      <c r="C74" s="49" t="str">
        <f>VLOOKUP("*"&amp;B74&amp;"*", directory_snapshot!A:A, 1, FALSE)</f>
        <v>Espresso ME Services_9620000262_Recon.xlsx</v>
      </c>
      <c r="D74" s="92">
        <f>B74</f>
        <v>9620000262</v>
      </c>
    </row>
    <row r="75" spans="1:4" x14ac:dyDescent="0.25">
      <c r="A75" s="2" t="s">
        <v>47</v>
      </c>
      <c r="B75" s="93">
        <v>9620000263</v>
      </c>
      <c r="C75" s="49" t="str">
        <f>VLOOKUP("*"&amp;B75&amp;"*", directory_snapshot!A:A, 1, FALSE)</f>
        <v>Espresso Medic_9620000263_Recon.xlsx</v>
      </c>
      <c r="D75" s="92">
        <f>VLOOKUP(B75, 'List of active SV'!A:A, 1, FALSE)</f>
        <v>9620000263</v>
      </c>
    </row>
    <row r="76" spans="1:4" x14ac:dyDescent="0.25">
      <c r="A76" s="1" t="s">
        <v>169</v>
      </c>
      <c r="B76" s="92">
        <v>9620000264</v>
      </c>
      <c r="C76" s="49" t="str">
        <f>VLOOKUP("*"&amp;B76&amp;"*", directory_snapshot!A:A, 1, FALSE)</f>
        <v>Espresso Mio_9620000264_RECON.xlsx</v>
      </c>
      <c r="D76" s="92">
        <f>VLOOKUP(B76, 'List of active SV'!A:A, 1, FALSE)</f>
        <v>9620000264</v>
      </c>
    </row>
    <row r="77" spans="1:4" x14ac:dyDescent="0.25">
      <c r="A77" s="2" t="s">
        <v>170</v>
      </c>
      <c r="B77" s="93">
        <v>9620000265</v>
      </c>
      <c r="C77" s="49" t="str">
        <f>VLOOKUP("*"&amp;B77&amp;"*", directory_snapshot!A:A, 1, FALSE)</f>
        <v>Espresso Partners_9620000265, 9620000795, 9620054094, 9620054095_RECON.xlsx</v>
      </c>
      <c r="D77" s="92">
        <f>VLOOKUP(B77, 'List of active SV'!A:A, 1, FALSE)</f>
        <v>9620000265</v>
      </c>
    </row>
    <row r="78" spans="1:4" x14ac:dyDescent="0.25">
      <c r="A78" s="1" t="s">
        <v>50</v>
      </c>
      <c r="B78" s="92">
        <v>9620000268</v>
      </c>
      <c r="C78" s="49" t="str">
        <f>VLOOKUP("*"&amp;B78&amp;"*", directory_snapshot!A:A, 1, FALSE)</f>
        <v>Espresso Services Inc._9620000268, 9620000267, 9620054084_RECON.xlsx</v>
      </c>
      <c r="D78" s="92">
        <f>VLOOKUP(B78, 'List of active SV'!A:A, 1, FALSE)</f>
        <v>9620000268</v>
      </c>
    </row>
    <row r="79" spans="1:4" x14ac:dyDescent="0.25">
      <c r="A79" s="2" t="s">
        <v>51</v>
      </c>
      <c r="B79" s="93">
        <v>9620000270</v>
      </c>
      <c r="C79" s="49" t="str">
        <f>VLOOKUP("*"&amp;B79&amp;"*", directory_snapshot!A:A, 1, FALSE)</f>
        <v>Espresso Solutions_9620000270, 9620000796, 9620000797_RECON.xlsx</v>
      </c>
      <c r="D79" s="92">
        <f>VLOOKUP(B79, 'List of active SV'!A:A, 1, FALSE)</f>
        <v>9620000270</v>
      </c>
    </row>
    <row r="80" spans="1:4" x14ac:dyDescent="0.25">
      <c r="A80" s="1" t="s">
        <v>52</v>
      </c>
      <c r="B80" s="92">
        <v>9620000271</v>
      </c>
      <c r="C80" s="49" t="str">
        <f>VLOOKUP("*"&amp;B80&amp;"*", directory_snapshot!A:A, 1, FALSE)</f>
        <v>Espresso Southeast_9620000271_RECON.xlsx</v>
      </c>
      <c r="D80" s="92">
        <f>VLOOKUP(B80, 'List of active SV'!A:A, 1, FALSE)</f>
        <v>9620000271</v>
      </c>
    </row>
    <row r="81" spans="1:4" x14ac:dyDescent="0.25">
      <c r="A81" s="2" t="s">
        <v>400</v>
      </c>
      <c r="B81" s="93">
        <v>9620000274</v>
      </c>
      <c r="C81" s="49" t="str">
        <f>VLOOKUP("*"&amp;B81&amp;"*", directory_snapshot!A:A, 1, FALSE)</f>
        <v>Espresso Tech (Luray, VA)_9620000274_RECON.xlsx</v>
      </c>
      <c r="D81" s="92">
        <f>VLOOKUP(B81, 'List of active SV'!A:A, 1, FALSE)</f>
        <v>9620000274</v>
      </c>
    </row>
    <row r="82" spans="1:4" x14ac:dyDescent="0.25">
      <c r="A82" s="1" t="s">
        <v>171</v>
      </c>
      <c r="B82" s="92">
        <v>9620000276</v>
      </c>
      <c r="C82" s="49" t="str">
        <f>VLOOKUP("*"&amp;B82&amp;"*", directory_snapshot!A:A, 1, FALSE)</f>
        <v>EspressoTech Solutions_9620000276, 9620000282_RECON.xlsx</v>
      </c>
      <c r="D82" s="92">
        <f>VLOOKUP(B82, 'List of active SV'!A:A, 1, FALSE)</f>
        <v>9620000276</v>
      </c>
    </row>
    <row r="83" spans="1:4" x14ac:dyDescent="0.25">
      <c r="A83" s="2" t="s">
        <v>53</v>
      </c>
      <c r="B83" s="93">
        <v>9620000279</v>
      </c>
      <c r="C83" s="49" t="str">
        <f>VLOOKUP("*"&amp;B83&amp;"*", directory_snapshot!A:A, 1, FALSE)</f>
        <v>Espresso Wrench_9620000279_RECON.xlsx</v>
      </c>
      <c r="D83" s="92">
        <f>VLOOKUP(B83, 'List of active SV'!A:A, 1, FALSE)</f>
        <v>9620000279</v>
      </c>
    </row>
    <row r="84" spans="1:4" x14ac:dyDescent="0.25">
      <c r="A84" s="96" t="s">
        <v>54</v>
      </c>
      <c r="B84" s="92">
        <v>9620000277</v>
      </c>
      <c r="C84" s="49" t="str">
        <f>VLOOKUP("*"&amp;B84&amp;"*", directory_snapshot!A:A, 1, FALSE)</f>
        <v>EspressoTech Service Company_9620000277_RECON.XLSX</v>
      </c>
      <c r="D84" s="92">
        <f>VLOOKUP(B84, 'List of active SV'!A:A, 1, FALSE)</f>
        <v>9620000277</v>
      </c>
    </row>
    <row r="85" spans="1:4" x14ac:dyDescent="0.25">
      <c r="A85" s="2" t="s">
        <v>172</v>
      </c>
      <c r="B85" s="93">
        <v>9620000294</v>
      </c>
      <c r="C85" s="49" t="str">
        <f>VLOOKUP("*"&amp;B85&amp;"*", directory_snapshot!A:A, 1, FALSE)</f>
        <v>FAS Parts &amp; Service_9620000294_RECON.xlsx</v>
      </c>
      <c r="D85" s="92">
        <f>VLOOKUP(B85, 'List of active SV'!A:A, 1, FALSE)</f>
        <v>9620000294</v>
      </c>
    </row>
    <row r="86" spans="1:4" x14ac:dyDescent="0.25">
      <c r="A86" s="1" t="s">
        <v>173</v>
      </c>
      <c r="B86" s="92">
        <v>9620046935</v>
      </c>
      <c r="C86" s="49" t="str">
        <f>VLOOKUP("*"&amp;B86&amp;"*", directory_snapshot!A:A, 1, FALSE)</f>
        <v>Fastcility_9620046935_RECON.xlsx</v>
      </c>
      <c r="D86" s="92">
        <f>VLOOKUP(B86, 'List of active SV'!A:A, 1, FALSE)</f>
        <v>9620046935</v>
      </c>
    </row>
    <row r="87" spans="1:4" x14ac:dyDescent="0.25">
      <c r="A87" s="2" t="s">
        <v>174</v>
      </c>
      <c r="B87" s="93">
        <v>9620000300</v>
      </c>
      <c r="C87" s="49" t="str">
        <f>VLOOKUP("*"&amp;B87&amp;"*", directory_snapshot!A:A, 1, FALSE)</f>
        <v>Ferolite Electric Inc._9620000300_RECON.xlsx</v>
      </c>
      <c r="D87" s="92">
        <f>VLOOKUP(B87, 'List of active SV'!A:A, 1, FALSE)</f>
        <v>9620000300</v>
      </c>
    </row>
    <row r="88" spans="1:4" x14ac:dyDescent="0.25">
      <c r="A88" s="1" t="s">
        <v>57</v>
      </c>
      <c r="B88" s="92">
        <v>9620000303</v>
      </c>
      <c r="C88" s="49" t="str">
        <f>VLOOKUP("*"&amp;B88&amp;"*", directory_snapshot!A:A, 1, FALSE)</f>
        <v>FESCO_9620000303, 9620000304, 9620000305_RECON.xlsx</v>
      </c>
      <c r="D88" s="92">
        <f>VLOOKUP(B88, 'List of active SV'!A:A, 1, FALSE)</f>
        <v>9620000303</v>
      </c>
    </row>
    <row r="89" spans="1:4" x14ac:dyDescent="0.25">
      <c r="A89" s="2" t="s">
        <v>58</v>
      </c>
      <c r="B89" s="93">
        <v>9620000307</v>
      </c>
      <c r="C89" s="49" t="str">
        <f>VLOOKUP("*"&amp;B89&amp;"*", directory_snapshot!A:A, 1, FALSE)</f>
        <v>Fix It Now 1 LLC_9620000307_RECON.xlsx</v>
      </c>
      <c r="D89" s="92">
        <f>VLOOKUP(B89, 'List of active SV'!A:A, 1, FALSE)</f>
        <v>9620000307</v>
      </c>
    </row>
    <row r="90" spans="1:4" x14ac:dyDescent="0.25">
      <c r="A90" s="1" t="s">
        <v>175</v>
      </c>
      <c r="B90" s="92">
        <v>9620000308</v>
      </c>
      <c r="C90" s="49" t="str">
        <f>VLOOKUP("*"&amp;B90&amp;"*", directory_snapshot!A:A, 1, FALSE)</f>
        <v>Fix-It Commercial Services_9620000308_RECON.xlsx</v>
      </c>
      <c r="D90" s="92">
        <f>VLOOKUP(B90, 'List of active SV'!A:A, 1, FALSE)</f>
        <v>9620000308</v>
      </c>
    </row>
    <row r="91" spans="1:4" x14ac:dyDescent="0.25">
      <c r="A91" s="97" t="s">
        <v>176</v>
      </c>
      <c r="B91" s="93">
        <v>9620000804</v>
      </c>
      <c r="C91" s="49" t="str">
        <f>VLOOKUP("*"&amp;B91&amp;"*", directory_snapshot!A:A, 1, FALSE)</f>
        <v>FoodService Concepts_9620000804_Recon.xlsx</v>
      </c>
      <c r="D91" s="92">
        <f>VLOOKUP(B91, 'List of active SV'!A:A, 1, FALSE)</f>
        <v>9620000804</v>
      </c>
    </row>
    <row r="92" spans="1:4" x14ac:dyDescent="0.25">
      <c r="A92" s="1" t="s">
        <v>177</v>
      </c>
      <c r="B92" s="92">
        <v>9620000323</v>
      </c>
      <c r="C92" s="49" t="str">
        <f>VLOOKUP("*"&amp;B92&amp;"*", directory_snapshot!A:A, 1, FALSE)</f>
        <v>Full City Coffee Roasters_9620000323_Recon.xlsx</v>
      </c>
      <c r="D92" s="92">
        <f>VLOOKUP(B92, 'List of active SV'!A:A, 1, FALSE)</f>
        <v>9620000323</v>
      </c>
    </row>
    <row r="93" spans="1:4" x14ac:dyDescent="0.25">
      <c r="A93" s="2" t="s">
        <v>60</v>
      </c>
      <c r="B93" s="93">
        <v>9620000324</v>
      </c>
      <c r="C93" s="49" t="str">
        <f>VLOOKUP("*"&amp;B93&amp;"*", directory_snapshot!A:A, 1, FALSE)</f>
        <v>Full Espresso Repair_9620000324_RECON.xlsx</v>
      </c>
      <c r="D93" s="92">
        <f>VLOOKUP(B93, 'List of active SV'!A:A, 1, FALSE)</f>
        <v>9620000324</v>
      </c>
    </row>
    <row r="94" spans="1:4" x14ac:dyDescent="0.25">
      <c r="A94" s="1" t="s">
        <v>61</v>
      </c>
      <c r="B94" s="92">
        <v>9620000326</v>
      </c>
      <c r="C94" s="49" t="str">
        <f>VLOOKUP("*"&amp;B94&amp;"*", directory_snapshot!A:A, 1, FALSE)</f>
        <v>G&amp;R Equipment Services_9620000326_RECON.xlsx</v>
      </c>
      <c r="D94" s="92">
        <f>VLOOKUP(B94, 'List of active SV'!A:A, 1, FALSE)</f>
        <v>9620000326</v>
      </c>
    </row>
    <row r="95" spans="1:4" x14ac:dyDescent="0.25">
      <c r="A95" s="2" t="s">
        <v>62</v>
      </c>
      <c r="B95" s="93">
        <v>9620048519</v>
      </c>
      <c r="C95" s="49" t="str">
        <f>VLOOKUP("*"&amp;B95&amp;"*", directory_snapshot!A:A, 1, FALSE)</f>
        <v>Gardner Service_9620048519_RECON.xlsx</v>
      </c>
      <c r="D95" s="92">
        <f>VLOOKUP(B95, 'List of active SV'!A:A, 1, FALSE)</f>
        <v>9620048519</v>
      </c>
    </row>
    <row r="96" spans="1:4" x14ac:dyDescent="0.25">
      <c r="A96" s="1" t="s">
        <v>178</v>
      </c>
      <c r="B96" s="92">
        <v>9620000329</v>
      </c>
      <c r="C96" s="49" t="str">
        <f>VLOOKUP("*"&amp;B96&amp;"*", directory_snapshot!A:A, 1, FALSE)</f>
        <v>Garys East Coast Service_9620000329_RECON.xlsx</v>
      </c>
      <c r="D96" s="92">
        <f>VLOOKUP(B96, 'List of active SV'!A:A, 1, FALSE)</f>
        <v>9620000329</v>
      </c>
    </row>
    <row r="97" spans="1:4" x14ac:dyDescent="0.25">
      <c r="A97" s="2" t="s">
        <v>179</v>
      </c>
      <c r="B97" s="93">
        <v>9620000331</v>
      </c>
      <c r="C97" s="49" t="str">
        <f>VLOOKUP("*"&amp;B97&amp;"*", directory_snapshot!A:A, 1, FALSE)</f>
        <v>General Parts _9620000331, 9620000807_RECON.xlsx</v>
      </c>
      <c r="D97" s="92">
        <f>VLOOKUP(B97, 'List of active SV'!A:A, 1, FALSE)</f>
        <v>9620000331</v>
      </c>
    </row>
    <row r="98" spans="1:4" x14ac:dyDescent="0.25">
      <c r="A98" s="1" t="s">
        <v>64</v>
      </c>
      <c r="B98" s="92">
        <v>9620000337</v>
      </c>
      <c r="C98" s="49" t="str">
        <f>VLOOKUP("*"&amp;B98&amp;"*", directory_snapshot!A:A, 1, FALSE)</f>
        <v>Gold Roast Coffee_9620000337_RECON.xlsx</v>
      </c>
      <c r="D98" s="92">
        <f>VLOOKUP(B98, 'List of active SV'!A:A, 1, FALSE)</f>
        <v>9620000337</v>
      </c>
    </row>
    <row r="99" spans="1:4" x14ac:dyDescent="0.25">
      <c r="A99" s="2" t="s">
        <v>180</v>
      </c>
      <c r="B99" s="93">
        <v>9620000339</v>
      </c>
      <c r="C99" s="49" t="str">
        <f>VLOOKUP("*"&amp;B99&amp;"*", directory_snapshot!A:A, 1, FALSE)</f>
        <v>Golden Valley Beverage_9620000339_RECON.xlsx</v>
      </c>
      <c r="D99" s="92">
        <f>VLOOKUP(B99, 'List of active SV'!A:A, 1, FALSE)</f>
        <v>9620000339</v>
      </c>
    </row>
    <row r="100" spans="1:4" x14ac:dyDescent="0.25">
      <c r="A100" s="1" t="s">
        <v>181</v>
      </c>
      <c r="B100" s="92">
        <v>9620000340</v>
      </c>
      <c r="C100" s="49" t="str">
        <f>VLOOKUP("*"&amp;B100&amp;"*", directory_snapshot!A:A, 1, FALSE)</f>
        <v>Goodwin Tucker Group_9620000340, 9620000817_RECON.xlsx</v>
      </c>
      <c r="D100" s="92">
        <f>VLOOKUP(B100, 'List of active SV'!A:A, 1, FALSE)</f>
        <v>9620000340</v>
      </c>
    </row>
    <row r="101" spans="1:4" x14ac:dyDescent="0.25">
      <c r="A101" s="2" t="s">
        <v>182</v>
      </c>
      <c r="B101" s="93">
        <v>9620000349</v>
      </c>
      <c r="C101" s="49" t="str">
        <f>VLOOKUP("*"&amp;B101&amp;"*", directory_snapshot!A:A, 1, FALSE)</f>
        <v>Gulf Ice_9620000349_RECON.xlsx</v>
      </c>
      <c r="D101" s="92">
        <f>VLOOKUP(B101, 'List of active SV'!A:A, 1, FALSE)</f>
        <v>9620000349</v>
      </c>
    </row>
    <row r="102" spans="1:4" x14ac:dyDescent="0.25">
      <c r="A102" s="1" t="s">
        <v>183</v>
      </c>
      <c r="B102" s="92">
        <v>9620000352</v>
      </c>
      <c r="C102" s="49" t="str">
        <f>VLOOKUP("*"&amp;B102&amp;"*", directory_snapshot!A:A, 1, FALSE)</f>
        <v>Hawaii Coffee Company dba Paradise Beverages_9620000352, 9620000818_RECON.xlsx</v>
      </c>
      <c r="D102" s="92">
        <f>VLOOKUP(B102, 'List of active SV'!A:A, 1, FALSE)</f>
        <v>9620000352</v>
      </c>
    </row>
    <row r="103" spans="1:4" x14ac:dyDescent="0.25">
      <c r="A103" s="2" t="s">
        <v>184</v>
      </c>
      <c r="B103" s="93">
        <v>9620000819</v>
      </c>
      <c r="C103" s="49" t="str">
        <f>VLOOKUP("*"&amp;B103&amp;"*", directory_snapshot!A:A, 1, FALSE)</f>
        <v>Haws Commerical Equip Repair_9620000819_Recon.xlsx</v>
      </c>
      <c r="D103" s="92">
        <f>VLOOKUP(B103, 'List of active SV'!A:A, 1, FALSE)</f>
        <v>9620000819</v>
      </c>
    </row>
    <row r="104" spans="1:4" x14ac:dyDescent="0.25">
      <c r="A104" s="1" t="s">
        <v>185</v>
      </c>
      <c r="B104" s="92">
        <v>9620000355</v>
      </c>
      <c r="C104" s="49" t="str">
        <f>VLOOKUP("*"&amp;B104&amp;"*", directory_snapshot!A:A, 1, FALSE)</f>
        <v>Heritage Foodservice Canada_9620000355_RECON.xlsx</v>
      </c>
      <c r="D104" s="92">
        <f>VLOOKUP(B104, 'List of active SV'!A:A, 1, FALSE)</f>
        <v>9620000355</v>
      </c>
    </row>
    <row r="105" spans="1:4" x14ac:dyDescent="0.25">
      <c r="A105" s="2" t="s">
        <v>186</v>
      </c>
      <c r="B105" s="93">
        <v>9620048515</v>
      </c>
      <c r="C105" s="49" t="str">
        <f>VLOOKUP("*"&amp;B105&amp;"*", directory_snapshot!A:A, 1, FALSE)</f>
        <v>Hot Side Service Company_9620048515_RECON.xlsx</v>
      </c>
      <c r="D105" s="92">
        <f>VLOOKUP(B105, 'List of active SV'!A:A, 1, FALSE)</f>
        <v>9620048515</v>
      </c>
    </row>
    <row r="106" spans="1:4" x14ac:dyDescent="0.25">
      <c r="A106" s="1" t="s">
        <v>187</v>
      </c>
      <c r="B106" s="92">
        <v>9620000365</v>
      </c>
      <c r="C106" s="49" t="str">
        <f>VLOOKUP("*"&amp;B106&amp;"*", directory_snapshot!A:A, 1, FALSE)</f>
        <v>ProCom Enterprises Inc. dba Hot Stuff_9620000365_RECON.xlsx</v>
      </c>
      <c r="D106" s="92">
        <f>VLOOKUP(B106, 'List of active SV'!A:A, 1, FALSE)</f>
        <v>9620000365</v>
      </c>
    </row>
    <row r="107" spans="1:4" x14ac:dyDescent="0.25">
      <c r="A107" s="2" t="s">
        <v>188</v>
      </c>
      <c r="B107" s="93">
        <v>9620000377</v>
      </c>
      <c r="C107" s="49" t="str">
        <f>VLOOKUP("*"&amp;B107&amp;"*", directory_snapshot!A:A, 1, FALSE)</f>
        <v>International Beverage Works_9620000377_RECON.xlsx</v>
      </c>
      <c r="D107" s="92">
        <f>VLOOKUP(B107, 'List of active SV'!A:A, 1, FALSE)</f>
        <v>9620000377</v>
      </c>
    </row>
    <row r="108" spans="1:4" x14ac:dyDescent="0.25">
      <c r="A108" s="1" t="s">
        <v>189</v>
      </c>
      <c r="B108" s="92">
        <v>9620000382</v>
      </c>
      <c r="C108" s="49" t="str">
        <f>VLOOKUP("*"&amp;B108&amp;"*", directory_snapshot!A:A, 1, FALSE)</f>
        <v>J &amp; J Coffee Services_9620000382_Recon.xlsx</v>
      </c>
      <c r="D108" s="92">
        <f>VLOOKUP(B108, 'List of active SV'!A:A, 1, FALSE)</f>
        <v>9620000382</v>
      </c>
    </row>
    <row r="109" spans="1:4" x14ac:dyDescent="0.25">
      <c r="A109" s="108" t="s">
        <v>190</v>
      </c>
      <c r="B109" s="93">
        <v>9620000384</v>
      </c>
      <c r="C109" s="49" t="str">
        <f>VLOOKUP("*"&amp;B109&amp;"*", directory_snapshot!A:A, 1, FALSE)</f>
        <v>Jaguar Coffee (FLORIDA)_9620000384_Recon.xlsx</v>
      </c>
      <c r="D109" s="92">
        <f>VLOOKUP(B109, 'List of active SV'!A:A, 1, FALSE)</f>
        <v>9620000384</v>
      </c>
    </row>
    <row r="110" spans="1:4" x14ac:dyDescent="0.25">
      <c r="A110" s="1" t="s">
        <v>191</v>
      </c>
      <c r="B110" s="92">
        <v>9620000385</v>
      </c>
      <c r="C110" s="49" t="str">
        <f>VLOOKUP("*"&amp;B110&amp;"*", directory_snapshot!A:A, 1, FALSE)</f>
        <v>Jaguar Coffee (Sugarland)_9620000385_RECON.xlsx</v>
      </c>
      <c r="D110" s="92">
        <f>VLOOKUP(B110, 'List of active SV'!A:A, 1, FALSE)</f>
        <v>9620000385</v>
      </c>
    </row>
    <row r="111" spans="1:4" x14ac:dyDescent="0.25">
      <c r="A111" s="2" t="s">
        <v>192</v>
      </c>
      <c r="B111" s="93">
        <v>9620000394</v>
      </c>
      <c r="C111" s="49" t="str">
        <f>VLOOKUP("*"&amp;B111&amp;"*", directory_snapshot!A:A, 1, FALSE)</f>
        <v>Jim Duke Services_9620000394_RECON.xlsx</v>
      </c>
      <c r="D111" s="92">
        <f>VLOOKUP(B111, 'List of active SV'!A:A, 1, FALSE)</f>
        <v>9620000394</v>
      </c>
    </row>
    <row r="112" spans="1:4" x14ac:dyDescent="0.25">
      <c r="A112" s="96" t="s">
        <v>193</v>
      </c>
      <c r="B112" s="92">
        <v>9620000395</v>
      </c>
      <c r="C112" s="49" t="str">
        <f>VLOOKUP("*"&amp;B112&amp;"*", directory_snapshot!A:A, 1, FALSE)</f>
        <v>Jitter Fix Coffee Services_9620000395_Recon.xlsx</v>
      </c>
      <c r="D112" s="92">
        <f>VLOOKUP(B112, 'List of active SV'!A:A, 1, FALSE)</f>
        <v>9620000395</v>
      </c>
    </row>
    <row r="113" spans="1:4" x14ac:dyDescent="0.25">
      <c r="A113" s="2" t="s">
        <v>250</v>
      </c>
      <c r="B113" s="93">
        <v>9620054532</v>
      </c>
      <c r="C113" s="49" t="str">
        <f>VLOOKUP("*"&amp;B113&amp;"*", directory_snapshot!A:A, 1, FALSE)</f>
        <v>Joe Warren &amp; Sons_9620056812, 9620054532_RECON.xlsx</v>
      </c>
      <c r="D113" s="92">
        <f>VLOOKUP(B113, 'List of active SV'!A:A, 1, FALSE)</f>
        <v>9620054532</v>
      </c>
    </row>
    <row r="114" spans="1:4" x14ac:dyDescent="0.25">
      <c r="A114" s="1" t="s">
        <v>194</v>
      </c>
      <c r="B114" s="92">
        <v>9620000397</v>
      </c>
      <c r="C114" s="49" t="str">
        <f>VLOOKUP("*"&amp;B114&amp;"*", directory_snapshot!A:A, 1, FALSE)</f>
        <v>Johnson Mechanical_9620000397_RECON.xlsx</v>
      </c>
      <c r="D114" s="92">
        <f>VLOOKUP(B114, 'List of active SV'!A:A, 1, FALSE)</f>
        <v>9620000397</v>
      </c>
    </row>
    <row r="115" spans="1:4" x14ac:dyDescent="0.25">
      <c r="A115" s="2" t="s">
        <v>195</v>
      </c>
      <c r="B115" s="93">
        <v>9620000399</v>
      </c>
      <c r="C115" s="49" t="str">
        <f>VLOOKUP("*"&amp;B115&amp;"*", directory_snapshot!A:A, 1, FALSE)</f>
        <v>Jones Enterprises_WMF_9620000399_Recon.xlsx</v>
      </c>
      <c r="D115" s="92">
        <f>VLOOKUP(B115, 'List of active SV'!A:A, 1, FALSE)</f>
        <v>9620000399</v>
      </c>
    </row>
    <row r="116" spans="1:4" x14ac:dyDescent="0.25">
      <c r="A116" s="1" t="s">
        <v>196</v>
      </c>
      <c r="B116" s="92">
        <v>9620000403</v>
      </c>
      <c r="C116" s="49" t="str">
        <f>VLOOKUP("*"&amp;B116&amp;"*", directory_snapshot!A:A, 1, FALSE)</f>
        <v>K &amp; B Beverage_9620000403_RECON.xlsx</v>
      </c>
      <c r="D116" s="92">
        <f>VLOOKUP(B116, 'List of active SV'!A:A, 1, FALSE)</f>
        <v>9620000403</v>
      </c>
    </row>
    <row r="117" spans="1:4" x14ac:dyDescent="0.25">
      <c r="A117" s="2" t="s">
        <v>197</v>
      </c>
      <c r="B117" s="93">
        <v>9620000405</v>
      </c>
      <c r="C117" s="49" t="str">
        <f>VLOOKUP("*"&amp;B117&amp;"*", directory_snapshot!A:A, 1, FALSE)</f>
        <v>K &amp; G Equipment Service_9620000405_RECON.xlsx</v>
      </c>
      <c r="D117" s="92">
        <f>VLOOKUP(B117, 'List of active SV'!A:A, 1, FALSE)</f>
        <v>9620000405</v>
      </c>
    </row>
    <row r="118" spans="1:4" x14ac:dyDescent="0.25">
      <c r="A118" s="1" t="s">
        <v>78</v>
      </c>
      <c r="B118" s="92">
        <v>9620000835</v>
      </c>
      <c r="C118" s="49" t="str">
        <f>VLOOKUP("*"&amp;B118&amp;"*", directory_snapshot!A:A, 1, FALSE)</f>
        <v>KD Service Group_9620000835, 9620000409, 9620000836_RECON.xlsx</v>
      </c>
      <c r="D118" s="92">
        <f>VLOOKUP(B118, 'List of active SV'!A:A, 1, FALSE)</f>
        <v>9620000835</v>
      </c>
    </row>
    <row r="119" spans="1:4" x14ac:dyDescent="0.25">
      <c r="A119" s="2" t="s">
        <v>198</v>
      </c>
      <c r="B119" s="93">
        <v>9620000410</v>
      </c>
      <c r="C119" s="49" t="str">
        <f>VLOOKUP("*"&amp;B119&amp;"*", directory_snapshot!A:A, 1, FALSE)</f>
        <v>Keep It Brewing_9620000410_RECON.xlsx</v>
      </c>
      <c r="D119" s="92">
        <f>VLOOKUP(B119, 'List of active SV'!A:A, 1, FALSE)</f>
        <v>9620000410</v>
      </c>
    </row>
    <row r="120" spans="1:4" x14ac:dyDescent="0.25">
      <c r="A120" s="1" t="s">
        <v>199</v>
      </c>
      <c r="B120" s="92">
        <v>9620000414</v>
      </c>
      <c r="C120" s="49" t="str">
        <f>VLOOKUP("*"&amp;B120&amp;"*", directory_snapshot!A:A, 1, FALSE)</f>
        <v>Kens Beverage_9620000837, 9620000838, 9620000414_RECON.xlsx</v>
      </c>
      <c r="D120" s="92">
        <f>VLOOKUP(B120, 'List of active SV'!A:A, 1, FALSE)</f>
        <v>9620000414</v>
      </c>
    </row>
    <row r="121" spans="1:4" x14ac:dyDescent="0.25">
      <c r="A121" s="2" t="s">
        <v>251</v>
      </c>
      <c r="B121" s="93">
        <v>9620054012</v>
      </c>
      <c r="C121" s="49" t="str">
        <f>VLOOKUP("*"&amp;B121&amp;"*", directory_snapshot!A:A, 1, FALSE)</f>
        <v>Liquid Ice_9620054012_RECON.xlsx</v>
      </c>
      <c r="D121" s="92">
        <f>VLOOKUP(B121, 'List of active SV'!A:A, 1, FALSE)</f>
        <v>9620054012</v>
      </c>
    </row>
    <row r="122" spans="1:4" x14ac:dyDescent="0.25">
      <c r="A122" s="1" t="s">
        <v>200</v>
      </c>
      <c r="B122" s="92">
        <v>9620000435</v>
      </c>
      <c r="C122" s="49" t="str">
        <f>VLOOKUP("*"&amp;B122&amp;"*", directory_snapshot!A:A, 1, FALSE)</f>
        <v>Liquiserve_9620000435, 53718, 53717, 847, 849, 843, 848, 850, 852, 53719, 851, 844, 846, 853, 854_RECON.xlsx</v>
      </c>
      <c r="D122" s="92">
        <f>VLOOKUP(B122, 'List of active SV'!A:A, 1, FALSE)</f>
        <v>9620000435</v>
      </c>
    </row>
    <row r="123" spans="1:4" x14ac:dyDescent="0.25">
      <c r="A123" s="2" t="s">
        <v>201</v>
      </c>
      <c r="B123" s="93">
        <v>9620000443</v>
      </c>
      <c r="C123" s="49" t="str">
        <f>VLOOKUP("*"&amp;B123&amp;"*", directory_snapshot!A:A, 1, FALSE)</f>
        <v>Luckys Repairs_9620000443_RECON.xlsx</v>
      </c>
      <c r="D123" s="92">
        <f>VLOOKUP(B123, 'List of active SV'!A:A, 1, FALSE)</f>
        <v>9620000443</v>
      </c>
    </row>
    <row r="124" spans="1:4" x14ac:dyDescent="0.25">
      <c r="A124" s="1" t="s">
        <v>448</v>
      </c>
      <c r="B124" s="92">
        <v>9620051177</v>
      </c>
      <c r="C124" s="49" t="str">
        <f>VLOOKUP("*"&amp;B124&amp;"*", directory_snapshot!A:A, 1, FALSE)</f>
        <v>Lunsford Electric_9620051177_RECON.xlsx</v>
      </c>
      <c r="D124" s="92">
        <f>VLOOKUP(B124, 'List of active SV'!A:A, 1, FALSE)</f>
        <v>9620051177</v>
      </c>
    </row>
    <row r="125" spans="1:4" x14ac:dyDescent="0.25">
      <c r="A125" s="2" t="s">
        <v>202</v>
      </c>
      <c r="B125" s="93">
        <v>9620000447</v>
      </c>
      <c r="C125" s="49" t="str">
        <f>VLOOKUP("*"&amp;B125&amp;"*", directory_snapshot!A:A, 1, FALSE)</f>
        <v>M &amp; S Refrigeration_9620000447_RECON.xlsx</v>
      </c>
      <c r="D125" s="92">
        <f>VLOOKUP(B125, 'List of active SV'!A:A, 1, FALSE)</f>
        <v>9620000447</v>
      </c>
    </row>
    <row r="126" spans="1:4" x14ac:dyDescent="0.25">
      <c r="A126" s="1" t="s">
        <v>203</v>
      </c>
      <c r="B126" s="92">
        <v>9620000449</v>
      </c>
      <c r="C126" s="49" t="str">
        <f>VLOOKUP("*"&amp;B126&amp;"*", directory_snapshot!A:A, 1, FALSE)</f>
        <v>MacDonald Restaurant Repair Service_9620000449_RECON.xlsx</v>
      </c>
      <c r="D126" s="92">
        <f>VLOOKUP(B126, 'List of active SV'!A:A, 1, FALSE)</f>
        <v>9620000449</v>
      </c>
    </row>
    <row r="127" spans="1:4" x14ac:dyDescent="0.25">
      <c r="A127" s="2" t="s">
        <v>86</v>
      </c>
      <c r="B127" s="93">
        <v>9620000456</v>
      </c>
      <c r="C127" s="49" t="str">
        <f>VLOOKUP("*"&amp;B127&amp;"*", directory_snapshot!A:A, 1, FALSE)</f>
        <v>Marshall Electric_9620000456_RECON.xlsx</v>
      </c>
      <c r="D127" s="92">
        <f>VLOOKUP(B127, 'List of active SV'!A:A, 1, FALSE)</f>
        <v>9620000456</v>
      </c>
    </row>
    <row r="128" spans="1:4" x14ac:dyDescent="0.25">
      <c r="A128" s="1" t="s">
        <v>204</v>
      </c>
      <c r="B128" s="92">
        <v>9620000459</v>
      </c>
      <c r="C128" s="49" t="str">
        <f>VLOOKUP("*"&amp;B128&amp;"*", directory_snapshot!A:A, 1, FALSE)</f>
        <v>Mask-et_9620000459_RECON.xlsx</v>
      </c>
      <c r="D128" s="92">
        <f>VLOOKUP(B128, 'List of active SV'!A:A, 1, FALSE)</f>
        <v>9620000459</v>
      </c>
    </row>
    <row r="129" spans="1:4" x14ac:dyDescent="0.25">
      <c r="A129" s="2" t="s">
        <v>205</v>
      </c>
      <c r="B129" s="93">
        <v>9620000460</v>
      </c>
      <c r="C129" s="49" t="str">
        <f>VLOOKUP("*"&amp;B129&amp;"*", directory_snapshot!A:A, 1, FALSE)</f>
        <v>McCarthy Food Equipment_9620000460_RECON.xlsx</v>
      </c>
      <c r="D129" s="92">
        <f>VLOOKUP(B129, 'List of active SV'!A:A, 1, FALSE)</f>
        <v>9620000460</v>
      </c>
    </row>
    <row r="130" spans="1:4" x14ac:dyDescent="0.25">
      <c r="A130" s="1" t="s">
        <v>401</v>
      </c>
      <c r="B130" s="92">
        <v>9620000462</v>
      </c>
      <c r="C130" s="49" t="str">
        <f>VLOOKUP("*"&amp;B130&amp;"*", directory_snapshot!A:A, 1, FALSE)</f>
        <v>McLeod Bros Mechanical_9620000462_RECON.xlsx</v>
      </c>
      <c r="D130" s="92">
        <f>VLOOKUP(B130, 'List of active SV'!A:A, 1, FALSE)</f>
        <v>9620000462</v>
      </c>
    </row>
    <row r="131" spans="1:4" x14ac:dyDescent="0.25">
      <c r="A131" s="2" t="s">
        <v>206</v>
      </c>
      <c r="B131" s="93">
        <v>9620000464</v>
      </c>
      <c r="C131" s="49" t="str">
        <f>VLOOKUP("*"&amp;B131&amp;"*", directory_snapshot!A:A, 1, FALSE)</f>
        <v>MEI Maintenance_9620000464, 9620000860, 9620000861, 9620000862, 9620000863, 9620000864, 9620000865, 9620000866_RECON.xlsx</v>
      </c>
      <c r="D131" s="92">
        <f>VLOOKUP(B131, 'List of active SV'!A:A, 1, FALSE)</f>
        <v>9620000464</v>
      </c>
    </row>
    <row r="132" spans="1:4" x14ac:dyDescent="0.25">
      <c r="A132" s="1" t="s">
        <v>90</v>
      </c>
      <c r="B132" s="92">
        <v>9620000467</v>
      </c>
      <c r="C132" s="49" t="str">
        <f>VLOOKUP("*"&amp;B132&amp;"*", directory_snapshot!A:A, 1, FALSE)</f>
        <v>Midwest Equipment_9620000467_RECON.xlsx</v>
      </c>
      <c r="D132" s="92">
        <f>VLOOKUP(B132, 'List of active SV'!A:A, 1, FALSE)</f>
        <v>9620000467</v>
      </c>
    </row>
    <row r="133" spans="1:4" x14ac:dyDescent="0.25">
      <c r="A133" s="2" t="s">
        <v>405</v>
      </c>
      <c r="B133" s="93">
        <v>9620000468</v>
      </c>
      <c r="C133" s="49" t="str">
        <f>VLOOKUP("*"&amp;B133&amp;"*", directory_snapshot!A:A, 1, FALSE)</f>
        <v>Mikes Electric Inc_9620000468_RECON.xlsx</v>
      </c>
      <c r="D133" s="92">
        <f>VLOOKUP(B133, 'List of active SV'!A:A, 1, FALSE)</f>
        <v>9620000468</v>
      </c>
    </row>
    <row r="134" spans="1:4" x14ac:dyDescent="0.25">
      <c r="A134" s="1" t="s">
        <v>207</v>
      </c>
      <c r="B134" s="92">
        <v>9620000498</v>
      </c>
      <c r="C134" s="49" t="str">
        <f>VLOOKUP("*"&amp;B134&amp;"*", directory_snapshot!A:A, 1, FALSE)</f>
        <v>Nola Coffee Repairs_9620000498_RECON.xlsx</v>
      </c>
      <c r="D134" s="92">
        <f>VLOOKUP(B134, 'List of active SV'!A:A, 1, FALSE)</f>
        <v>9620000498</v>
      </c>
    </row>
    <row r="135" spans="1:4" x14ac:dyDescent="0.25">
      <c r="A135" s="2" t="s">
        <v>208</v>
      </c>
      <c r="B135" s="93">
        <v>9620047085</v>
      </c>
      <c r="C135" s="49" t="str">
        <f>VLOOKUP("*"&amp;B135&amp;"*", directory_snapshot!A:A, 1, FALSE)</f>
        <v>North Coast Service Solutions_9620047085_RECON.xlsx</v>
      </c>
      <c r="D135" s="92">
        <f>VLOOKUP(B135, 'List of active SV'!A:A, 1, FALSE)</f>
        <v>9620047085</v>
      </c>
    </row>
    <row r="136" spans="1:4" x14ac:dyDescent="0.25">
      <c r="A136" s="1" t="s">
        <v>209</v>
      </c>
      <c r="B136" s="92">
        <v>9620000503</v>
      </c>
      <c r="C136" s="49" t="str">
        <f>VLOOKUP("*"&amp;B136&amp;"*", directory_snapshot!A:A, 1, FALSE)</f>
        <v>North Star Repair Alberta Ltd_9620000503_RECON.xlsx</v>
      </c>
      <c r="D136" s="92">
        <f>VLOOKUP(B136, 'List of active SV'!A:A, 1, FALSE)</f>
        <v>9620000503</v>
      </c>
    </row>
    <row r="137" spans="1:4" x14ac:dyDescent="0.25">
      <c r="A137" s="2" t="s">
        <v>210</v>
      </c>
      <c r="B137" s="93">
        <v>9620000509</v>
      </c>
      <c r="C137" s="49" t="str">
        <f>VLOOKUP("*"&amp;B137&amp;"*", directory_snapshot!A:A, 1, FALSE)</f>
        <v>Opus Espresso Service &amp; Sales_9620000509_RECON.xlsx</v>
      </c>
      <c r="D137" s="92">
        <f>VLOOKUP(B137, 'List of active SV'!A:A, 1, FALSE)</f>
        <v>9620000509</v>
      </c>
    </row>
    <row r="138" spans="1:4" x14ac:dyDescent="0.25">
      <c r="A138" s="1" t="s">
        <v>92</v>
      </c>
      <c r="B138" s="92">
        <v>9620000869</v>
      </c>
      <c r="C138" s="49" t="str">
        <f>VLOOKUP("*"&amp;B138&amp;"*", directory_snapshot!A:A, 1, FALSE)</f>
        <v>Perfect Brew_9620000869_Recon.xlsx</v>
      </c>
      <c r="D138" s="92">
        <f>VLOOKUP(B138, 'List of active SV'!A:A, 1, FALSE)</f>
        <v>9620000869</v>
      </c>
    </row>
    <row r="139" spans="1:4" x14ac:dyDescent="0.25">
      <c r="A139" s="2" t="s">
        <v>211</v>
      </c>
      <c r="B139" s="93">
        <v>9620000522</v>
      </c>
      <c r="C139" s="49" t="str">
        <f>VLOOKUP("*"&amp;B139&amp;"*", directory_snapshot!A:A, 1, FALSE)</f>
        <v>Phoenix Refrigeration_9620000522_RECON.xlsx</v>
      </c>
      <c r="D139" s="92">
        <f>VLOOKUP(B139, 'List of active SV'!A:A, 1, FALSE)</f>
        <v>9620000522</v>
      </c>
    </row>
    <row r="140" spans="1:4" x14ac:dyDescent="0.25">
      <c r="A140" s="1" t="s">
        <v>212</v>
      </c>
      <c r="B140" s="92">
        <v>9620000523</v>
      </c>
      <c r="C140" s="49" t="str">
        <f>VLOOKUP("*"&amp;B140&amp;"*", directory_snapshot!A:A, 1, FALSE)</f>
        <v>PineTree Food Equip_ 9620000523_Recon.xlsx</v>
      </c>
      <c r="D140" s="92">
        <f>VLOOKUP(B140, 'List of active SV'!A:A, 1, FALSE)</f>
        <v>9620000523</v>
      </c>
    </row>
    <row r="141" spans="1:4" x14ac:dyDescent="0.25">
      <c r="A141" s="2" t="s">
        <v>213</v>
      </c>
      <c r="B141" s="93">
        <v>9620000527</v>
      </c>
      <c r="C141" s="49" t="str">
        <f>VLOOKUP("*"&amp;B141&amp;"*", directory_snapshot!A:A, 1, FALSE)</f>
        <v>Platinum Beverage Services LLC_9620000527_RECON.xlsx</v>
      </c>
      <c r="D141" s="92">
        <f>VLOOKUP(B141, 'List of active SV'!A:A, 1, FALSE)</f>
        <v>9620000527</v>
      </c>
    </row>
    <row r="142" spans="1:4" x14ac:dyDescent="0.25">
      <c r="A142" s="1" t="s">
        <v>214</v>
      </c>
      <c r="B142" s="92">
        <v>9620000535</v>
      </c>
      <c r="C142" s="49" t="str">
        <f>VLOOKUP("*"&amp;B142&amp;"*", directory_snapshot!A:A, 1, FALSE)</f>
        <v>PrestigeTechnicalService_9620000535_Recon.xlsx</v>
      </c>
      <c r="D142" s="92">
        <f>VLOOKUP(B142, 'List of active SV'!A:A, 1, FALSE)</f>
        <v>9620000535</v>
      </c>
    </row>
    <row r="143" spans="1:4" x14ac:dyDescent="0.25">
      <c r="A143" s="2" t="s">
        <v>215</v>
      </c>
      <c r="B143" s="93">
        <v>9620000536</v>
      </c>
      <c r="C143" s="49" t="str">
        <f>VLOOKUP("*"&amp;B143&amp;"*", directory_snapshot!A:A, 1, FALSE)</f>
        <v>Pride Commerical Appliance Service_9620000536_RECON.xlsx</v>
      </c>
      <c r="D143" s="92">
        <f>VLOOKUP(B143, 'List of active SV'!A:A, 1, FALSE)</f>
        <v>9620000536</v>
      </c>
    </row>
    <row r="144" spans="1:4" x14ac:dyDescent="0.25">
      <c r="A144" s="1" t="s">
        <v>216</v>
      </c>
      <c r="B144" s="92">
        <v>9620000545</v>
      </c>
      <c r="C144" s="49" t="str">
        <f>VLOOKUP("*"&amp;B144&amp;"*", directory_snapshot!A:A, 1, FALSE)</f>
        <v>Quality Coffee Services_9620000545_RECON.xlsx</v>
      </c>
      <c r="D144" s="92">
        <f>VLOOKUP(B144, 'List of active SV'!A:A, 1, FALSE)</f>
        <v>9620000545</v>
      </c>
    </row>
    <row r="145" spans="1:4" x14ac:dyDescent="0.25">
      <c r="A145" s="2" t="s">
        <v>217</v>
      </c>
      <c r="B145" s="93">
        <v>9620000552</v>
      </c>
      <c r="C145" s="49" t="str">
        <f>VLOOKUP("*"&amp;B145&amp;"*", directory_snapshot!A:A, 1, FALSE)</f>
        <v>RAMCO Freezer Services &amp; Sales_9620000552_RECON.xlsx</v>
      </c>
      <c r="D145" s="92">
        <f>VLOOKUP(B145, 'List of active SV'!A:A, 1, FALSE)</f>
        <v>9620000552</v>
      </c>
    </row>
    <row r="146" spans="1:4" x14ac:dyDescent="0.25">
      <c r="A146" s="1" t="s">
        <v>218</v>
      </c>
      <c r="B146" s="92">
        <v>9620000556</v>
      </c>
      <c r="C146" s="49" t="str">
        <f>VLOOKUP("*"&amp;B146&amp;"*", directory_snapshot!A:A, 1, FALSE)</f>
        <v>Red Rock_9620000556_RECON.xlsx</v>
      </c>
      <c r="D146" s="92">
        <f>VLOOKUP(B146, 'List of active SV'!A:A, 1, FALSE)</f>
        <v>9620000556</v>
      </c>
    </row>
    <row r="147" spans="1:4" x14ac:dyDescent="0.25">
      <c r="A147" s="2" t="s">
        <v>219</v>
      </c>
      <c r="B147" s="93">
        <v>9620050814</v>
      </c>
      <c r="C147" s="49" t="str">
        <f>VLOOKUP("*"&amp;B147&amp;"*", directory_snapshot!A:A, 1, FALSE)</f>
        <v>Red Fox_9620050814_RECON.xlsx</v>
      </c>
      <c r="D147" s="92">
        <f>VLOOKUP(B147, 'List of active SV'!A:A, 1, FALSE)</f>
        <v>9620050814</v>
      </c>
    </row>
    <row r="148" spans="1:4" x14ac:dyDescent="0.25">
      <c r="A148" s="1" t="s">
        <v>98</v>
      </c>
      <c r="B148" s="92">
        <v>9620000563</v>
      </c>
      <c r="C148" s="49" t="str">
        <f>VLOOKUP("*"&amp;B148&amp;"*", directory_snapshot!A:A, 1, FALSE)</f>
        <v>Reliable Service Company_9620000563_Recon.xlsx</v>
      </c>
      <c r="D148" s="92">
        <f>VLOOKUP(B148, 'List of active SV'!A:A, 1, FALSE)</f>
        <v>9620000563</v>
      </c>
    </row>
    <row r="149" spans="1:4" x14ac:dyDescent="0.25">
      <c r="A149" s="2" t="s">
        <v>99</v>
      </c>
      <c r="B149" s="93">
        <v>9620000567</v>
      </c>
      <c r="C149" s="49" t="str">
        <f>VLOOKUP("*"&amp;B149&amp;"*", directory_snapshot!A:A, 1, FALSE)</f>
        <v>Repair Force Corp_9620000567_RECON.xlsx</v>
      </c>
      <c r="D149" s="92">
        <f>VLOOKUP(B149, 'List of active SV'!A:A, 1, FALSE)</f>
        <v>9620000567</v>
      </c>
    </row>
    <row r="150" spans="1:4" x14ac:dyDescent="0.25">
      <c r="A150" s="1" t="s">
        <v>221</v>
      </c>
      <c r="B150" s="92">
        <v>9620000569</v>
      </c>
      <c r="C150" s="49" t="str">
        <f>VLOOKUP("*"&amp;B150&amp;"*", directory_snapshot!A:A, 1, FALSE)</f>
        <v>RESCO (Tulsa)_9620000569_RECON.xlsx</v>
      </c>
      <c r="D150" s="92">
        <f>VLOOKUP(B150, 'List of active SV'!A:A, 1, FALSE)</f>
        <v>9620000569</v>
      </c>
    </row>
    <row r="151" spans="1:4" x14ac:dyDescent="0.25">
      <c r="A151" s="2" t="s">
        <v>222</v>
      </c>
      <c r="B151" s="93">
        <v>9620000570</v>
      </c>
      <c r="C151" s="49" t="str">
        <f>VLOOKUP("*"&amp;B151&amp;"*", directory_snapshot!A:A, 1, FALSE)</f>
        <v>Rescue 1 Espresso_9620000570_RECON.xlsx</v>
      </c>
      <c r="D151" s="92">
        <f>VLOOKUP(B151, 'List of active SV'!A:A, 1, FALSE)</f>
        <v>9620000570</v>
      </c>
    </row>
    <row r="152" spans="1:4" x14ac:dyDescent="0.25">
      <c r="A152" s="1" t="s">
        <v>223</v>
      </c>
      <c r="B152" s="92">
        <v>9620000574</v>
      </c>
      <c r="C152" s="49" t="str">
        <f>VLOOKUP("*"&amp;B152&amp;"*", directory_snapshot!A:A, 1, FALSE)</f>
        <v>Rice Equipment Services_9620000574_RECON.xlsx</v>
      </c>
      <c r="D152" s="92">
        <f>VLOOKUP(B152, 'List of active SV'!A:A, 1, FALSE)</f>
        <v>9620000574</v>
      </c>
    </row>
    <row r="153" spans="1:4" x14ac:dyDescent="0.25">
      <c r="A153" s="2" t="s">
        <v>224</v>
      </c>
      <c r="B153" s="93">
        <v>9620000576</v>
      </c>
      <c r="C153" s="49" t="str">
        <f>VLOOKUP("*"&amp;B153&amp;"*", directory_snapshot!A:A, 1, FALSE)</f>
        <v>Riviera Maintenance_9620000576_RECON.xlsx</v>
      </c>
      <c r="D153" s="92">
        <f>VLOOKUP(B153, 'List of active SV'!A:A, 1, FALSE)</f>
        <v>9620000576</v>
      </c>
    </row>
    <row r="154" spans="1:4" x14ac:dyDescent="0.25">
      <c r="A154" s="1" t="s">
        <v>225</v>
      </c>
      <c r="B154" s="92">
        <v>9620000577</v>
      </c>
      <c r="C154" s="49" t="str">
        <f>VLOOKUP("*"&amp;B154&amp;"*", directory_snapshot!A:A, 1, FALSE)</f>
        <v>RMS Mechanical Services, Inc_9620000577_RECON.xlsx</v>
      </c>
      <c r="D154" s="92">
        <f>VLOOKUP(B154, 'List of active SV'!A:A, 1, FALSE)</f>
        <v>9620000577</v>
      </c>
    </row>
    <row r="155" spans="1:4" x14ac:dyDescent="0.25">
      <c r="A155" s="2" t="s">
        <v>101</v>
      </c>
      <c r="B155" s="93">
        <v>9620000584</v>
      </c>
      <c r="C155" s="49" t="str">
        <f>VLOOKUP("*"&amp;B155&amp;"*", directory_snapshot!A:A, 1, FALSE)</f>
        <v>Russell Hendrix_9620000584, 9620000585_RECON.xlsx</v>
      </c>
      <c r="D155" s="92">
        <f>VLOOKUP(B155, 'List of active SV'!A:A, 1, FALSE)</f>
        <v>9620000584</v>
      </c>
    </row>
    <row r="156" spans="1:4" x14ac:dyDescent="0.25">
      <c r="A156" s="1" t="s">
        <v>226</v>
      </c>
      <c r="B156" s="92">
        <v>9620000586</v>
      </c>
      <c r="C156" s="49" t="str">
        <f>VLOOKUP("*"&amp;B156&amp;"*", directory_snapshot!A:A, 1, FALSE)</f>
        <v>Rustinis_9620000586_RECON.xlsx</v>
      </c>
      <c r="D156" s="92">
        <f>VLOOKUP(B156, 'List of active SV'!A:A, 1, FALSE)</f>
        <v>9620000586</v>
      </c>
    </row>
    <row r="157" spans="1:4" x14ac:dyDescent="0.25">
      <c r="A157" s="2" t="s">
        <v>449</v>
      </c>
      <c r="B157" s="93">
        <v>9620000589</v>
      </c>
      <c r="C157" s="49" t="str">
        <f>VLOOKUP("*"&amp;B157&amp;"*", directory_snapshot!A:A, 1, FALSE)</f>
        <v>S&amp;S Services Inc_9620000589_RECON.xlsx</v>
      </c>
      <c r="D157" s="92">
        <f>VLOOKUP(B157, 'List of active SV'!A:A, 1, FALSE)</f>
        <v>9620000589</v>
      </c>
    </row>
    <row r="158" spans="1:4" x14ac:dyDescent="0.25">
      <c r="A158" s="1" t="s">
        <v>227</v>
      </c>
      <c r="B158" s="92">
        <v>9620000590</v>
      </c>
      <c r="C158" s="49" t="str">
        <f>VLOOKUP("*"&amp;B158&amp;"*", directory_snapshot!A:A, 1, FALSE)</f>
        <v>Sagebrush Repair_9620000590_RECON.xlsx</v>
      </c>
      <c r="D158" s="92">
        <f>VLOOKUP(B158, 'List of active SV'!A:A, 1, FALSE)</f>
        <v>9620000590</v>
      </c>
    </row>
    <row r="159" spans="1:4" x14ac:dyDescent="0.25">
      <c r="A159" s="2" t="s">
        <v>228</v>
      </c>
      <c r="B159" s="93">
        <v>9620047083</v>
      </c>
      <c r="C159" s="49" t="str">
        <f>VLOOKUP("*"&amp;B159&amp;"*", directory_snapshot!A:A, 1, FALSE)</f>
        <v>Santos Repairs_9620047083_Recon.xlsx</v>
      </c>
      <c r="D159" s="92">
        <f>VLOOKUP(B159, 'List of active SV'!A:A, 1, FALSE)</f>
        <v>9620047083</v>
      </c>
    </row>
    <row r="160" spans="1:4" x14ac:dyDescent="0.25">
      <c r="A160" s="1" t="s">
        <v>229</v>
      </c>
      <c r="B160" s="92">
        <v>9620000601</v>
      </c>
      <c r="C160" s="49" t="str">
        <f>VLOOKUP("*"&amp;B160&amp;"*", directory_snapshot!A:A, 1, FALSE)</f>
        <v>Service Associates_9620000601, 9620000882_RECON.xlsx</v>
      </c>
      <c r="D160" s="92">
        <f>VLOOKUP(B160, 'List of active SV'!A:A, 1, FALSE)</f>
        <v>9620000601</v>
      </c>
    </row>
    <row r="161" spans="1:4" x14ac:dyDescent="0.25">
      <c r="A161" s="2" t="s">
        <v>402</v>
      </c>
      <c r="B161" s="93">
        <v>9620000611</v>
      </c>
      <c r="C161" s="49" t="str">
        <f>VLOOKUP("*"&amp;B161&amp;"*", directory_snapshot!A:A, 1, FALSE)</f>
        <v>Six Degrees Coffee_9620000611_RECON.xlsx</v>
      </c>
      <c r="D161" s="92">
        <f>VLOOKUP(B161, 'List of active SV'!A:A, 1, FALSE)</f>
        <v>9620000611</v>
      </c>
    </row>
    <row r="162" spans="1:4" x14ac:dyDescent="0.25">
      <c r="A162" s="1" t="s">
        <v>230</v>
      </c>
      <c r="B162" s="92">
        <v>9620000614</v>
      </c>
      <c r="C162" s="49" t="str">
        <f>VLOOKUP("*"&amp;B162&amp;"*", directory_snapshot!A:A, 1, FALSE)</f>
        <v>Solutions Espresso Services_9620000614_RECON.xlsx</v>
      </c>
      <c r="D162" s="92">
        <f>VLOOKUP(B162, 'List of active SV'!A:A, 1, FALSE)</f>
        <v>9620000614</v>
      </c>
    </row>
    <row r="163" spans="1:4" x14ac:dyDescent="0.25">
      <c r="A163" s="2" t="s">
        <v>489</v>
      </c>
      <c r="B163" s="93">
        <v>9620000622</v>
      </c>
      <c r="C163" s="49" t="str">
        <f>VLOOKUP("*"&amp;B163&amp;"*", directory_snapshot!A:A, 1, FALSE)</f>
        <v>Specialty Beverage Solutions Inc._9620000622_RECON.xlsx</v>
      </c>
      <c r="D163" s="92">
        <f>VLOOKUP(B163, 'List of active SV'!A:A, 1, FALSE)</f>
        <v>9620000622</v>
      </c>
    </row>
    <row r="164" spans="1:4" x14ac:dyDescent="0.25">
      <c r="A164" s="1" t="s">
        <v>231</v>
      </c>
      <c r="B164" s="92">
        <v>9620000638</v>
      </c>
      <c r="C164" s="49" t="str">
        <f>VLOOKUP("*"&amp;B164&amp;"*", directory_snapshot!A:A, 1, FALSE)</f>
        <v>Statewide Services_9620000638_RECON.xlsx</v>
      </c>
      <c r="D164" s="92">
        <f>VLOOKUP(B164, 'List of active SV'!A:A, 1, FALSE)</f>
        <v>9620000638</v>
      </c>
    </row>
    <row r="165" spans="1:4" x14ac:dyDescent="0.25">
      <c r="A165" s="2" t="s">
        <v>232</v>
      </c>
      <c r="B165" s="93">
        <v>9620000642</v>
      </c>
      <c r="C165" s="49" t="str">
        <f>VLOOKUP("*"&amp;B165&amp;"*", directory_snapshot!A:A, 1, FALSE)</f>
        <v>Sterling Gourmet_9620000642_RECON.xlsx</v>
      </c>
      <c r="D165" s="92">
        <f>VLOOKUP(B165, 'List of active SV'!A:A, 1, FALSE)</f>
        <v>9620000642</v>
      </c>
    </row>
    <row r="166" spans="1:4" x14ac:dyDescent="0.25">
      <c r="A166" s="1" t="s">
        <v>233</v>
      </c>
      <c r="B166" s="92">
        <v>9620000644</v>
      </c>
      <c r="C166" s="49" t="str">
        <f>VLOOKUP("*"&amp;B166&amp;"*", directory_snapshot!A:A, 1, FALSE)</f>
        <v>Stones Throw Coffee &amp; Espresso Repair_9620000644_RECON.xlsx</v>
      </c>
      <c r="D166" s="92">
        <f>VLOOKUP(B166, 'List of active SV'!A:A, 1, FALSE)</f>
        <v>9620000644</v>
      </c>
    </row>
    <row r="167" spans="1:4" x14ac:dyDescent="0.25">
      <c r="A167" s="2" t="s">
        <v>234</v>
      </c>
      <c r="B167" s="93">
        <v>9620000646</v>
      </c>
      <c r="C167" s="49" t="str">
        <f>VLOOKUP("*"&amp;B167&amp;"*", directory_snapshot!A:A, 1, FALSE)</f>
        <v>Sullivan Mechanical_9620000646_Recon.xlsx</v>
      </c>
      <c r="D167" s="92">
        <f>VLOOKUP(B167, 'List of active SV'!A:A, 1, FALSE)</f>
        <v>9620000646</v>
      </c>
    </row>
    <row r="168" spans="1:4" x14ac:dyDescent="0.25">
      <c r="A168" s="1" t="s">
        <v>106</v>
      </c>
      <c r="B168" s="92">
        <v>9620000648</v>
      </c>
      <c r="C168" s="49" t="str">
        <f>VLOOKUP("*"&amp;B168&amp;"*", directory_snapshot!A:A, 1, FALSE)</f>
        <v>Sunbelt Imports_9620000648_RECON.xlsx</v>
      </c>
      <c r="D168" s="92">
        <f>VLOOKUP(B168, 'List of active SV'!A:A, 1, FALSE)</f>
        <v>9620000648</v>
      </c>
    </row>
    <row r="169" spans="1:4" x14ac:dyDescent="0.25">
      <c r="A169" s="2" t="s">
        <v>235</v>
      </c>
      <c r="B169" s="93">
        <v>9620000649</v>
      </c>
      <c r="C169" s="49" t="str">
        <f>VLOOKUP("*"&amp;B169&amp;"*", directory_snapshot!A:A, 1, FALSE)</f>
        <v>Supramatic_9620000649_Recon.xlsx</v>
      </c>
      <c r="D169" s="92">
        <f>VLOOKUP(B169, 'List of active SV'!A:A, 1, FALSE)</f>
        <v>9620000649</v>
      </c>
    </row>
    <row r="170" spans="1:4" x14ac:dyDescent="0.25">
      <c r="A170" s="1" t="s">
        <v>107</v>
      </c>
      <c r="B170" s="92">
        <v>9620000650</v>
      </c>
      <c r="C170" s="49" t="str">
        <f>VLOOKUP("*"&amp;B170&amp;"*", directory_snapshot!A:A, 1, FALSE)</f>
        <v>Sure Fix Service Group_9620000650_RECON.xlsx</v>
      </c>
      <c r="D170" s="92">
        <f>VLOOKUP(B170, 'List of active SV'!A:A, 1, FALSE)</f>
        <v>9620000650</v>
      </c>
    </row>
    <row r="171" spans="1:4" x14ac:dyDescent="0.25">
      <c r="A171" s="2" t="s">
        <v>403</v>
      </c>
      <c r="B171" s="93">
        <v>9620000653</v>
      </c>
      <c r="C171" s="49" t="str">
        <f>VLOOKUP("*"&amp;B171&amp;"*", directory_snapshot!A:A, 1, FALSE)</f>
        <v>T&amp;D Coffee Machine Service_9620000653_Recon.xlsx</v>
      </c>
      <c r="D171" s="92">
        <f>VLOOKUP(B171, 'List of active SV'!A:A, 1, FALSE)</f>
        <v>9620000653</v>
      </c>
    </row>
    <row r="172" spans="1:4" x14ac:dyDescent="0.25">
      <c r="A172" s="1" t="s">
        <v>109</v>
      </c>
      <c r="B172" s="92">
        <v>9620000658</v>
      </c>
      <c r="C172" s="49" t="str">
        <f>VLOOKUP("*"&amp;B172&amp;"*", directory_snapshot!A:A, 1, FALSE)</f>
        <v>Tech 24_9620000658_Recon.xlsx</v>
      </c>
      <c r="D172" s="92">
        <f>VLOOKUP(B172, 'List of active SV'!A:A, 1, FALSE)</f>
        <v>9620000658</v>
      </c>
    </row>
    <row r="173" spans="1:4" x14ac:dyDescent="0.25">
      <c r="A173" s="2" t="s">
        <v>236</v>
      </c>
      <c r="B173" s="93">
        <v>9620000661</v>
      </c>
      <c r="C173" s="49" t="str">
        <f>VLOOKUP("*"&amp;B173&amp;"*", directory_snapshot!A:A, 1, FALSE)</f>
        <v>TechMasters_9620000661_RECON.xlsx</v>
      </c>
      <c r="D173" s="92">
        <f>VLOOKUP(B173, 'List of active SV'!A:A, 1, FALSE)</f>
        <v>9620000661</v>
      </c>
    </row>
    <row r="174" spans="1:4" x14ac:dyDescent="0.25">
      <c r="A174" s="1" t="s">
        <v>237</v>
      </c>
      <c r="B174" s="92">
        <v>9620000660</v>
      </c>
      <c r="C174" s="49" t="str">
        <f>VLOOKUP("*"&amp;B174&amp;"*", directory_snapshot!A:A, 1, FALSE)</f>
        <v>Tech One_9620000660_RECON.xlsx</v>
      </c>
      <c r="D174" s="92">
        <f>VLOOKUP(B174, 'List of active SV'!A:A, 1, FALSE)</f>
        <v>9620000660</v>
      </c>
    </row>
    <row r="175" spans="1:4" x14ac:dyDescent="0.25">
      <c r="A175" s="2" t="s">
        <v>238</v>
      </c>
      <c r="B175" s="93">
        <v>9620000666</v>
      </c>
      <c r="C175" s="49" t="str">
        <f>VLOOKUP("*"&amp;B175&amp;"*", directory_snapshot!A:A, 1, FALSE)</f>
        <v>The Bean Doctor_9620000666_RECON.xlsx</v>
      </c>
      <c r="D175" s="92">
        <f>VLOOKUP(B175, 'List of active SV'!A:A, 1, FALSE)</f>
        <v>9620000666</v>
      </c>
    </row>
    <row r="176" spans="1:4" x14ac:dyDescent="0.25">
      <c r="A176" s="1" t="s">
        <v>239</v>
      </c>
      <c r="B176" s="92">
        <v>9620000897</v>
      </c>
      <c r="C176" s="49" t="str">
        <f>VLOOKUP("*"&amp;B176&amp;"*", directory_snapshot!A:A, 1, FALSE)</f>
        <v>Wichman Company_9620000897, 9620000896, 9620000716_RECON.xlsx</v>
      </c>
      <c r="D176" s="92">
        <f>VLOOKUP(B176, 'List of active SV'!A:A, 1, FALSE)</f>
        <v>9620000897</v>
      </c>
    </row>
    <row r="177" spans="1:4" x14ac:dyDescent="0.25">
      <c r="A177" s="2" t="s">
        <v>240</v>
      </c>
      <c r="B177" s="93">
        <v>9620044382</v>
      </c>
      <c r="C177" s="49" t="str">
        <f>VLOOKUP("*"&amp;B177&amp;"*", directory_snapshot!A:A, 1, FALSE)</f>
        <v>Tidewater_9620044382_RECON.xlsx</v>
      </c>
      <c r="D177" s="92">
        <f>VLOOKUP(B177, 'List of active SV'!A:A, 1, FALSE)</f>
        <v>9620044382</v>
      </c>
    </row>
    <row r="178" spans="1:4" x14ac:dyDescent="0.25">
      <c r="A178" s="1" t="s">
        <v>406</v>
      </c>
      <c r="B178" s="92">
        <v>9620057283</v>
      </c>
      <c r="C178" s="49" t="str">
        <f>VLOOKUP("*"&amp;B178&amp;"*", directory_snapshot!A:A, 1, FALSE)</f>
        <v>Town Center Inc._9620057283_RECON.xlsx</v>
      </c>
      <c r="D178" s="92">
        <f>VLOOKUP(B178, 'List of active SV'!A:A, 1, FALSE)</f>
        <v>9620057283</v>
      </c>
    </row>
    <row r="179" spans="1:4" x14ac:dyDescent="0.25">
      <c r="A179" s="2" t="s">
        <v>111</v>
      </c>
      <c r="B179" s="93">
        <v>9620000682</v>
      </c>
      <c r="C179" s="49" t="str">
        <f>VLOOKUP("*"&amp;B179&amp;"*", directory_snapshot!A:A, 1, FALSE)</f>
        <v>TR Coffee Service_9620000682_RECON.xlsx</v>
      </c>
      <c r="D179" s="92">
        <f>VLOOKUP(B179, 'List of active SV'!A:A, 1, FALSE)</f>
        <v>9620000682</v>
      </c>
    </row>
    <row r="180" spans="1:4" x14ac:dyDescent="0.25">
      <c r="A180" s="1" t="s">
        <v>241</v>
      </c>
      <c r="B180" s="92">
        <v>9620000683</v>
      </c>
      <c r="C180" s="49" t="str">
        <f>VLOOKUP("*"&amp;B180&amp;"*", directory_snapshot!A:A, 1, FALSE)</f>
        <v>Tri-State Restaurant Supply_9620000683_RECON.xlsx</v>
      </c>
      <c r="D180" s="92">
        <f>VLOOKUP(B180, 'List of active SV'!A:A, 1, FALSE)</f>
        <v>9620000683</v>
      </c>
    </row>
    <row r="181" spans="1:4" x14ac:dyDescent="0.25">
      <c r="A181" s="2" t="s">
        <v>242</v>
      </c>
      <c r="B181" s="93">
        <v>9620046963</v>
      </c>
      <c r="C181" s="49" t="str">
        <f>VLOOKUP("*"&amp;B181&amp;"*", directory_snapshot!A:A, 1, FALSE)</f>
        <v>Upside Investments Only Inc_9620046963_Recon.xlsx</v>
      </c>
      <c r="D181" s="92">
        <f>VLOOKUP(B181, 'List of active SV'!A:A, 1, FALSE)</f>
        <v>9620046963</v>
      </c>
    </row>
    <row r="182" spans="1:4" x14ac:dyDescent="0.25">
      <c r="A182" s="1" t="s">
        <v>112</v>
      </c>
      <c r="B182" s="92">
        <v>9620000702</v>
      </c>
      <c r="C182" s="49" t="str">
        <f>VLOOKUP("*"&amp;B182&amp;"*", directory_snapshot!A:A, 1, FALSE)</f>
        <v>Visions Espresso_9620000702, 9620005803_RECON.xlsx</v>
      </c>
      <c r="D182" s="92">
        <f>VLOOKUP(B182, 'List of active SV'!A:A, 1, FALSE)</f>
        <v>9620000702</v>
      </c>
    </row>
    <row r="183" spans="1:4" x14ac:dyDescent="0.25">
      <c r="A183" s="2" t="s">
        <v>243</v>
      </c>
      <c r="B183" s="93">
        <v>9620000705</v>
      </c>
      <c r="C183" s="49" t="str">
        <f>VLOOKUP("*"&amp;B183&amp;"*", directory_snapshot!A:A, 1, FALSE)</f>
        <v>VP Coffee_9620000705_RECON.xlsx</v>
      </c>
      <c r="D183" s="92">
        <f>VLOOKUP(B183, 'List of active SV'!A:A, 1, FALSE)</f>
        <v>9620000705</v>
      </c>
    </row>
    <row r="184" spans="1:4" x14ac:dyDescent="0.25">
      <c r="A184" s="1" t="s">
        <v>244</v>
      </c>
      <c r="B184" s="92">
        <v>9620047081</v>
      </c>
      <c r="C184" s="49" t="str">
        <f>VLOOKUP("*"&amp;B184&amp;"*", directory_snapshot!A:A, 1, FALSE)</f>
        <v>Weldon Service _9620047081_RECON.xlsx</v>
      </c>
      <c r="D184" s="92">
        <f>VLOOKUP(B184, 'List of active SV'!A:A, 1, FALSE)</f>
        <v>9620047081</v>
      </c>
    </row>
    <row r="185" spans="1:4" x14ac:dyDescent="0.25">
      <c r="A185" s="100" t="s">
        <v>450</v>
      </c>
      <c r="B185" s="93">
        <v>9620085956</v>
      </c>
      <c r="C185" s="49" t="str">
        <f>VLOOKUP("*"&amp;B185&amp;"*", directory_snapshot!A:A, 1, FALSE)</f>
        <v>Western Refrigeration &amp; Beverage Equipment Ltd._9620085956_RECON.xlsx</v>
      </c>
      <c r="D185" s="92">
        <f>VLOOKUP(B185, 'List of active SV'!A:A, 1, FALSE)</f>
        <v>9620085956</v>
      </c>
    </row>
    <row r="186" spans="1:4" x14ac:dyDescent="0.25">
      <c r="A186" s="98" t="s">
        <v>245</v>
      </c>
      <c r="B186" s="92">
        <v>9620000714</v>
      </c>
      <c r="C186" s="49" t="str">
        <f>VLOOKUP("*"&amp;B186&amp;"*", directory_snapshot!A:A, 1, FALSE)</f>
        <v>Whitehead Food Equipment_9620000714_RECON.xlsx</v>
      </c>
      <c r="D186" s="92">
        <f>VLOOKUP(B186, 'List of active SV'!A:A, 1, FALSE)</f>
        <v>9620000714</v>
      </c>
    </row>
    <row r="187" spans="1:4" x14ac:dyDescent="0.25">
      <c r="A187" s="100" t="s">
        <v>246</v>
      </c>
      <c r="B187" s="93">
        <v>9620000715</v>
      </c>
      <c r="C187" s="49" t="str">
        <f>VLOOKUP("*"&amp;B187&amp;"*", directory_snapshot!A:A, 1, FALSE)</f>
        <v>Whitfield Foodservice Equipment_9620000715_RECON.xlsx</v>
      </c>
      <c r="D187" s="92">
        <f>VLOOKUP(B187, 'List of active SV'!A:A, 1, FALSE)</f>
        <v>9620000715</v>
      </c>
    </row>
    <row r="188" spans="1:4" x14ac:dyDescent="0.25">
      <c r="A188" s="98" t="s">
        <v>498</v>
      </c>
      <c r="B188" s="92">
        <v>9620054022</v>
      </c>
      <c r="C188" s="49" t="str">
        <f>VLOOKUP("*"&amp;B188&amp;"*", directory_snapshot!A:A, 1, FALSE)</f>
        <v>Diebold Nixdorf_9620056474, 9620054022_RECON.xlsx</v>
      </c>
      <c r="D188" s="92">
        <f>VLOOKUP(B188, 'List of active SV'!A:A, 1, FALSE)</f>
        <v>9620054022</v>
      </c>
    </row>
    <row r="189" spans="1:4" x14ac:dyDescent="0.25">
      <c r="A189" s="100" t="s">
        <v>247</v>
      </c>
      <c r="B189" s="93">
        <v>9620000723</v>
      </c>
      <c r="C189" s="49" t="str">
        <f>VLOOKUP("*"&amp;B189&amp;"*", directory_snapshot!A:A, 1, FALSE)</f>
        <v>Woodward Coffee_9620000723_RECON.xlsx</v>
      </c>
      <c r="D189" s="92">
        <f>VLOOKUP(B189, 'List of active SV'!A:A, 1, FALSE)</f>
        <v>9620000723</v>
      </c>
    </row>
    <row r="190" spans="1:4" x14ac:dyDescent="0.25">
      <c r="A190" s="1" t="s">
        <v>1146</v>
      </c>
      <c r="B190" s="92">
        <v>9620004094</v>
      </c>
      <c r="C190" s="49" t="str">
        <f>VLOOKUP("*"&amp;B190&amp;"*", directory_snapshot!A:A, 1, FALSE)</f>
        <v>Ronnoco Holdings Inc._9620004094_RECON.xlsx</v>
      </c>
      <c r="D190" s="92">
        <f>VLOOKUP(B190, 'List of active SV'!A:A, 1, FALSE)</f>
        <v>9620004094</v>
      </c>
    </row>
    <row r="191" spans="1:4" x14ac:dyDescent="0.25">
      <c r="A191" s="100" t="s">
        <v>1147</v>
      </c>
      <c r="B191" s="93">
        <v>9620051178</v>
      </c>
      <c r="C191" s="49" t="str">
        <f>VLOOKUP("*"&amp;B191&amp;"*", directory_snapshot!A:A, 1, FALSE)</f>
        <v>Skal East Inc._9620051178_RECON.xlsx</v>
      </c>
      <c r="D191" s="92">
        <f>VLOOKUP(B191, 'List of active SV'!A:A, 1, FALSE)</f>
        <v>9620051178</v>
      </c>
    </row>
    <row r="192" spans="1:4" x14ac:dyDescent="0.25">
      <c r="A192" s="1" t="s">
        <v>34</v>
      </c>
      <c r="B192" s="92">
        <v>9620005091</v>
      </c>
      <c r="C192" s="49" t="str">
        <f>VLOOKUP("*"&amp;B192&amp;"*", directory_snapshot!A:A, 1, FALSE)</f>
        <v>Coffee Express Sales &amp; Services_9620005091_RECON.xlsx</v>
      </c>
      <c r="D192" s="107">
        <v>9620005091</v>
      </c>
    </row>
    <row r="193" spans="1:4" x14ac:dyDescent="0.25">
      <c r="A193" s="109" t="s">
        <v>220</v>
      </c>
      <c r="B193" s="110">
        <v>9620000566</v>
      </c>
      <c r="C193" s="49" t="str">
        <f>VLOOKUP("*"&amp;B193&amp;"*", directory_snapshot!A:A, 1, FALSE)</f>
        <v>REO Controls_9620000566_Recon.xlsx</v>
      </c>
      <c r="D193" s="92">
        <f>VLOOKUP(B193, 'List of active SV'!A:A, 1, FALSE)</f>
        <v>9620000566</v>
      </c>
    </row>
    <row r="194" spans="1:4" x14ac:dyDescent="0.25">
      <c r="C194" s="49"/>
      <c r="D194" s="49"/>
    </row>
    <row r="195" spans="1:4" x14ac:dyDescent="0.25">
      <c r="C195" s="49"/>
      <c r="D195" s="49"/>
    </row>
    <row r="196" spans="1:4" x14ac:dyDescent="0.25">
      <c r="C196" s="49"/>
      <c r="D196" s="49"/>
    </row>
    <row r="197" spans="1:4" x14ac:dyDescent="0.25">
      <c r="C197" s="49"/>
      <c r="D197" s="49"/>
    </row>
    <row r="198" spans="1:4" x14ac:dyDescent="0.25">
      <c r="C198" s="49"/>
      <c r="D198" s="49"/>
    </row>
  </sheetData>
  <autoFilter ref="A1:D191" xr:uid="{825B1353-3EB5-4C57-B8F6-DE2E745BC460}"/>
  <conditionalFormatting sqref="B1">
    <cfRule type="duplicateValues" dxfId="160" priority="307"/>
  </conditionalFormatting>
  <conditionalFormatting sqref="A1">
    <cfRule type="duplicateValues" dxfId="159" priority="306"/>
  </conditionalFormatting>
  <conditionalFormatting sqref="B123">
    <cfRule type="duplicateValues" dxfId="158" priority="82"/>
  </conditionalFormatting>
  <conditionalFormatting sqref="B100">
    <cfRule type="duplicateValues" dxfId="157" priority="23"/>
  </conditionalFormatting>
  <conditionalFormatting sqref="D2:D193">
    <cfRule type="duplicateValues" dxfId="156" priority="951"/>
  </conditionalFormatting>
  <conditionalFormatting sqref="D2:D193">
    <cfRule type="duplicateValues" dxfId="155" priority="953"/>
    <cfRule type="duplicateValues" dxfId="154" priority="954"/>
  </conditionalFormatting>
  <conditionalFormatting sqref="B116">
    <cfRule type="duplicateValues" dxfId="153" priority="96"/>
  </conditionalFormatting>
  <conditionalFormatting sqref="A116">
    <cfRule type="duplicateValues" dxfId="152" priority="95"/>
  </conditionalFormatting>
  <conditionalFormatting sqref="A117">
    <cfRule type="duplicateValues" dxfId="151" priority="93"/>
  </conditionalFormatting>
  <conditionalFormatting sqref="B117">
    <cfRule type="duplicateValues" dxfId="150" priority="94"/>
  </conditionalFormatting>
  <conditionalFormatting sqref="A86">
    <cfRule type="duplicateValues" dxfId="149" priority="60"/>
  </conditionalFormatting>
  <conditionalFormatting sqref="B86">
    <cfRule type="duplicateValues" dxfId="148" priority="61"/>
  </conditionalFormatting>
  <conditionalFormatting sqref="B94">
    <cfRule type="duplicateValues" dxfId="147" priority="48"/>
  </conditionalFormatting>
  <conditionalFormatting sqref="A134 A101:A132">
    <cfRule type="duplicateValues" dxfId="146" priority="113"/>
  </conditionalFormatting>
  <conditionalFormatting sqref="A114:B120 A101:B103">
    <cfRule type="duplicateValues" dxfId="145" priority="110"/>
  </conditionalFormatting>
  <conditionalFormatting sqref="A114:A120 A101:A103">
    <cfRule type="duplicateValues" dxfId="144" priority="111"/>
  </conditionalFormatting>
  <conditionalFormatting sqref="B114:B120 B101:B103">
    <cfRule type="duplicateValues" dxfId="143" priority="112"/>
  </conditionalFormatting>
  <conditionalFormatting sqref="A118:B120 A101:B103">
    <cfRule type="duplicateValues" dxfId="142" priority="109"/>
  </conditionalFormatting>
  <conditionalFormatting sqref="B104">
    <cfRule type="duplicateValues" dxfId="141" priority="108"/>
  </conditionalFormatting>
  <conditionalFormatting sqref="A109:B109">
    <cfRule type="duplicateValues" dxfId="140" priority="105"/>
  </conditionalFormatting>
  <conditionalFormatting sqref="A109">
    <cfRule type="duplicateValues" dxfId="139" priority="104"/>
  </conditionalFormatting>
  <conditionalFormatting sqref="B109">
    <cfRule type="duplicateValues" dxfId="138" priority="103"/>
  </conditionalFormatting>
  <conditionalFormatting sqref="A109">
    <cfRule type="duplicateValues" dxfId="137" priority="106"/>
  </conditionalFormatting>
  <conditionalFormatting sqref="B109">
    <cfRule type="duplicateValues" dxfId="136" priority="107"/>
  </conditionalFormatting>
  <conditionalFormatting sqref="B113">
    <cfRule type="duplicateValues" dxfId="135" priority="102"/>
  </conditionalFormatting>
  <conditionalFormatting sqref="A113">
    <cfRule type="duplicateValues" dxfId="134" priority="101"/>
  </conditionalFormatting>
  <conditionalFormatting sqref="A114">
    <cfRule type="duplicateValues" dxfId="133" priority="99"/>
  </conditionalFormatting>
  <conditionalFormatting sqref="B114">
    <cfRule type="duplicateValues" dxfId="132" priority="100"/>
  </conditionalFormatting>
  <conditionalFormatting sqref="B115">
    <cfRule type="duplicateValues" dxfId="131" priority="98"/>
  </conditionalFormatting>
  <conditionalFormatting sqref="A115">
    <cfRule type="duplicateValues" dxfId="130" priority="97"/>
  </conditionalFormatting>
  <conditionalFormatting sqref="B124 B121:B122">
    <cfRule type="duplicateValues" dxfId="129" priority="92"/>
  </conditionalFormatting>
  <conditionalFormatting sqref="B124">
    <cfRule type="duplicateValues" dxfId="128" priority="91"/>
  </conditionalFormatting>
  <conditionalFormatting sqref="A124">
    <cfRule type="duplicateValues" dxfId="127" priority="90"/>
  </conditionalFormatting>
  <conditionalFormatting sqref="A123:B123">
    <cfRule type="duplicateValues" dxfId="126" priority="85"/>
  </conditionalFormatting>
  <conditionalFormatting sqref="A123">
    <cfRule type="duplicateValues" dxfId="125" priority="86"/>
  </conditionalFormatting>
  <conditionalFormatting sqref="B123">
    <cfRule type="duplicateValues" dxfId="124" priority="87"/>
  </conditionalFormatting>
  <conditionalFormatting sqref="B123">
    <cfRule type="duplicateValues" dxfId="123" priority="88"/>
  </conditionalFormatting>
  <conditionalFormatting sqref="A123">
    <cfRule type="duplicateValues" dxfId="122" priority="89"/>
  </conditionalFormatting>
  <conditionalFormatting sqref="B123">
    <cfRule type="duplicateValues" dxfId="121" priority="84"/>
  </conditionalFormatting>
  <conditionalFormatting sqref="B123">
    <cfRule type="duplicateValues" dxfId="120" priority="83"/>
  </conditionalFormatting>
  <conditionalFormatting sqref="B125:B126">
    <cfRule type="duplicateValues" dxfId="119" priority="81"/>
  </conditionalFormatting>
  <conditionalFormatting sqref="A125:A126">
    <cfRule type="duplicateValues" dxfId="118" priority="80"/>
  </conditionalFormatting>
  <conditionalFormatting sqref="B127:B130">
    <cfRule type="duplicateValues" dxfId="117" priority="78"/>
  </conditionalFormatting>
  <conditionalFormatting sqref="A127:A130">
    <cfRule type="duplicateValues" dxfId="116" priority="79"/>
  </conditionalFormatting>
  <conditionalFormatting sqref="A134 A131:A132">
    <cfRule type="duplicateValues" dxfId="115" priority="76"/>
    <cfRule type="duplicateValues" dxfId="114" priority="77"/>
  </conditionalFormatting>
  <conditionalFormatting sqref="B133">
    <cfRule type="duplicateValues" dxfId="113" priority="75"/>
  </conditionalFormatting>
  <conditionalFormatting sqref="B134">
    <cfRule type="duplicateValues" dxfId="112" priority="74"/>
  </conditionalFormatting>
  <conditionalFormatting sqref="B135">
    <cfRule type="duplicateValues" dxfId="111" priority="73"/>
  </conditionalFormatting>
  <conditionalFormatting sqref="B136">
    <cfRule type="duplicateValues" dxfId="110" priority="72"/>
  </conditionalFormatting>
  <conditionalFormatting sqref="B110:B112 B108">
    <cfRule type="duplicateValues" dxfId="109" priority="114"/>
  </conditionalFormatting>
  <conditionalFormatting sqref="A110:A112 A108">
    <cfRule type="duplicateValues" dxfId="108" priority="115"/>
  </conditionalFormatting>
  <conditionalFormatting sqref="B110:B112">
    <cfRule type="duplicateValues" dxfId="107" priority="116"/>
  </conditionalFormatting>
  <conditionalFormatting sqref="B101:B103">
    <cfRule type="duplicateValues" dxfId="106" priority="117"/>
  </conditionalFormatting>
  <conditionalFormatting sqref="A101:A103">
    <cfRule type="duplicateValues" dxfId="105" priority="118"/>
  </conditionalFormatting>
  <conditionalFormatting sqref="B70">
    <cfRule type="duplicateValues" dxfId="104" priority="36"/>
  </conditionalFormatting>
  <conditionalFormatting sqref="A89:B89 A52:B69 A71:B83 A70">
    <cfRule type="duplicateValues" dxfId="103" priority="68"/>
  </conditionalFormatting>
  <conditionalFormatting sqref="A83">
    <cfRule type="duplicateValues" dxfId="102" priority="66"/>
  </conditionalFormatting>
  <conditionalFormatting sqref="B83">
    <cfRule type="duplicateValues" dxfId="101" priority="67"/>
  </conditionalFormatting>
  <conditionalFormatting sqref="A84">
    <cfRule type="duplicateValues" dxfId="100" priority="64"/>
  </conditionalFormatting>
  <conditionalFormatting sqref="B84">
    <cfRule type="duplicateValues" dxfId="99" priority="65"/>
  </conditionalFormatting>
  <conditionalFormatting sqref="A85">
    <cfRule type="duplicateValues" dxfId="98" priority="62"/>
  </conditionalFormatting>
  <conditionalFormatting sqref="B85">
    <cfRule type="duplicateValues" dxfId="97" priority="63"/>
  </conditionalFormatting>
  <conditionalFormatting sqref="B88">
    <cfRule type="duplicateValues" dxfId="96" priority="59"/>
  </conditionalFormatting>
  <conditionalFormatting sqref="A87:A88">
    <cfRule type="duplicateValues" dxfId="95" priority="58"/>
  </conditionalFormatting>
  <conditionalFormatting sqref="B90">
    <cfRule type="duplicateValues" dxfId="94" priority="57"/>
  </conditionalFormatting>
  <conditionalFormatting sqref="A90">
    <cfRule type="duplicateValues" dxfId="93" priority="56"/>
  </conditionalFormatting>
  <conditionalFormatting sqref="A93">
    <cfRule type="duplicateValues" dxfId="92" priority="55"/>
  </conditionalFormatting>
  <conditionalFormatting sqref="A91">
    <cfRule type="duplicateValues" dxfId="91" priority="53"/>
  </conditionalFormatting>
  <conditionalFormatting sqref="B91">
    <cfRule type="duplicateValues" dxfId="90" priority="54"/>
  </conditionalFormatting>
  <conditionalFormatting sqref="A92">
    <cfRule type="duplicateValues" dxfId="89" priority="51"/>
  </conditionalFormatting>
  <conditionalFormatting sqref="B92">
    <cfRule type="duplicateValues" dxfId="88" priority="52"/>
  </conditionalFormatting>
  <conditionalFormatting sqref="B93">
    <cfRule type="duplicateValues" dxfId="87" priority="50"/>
  </conditionalFormatting>
  <conditionalFormatting sqref="A94">
    <cfRule type="duplicateValues" dxfId="86" priority="49"/>
  </conditionalFormatting>
  <conditionalFormatting sqref="B95">
    <cfRule type="duplicateValues" dxfId="85" priority="47"/>
  </conditionalFormatting>
  <conditionalFormatting sqref="A95">
    <cfRule type="duplicateValues" dxfId="84" priority="46"/>
  </conditionalFormatting>
  <conditionalFormatting sqref="A96">
    <cfRule type="duplicateValues" dxfId="83" priority="44"/>
  </conditionalFormatting>
  <conditionalFormatting sqref="B96">
    <cfRule type="duplicateValues" dxfId="82" priority="45"/>
  </conditionalFormatting>
  <conditionalFormatting sqref="A73:A74">
    <cfRule type="duplicateValues" dxfId="81" priority="42"/>
    <cfRule type="duplicateValues" dxfId="80" priority="43"/>
  </conditionalFormatting>
  <conditionalFormatting sqref="B70">
    <cfRule type="duplicateValues" dxfId="79" priority="38"/>
  </conditionalFormatting>
  <conditionalFormatting sqref="B70">
    <cfRule type="duplicateValues" dxfId="78" priority="37"/>
  </conditionalFormatting>
  <conditionalFormatting sqref="B70">
    <cfRule type="duplicateValues" dxfId="77" priority="39"/>
    <cfRule type="duplicateValues" dxfId="76" priority="40"/>
  </conditionalFormatting>
  <conditionalFormatting sqref="B70">
    <cfRule type="duplicateValues" dxfId="75" priority="41"/>
  </conditionalFormatting>
  <conditionalFormatting sqref="B87">
    <cfRule type="duplicateValues" dxfId="74" priority="32"/>
  </conditionalFormatting>
  <conditionalFormatting sqref="B87">
    <cfRule type="duplicateValues" dxfId="73" priority="31"/>
  </conditionalFormatting>
  <conditionalFormatting sqref="B87">
    <cfRule type="duplicateValues" dxfId="72" priority="33"/>
    <cfRule type="duplicateValues" dxfId="71" priority="34"/>
  </conditionalFormatting>
  <conditionalFormatting sqref="B87">
    <cfRule type="duplicateValues" dxfId="70" priority="35"/>
  </conditionalFormatting>
  <conditionalFormatting sqref="B31">
    <cfRule type="duplicateValues" dxfId="69" priority="69"/>
  </conditionalFormatting>
  <conditionalFormatting sqref="B31">
    <cfRule type="duplicateValues" dxfId="68" priority="70"/>
    <cfRule type="duplicateValues" dxfId="67" priority="71"/>
  </conditionalFormatting>
  <conditionalFormatting sqref="A100">
    <cfRule type="duplicateValues" dxfId="66" priority="22"/>
  </conditionalFormatting>
  <conditionalFormatting sqref="A100:B100">
    <cfRule type="duplicateValues" dxfId="65" priority="19"/>
  </conditionalFormatting>
  <conditionalFormatting sqref="A100">
    <cfRule type="duplicateValues" dxfId="64" priority="20"/>
  </conditionalFormatting>
  <conditionalFormatting sqref="B100">
    <cfRule type="duplicateValues" dxfId="63" priority="21"/>
  </conditionalFormatting>
  <conditionalFormatting sqref="A100:B100">
    <cfRule type="duplicateValues" dxfId="62" priority="18"/>
  </conditionalFormatting>
  <conditionalFormatting sqref="A100">
    <cfRule type="duplicateValues" dxfId="61" priority="17"/>
  </conditionalFormatting>
  <conditionalFormatting sqref="B100">
    <cfRule type="duplicateValues" dxfId="60" priority="24"/>
    <cfRule type="duplicateValues" dxfId="59" priority="25"/>
  </conditionalFormatting>
  <conditionalFormatting sqref="B100">
    <cfRule type="duplicateValues" dxfId="58" priority="26"/>
    <cfRule type="duplicateValues" dxfId="57" priority="27"/>
  </conditionalFormatting>
  <conditionalFormatting sqref="B100">
    <cfRule type="duplicateValues" dxfId="56" priority="28"/>
  </conditionalFormatting>
  <conditionalFormatting sqref="B100">
    <cfRule type="duplicateValues" dxfId="55" priority="29"/>
  </conditionalFormatting>
  <conditionalFormatting sqref="A100">
    <cfRule type="duplicateValues" dxfId="54" priority="30"/>
  </conditionalFormatting>
  <conditionalFormatting sqref="A184">
    <cfRule type="duplicateValues" dxfId="53" priority="15"/>
  </conditionalFormatting>
  <conditionalFormatting sqref="B184">
    <cfRule type="duplicateValues" dxfId="52" priority="16"/>
  </conditionalFormatting>
  <conditionalFormatting sqref="A183">
    <cfRule type="duplicateValues" dxfId="51" priority="13"/>
  </conditionalFormatting>
  <conditionalFormatting sqref="B183">
    <cfRule type="duplicateValues" dxfId="50" priority="14"/>
  </conditionalFormatting>
  <conditionalFormatting sqref="A97:B99">
    <cfRule type="duplicateValues" dxfId="49" priority="119"/>
  </conditionalFormatting>
  <conditionalFormatting sqref="B97:B99">
    <cfRule type="duplicateValues" dxfId="48" priority="120"/>
  </conditionalFormatting>
  <conditionalFormatting sqref="A97:A99">
    <cfRule type="duplicateValues" dxfId="47" priority="121"/>
  </conditionalFormatting>
  <conditionalFormatting sqref="A91:B99">
    <cfRule type="duplicateValues" dxfId="46" priority="122"/>
  </conditionalFormatting>
  <conditionalFormatting sqref="A91:A99">
    <cfRule type="duplicateValues" dxfId="45" priority="123"/>
  </conditionalFormatting>
  <conditionalFormatting sqref="B91:B99">
    <cfRule type="duplicateValues" dxfId="44" priority="124"/>
  </conditionalFormatting>
  <conditionalFormatting sqref="B91:B99">
    <cfRule type="duplicateValues" dxfId="43" priority="125"/>
    <cfRule type="duplicateValues" dxfId="42" priority="126"/>
  </conditionalFormatting>
  <conditionalFormatting sqref="B88:B99 B71:B86 B2:B30 B32:B69">
    <cfRule type="duplicateValues" dxfId="41" priority="127"/>
  </conditionalFormatting>
  <conditionalFormatting sqref="B88:B99 B71:B86 B2:B30 B32:B69">
    <cfRule type="duplicateValues" dxfId="40" priority="128"/>
    <cfRule type="duplicateValues" dxfId="39" priority="129"/>
  </conditionalFormatting>
  <conditionalFormatting sqref="A176:A182">
    <cfRule type="duplicateValues" dxfId="38" priority="130"/>
  </conditionalFormatting>
  <conditionalFormatting sqref="B176:B182">
    <cfRule type="duplicateValues" dxfId="37" priority="131"/>
  </conditionalFormatting>
  <conditionalFormatting sqref="A185">
    <cfRule type="duplicateValues" dxfId="36" priority="11"/>
  </conditionalFormatting>
  <conditionalFormatting sqref="B185">
    <cfRule type="duplicateValues" dxfId="35" priority="12"/>
  </conditionalFormatting>
  <conditionalFormatting sqref="A187">
    <cfRule type="duplicateValues" dxfId="34" priority="9"/>
  </conditionalFormatting>
  <conditionalFormatting sqref="B187">
    <cfRule type="duplicateValues" dxfId="33" priority="10"/>
  </conditionalFormatting>
  <conditionalFormatting sqref="B131:B132 B101:B126">
    <cfRule type="duplicateValues" dxfId="32" priority="132"/>
  </conditionalFormatting>
  <conditionalFormatting sqref="B131:B132">
    <cfRule type="duplicateValues" dxfId="31" priority="133"/>
  </conditionalFormatting>
  <conditionalFormatting sqref="B104:B106">
    <cfRule type="duplicateValues" dxfId="30" priority="134"/>
  </conditionalFormatting>
  <conditionalFormatting sqref="A104:A106">
    <cfRule type="duplicateValues" dxfId="29" priority="135"/>
  </conditionalFormatting>
  <conditionalFormatting sqref="B156:B168 B146:B154 B137:B144">
    <cfRule type="duplicateValues" dxfId="28" priority="136"/>
  </conditionalFormatting>
  <conditionalFormatting sqref="B121:B122">
    <cfRule type="duplicateValues" dxfId="27" priority="137"/>
  </conditionalFormatting>
  <conditionalFormatting sqref="A121:A122">
    <cfRule type="duplicateValues" dxfId="26" priority="138"/>
  </conditionalFormatting>
  <conditionalFormatting sqref="B71:B81 B52:B69">
    <cfRule type="duplicateValues" dxfId="25" priority="139"/>
  </conditionalFormatting>
  <conditionalFormatting sqref="B2:B30">
    <cfRule type="duplicateValues" dxfId="24" priority="140"/>
  </conditionalFormatting>
  <conditionalFormatting sqref="B107">
    <cfRule type="duplicateValues" dxfId="23" priority="141"/>
  </conditionalFormatting>
  <conditionalFormatting sqref="A107">
    <cfRule type="duplicateValues" dxfId="22" priority="142"/>
  </conditionalFormatting>
  <conditionalFormatting sqref="B104:B107">
    <cfRule type="duplicateValues" dxfId="21" priority="143"/>
  </conditionalFormatting>
  <conditionalFormatting sqref="B101:B124">
    <cfRule type="duplicateValues" dxfId="20" priority="144"/>
    <cfRule type="duplicateValues" dxfId="19" priority="145"/>
  </conditionalFormatting>
  <conditionalFormatting sqref="B101:B132">
    <cfRule type="duplicateValues" dxfId="18" priority="146"/>
    <cfRule type="duplicateValues" dxfId="17" priority="147"/>
  </conditionalFormatting>
  <conditionalFormatting sqref="B101:B136">
    <cfRule type="duplicateValues" dxfId="16" priority="148"/>
  </conditionalFormatting>
  <conditionalFormatting sqref="A156:A168 A146:A154 A101:A144">
    <cfRule type="duplicateValues" dxfId="15" priority="149"/>
  </conditionalFormatting>
  <conditionalFormatting sqref="B145">
    <cfRule type="duplicateValues" dxfId="14" priority="7"/>
  </conditionalFormatting>
  <conditionalFormatting sqref="A145">
    <cfRule type="duplicateValues" dxfId="13" priority="8"/>
  </conditionalFormatting>
  <conditionalFormatting sqref="B155">
    <cfRule type="duplicateValues" dxfId="12" priority="5"/>
  </conditionalFormatting>
  <conditionalFormatting sqref="A155">
    <cfRule type="duplicateValues" dxfId="11" priority="6"/>
  </conditionalFormatting>
  <conditionalFormatting sqref="A169:A175">
    <cfRule type="duplicateValues" dxfId="10" priority="150"/>
  </conditionalFormatting>
  <conditionalFormatting sqref="B169:B175">
    <cfRule type="duplicateValues" dxfId="9" priority="151"/>
  </conditionalFormatting>
  <conditionalFormatting sqref="A188">
    <cfRule type="duplicateValues" dxfId="8" priority="3"/>
  </conditionalFormatting>
  <conditionalFormatting sqref="B188">
    <cfRule type="duplicateValues" dxfId="7" priority="4"/>
  </conditionalFormatting>
  <conditionalFormatting sqref="A190">
    <cfRule type="duplicateValues" dxfId="6" priority="1"/>
  </conditionalFormatting>
  <conditionalFormatting sqref="B190">
    <cfRule type="duplicateValues" dxfId="5" priority="2"/>
  </conditionalFormatting>
  <conditionalFormatting sqref="B32:B51 B2:B30">
    <cfRule type="duplicateValues" dxfId="4" priority="152"/>
  </conditionalFormatting>
  <conditionalFormatting sqref="A2:A51">
    <cfRule type="duplicateValues" dxfId="3" priority="153"/>
    <cfRule type="duplicateValues" dxfId="2" priority="154"/>
  </conditionalFormatting>
  <conditionalFormatting sqref="A52:A81">
    <cfRule type="duplicateValues" dxfId="1" priority="155"/>
  </conditionalFormatting>
  <conditionalFormatting sqref="A2:A99">
    <cfRule type="duplicateValues" dxfId="0" priority="15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0BA70-5E95-4A60-B18B-AAA3F53B642E}">
  <sheetPr codeName="Sheet2"/>
  <dimension ref="A1:K206"/>
  <sheetViews>
    <sheetView topLeftCell="A120" workbookViewId="0">
      <selection activeCell="A139" sqref="A139"/>
    </sheetView>
  </sheetViews>
  <sheetFormatPr defaultRowHeight="15" x14ac:dyDescent="0.25"/>
  <cols>
    <col min="1" max="1" width="119.140625" bestFit="1" customWidth="1"/>
  </cols>
  <sheetData>
    <row r="1" spans="1:11" x14ac:dyDescent="0.25">
      <c r="A1" s="55" t="s">
        <v>0</v>
      </c>
      <c r="C1" s="55" t="s">
        <v>261</v>
      </c>
    </row>
    <row r="2" spans="1:11" x14ac:dyDescent="0.25">
      <c r="A2" s="49" t="s">
        <v>1148</v>
      </c>
      <c r="C2" t="s">
        <v>262</v>
      </c>
    </row>
    <row r="3" spans="1:11" x14ac:dyDescent="0.25">
      <c r="A3" s="49" t="s">
        <v>270</v>
      </c>
      <c r="C3" t="s">
        <v>1152</v>
      </c>
      <c r="K3" t="s">
        <v>2</v>
      </c>
    </row>
    <row r="4" spans="1:11" x14ac:dyDescent="0.25">
      <c r="A4" s="49" t="s">
        <v>369</v>
      </c>
      <c r="C4" t="s">
        <v>263</v>
      </c>
    </row>
    <row r="5" spans="1:11" x14ac:dyDescent="0.25">
      <c r="A5" s="49" t="s">
        <v>271</v>
      </c>
      <c r="C5" t="s">
        <v>367</v>
      </c>
    </row>
    <row r="6" spans="1:11" x14ac:dyDescent="0.25">
      <c r="A6" s="49" t="s">
        <v>272</v>
      </c>
      <c r="C6" t="s">
        <v>267</v>
      </c>
    </row>
    <row r="7" spans="1:11" x14ac:dyDescent="0.25">
      <c r="A7" s="49" t="s">
        <v>273</v>
      </c>
      <c r="C7" t="s">
        <v>268</v>
      </c>
    </row>
    <row r="8" spans="1:11" x14ac:dyDescent="0.25">
      <c r="A8" s="49" t="s">
        <v>274</v>
      </c>
      <c r="C8" t="s">
        <v>264</v>
      </c>
    </row>
    <row r="9" spans="1:11" x14ac:dyDescent="0.25">
      <c r="A9" s="49" t="s">
        <v>384</v>
      </c>
      <c r="C9" s="55" t="s">
        <v>265</v>
      </c>
    </row>
    <row r="10" spans="1:11" x14ac:dyDescent="0.25">
      <c r="A10" s="49" t="s">
        <v>411</v>
      </c>
      <c r="C10">
        <f>COUNTIF(A:A,"*"&amp;".xlsx")</f>
        <v>192</v>
      </c>
    </row>
    <row r="11" spans="1:11" x14ac:dyDescent="0.25">
      <c r="A11" s="49" t="s">
        <v>275</v>
      </c>
      <c r="C11" s="55" t="s">
        <v>266</v>
      </c>
    </row>
    <row r="12" spans="1:11" x14ac:dyDescent="0.25">
      <c r="A12" s="49" t="s">
        <v>385</v>
      </c>
      <c r="C12" s="56" t="s">
        <v>269</v>
      </c>
    </row>
    <row r="13" spans="1:11" x14ac:dyDescent="0.25">
      <c r="A13" s="101" t="s">
        <v>1</v>
      </c>
    </row>
    <row r="14" spans="1:11" x14ac:dyDescent="0.25">
      <c r="A14" s="101" t="s">
        <v>276</v>
      </c>
    </row>
    <row r="15" spans="1:11" x14ac:dyDescent="0.25">
      <c r="A15" s="101" t="s">
        <v>412</v>
      </c>
    </row>
    <row r="16" spans="1:11" x14ac:dyDescent="0.25">
      <c r="A16" s="101" t="s">
        <v>451</v>
      </c>
      <c r="C16" s="57" t="s">
        <v>368</v>
      </c>
    </row>
    <row r="17" spans="1:1" x14ac:dyDescent="0.25">
      <c r="A17" s="101" t="s">
        <v>277</v>
      </c>
    </row>
    <row r="18" spans="1:1" x14ac:dyDescent="0.25">
      <c r="A18" s="101" t="s">
        <v>278</v>
      </c>
    </row>
    <row r="19" spans="1:1" x14ac:dyDescent="0.25">
      <c r="A19" s="101" t="s">
        <v>452</v>
      </c>
    </row>
    <row r="20" spans="1:1" x14ac:dyDescent="0.25">
      <c r="A20" s="101" t="s">
        <v>279</v>
      </c>
    </row>
    <row r="21" spans="1:1" x14ac:dyDescent="0.25">
      <c r="A21" s="101" t="s">
        <v>280</v>
      </c>
    </row>
    <row r="22" spans="1:1" x14ac:dyDescent="0.25">
      <c r="A22" s="101" t="s">
        <v>15</v>
      </c>
    </row>
    <row r="23" spans="1:1" x14ac:dyDescent="0.25">
      <c r="A23" s="101" t="s">
        <v>281</v>
      </c>
    </row>
    <row r="24" spans="1:1" x14ac:dyDescent="0.25">
      <c r="A24" s="101" t="s">
        <v>370</v>
      </c>
    </row>
    <row r="25" spans="1:1" x14ac:dyDescent="0.25">
      <c r="A25" s="101" t="s">
        <v>453</v>
      </c>
    </row>
    <row r="26" spans="1:1" x14ac:dyDescent="0.25">
      <c r="A26" s="101" t="s">
        <v>371</v>
      </c>
    </row>
    <row r="27" spans="1:1" x14ac:dyDescent="0.25">
      <c r="A27" s="101" t="s">
        <v>413</v>
      </c>
    </row>
    <row r="28" spans="1:1" x14ac:dyDescent="0.25">
      <c r="A28" s="101" t="s">
        <v>282</v>
      </c>
    </row>
    <row r="29" spans="1:1" x14ac:dyDescent="0.25">
      <c r="A29" s="101" t="s">
        <v>283</v>
      </c>
    </row>
    <row r="30" spans="1:1" x14ac:dyDescent="0.25">
      <c r="A30" s="101" t="s">
        <v>284</v>
      </c>
    </row>
    <row r="31" spans="1:1" x14ac:dyDescent="0.25">
      <c r="A31" s="101" t="s">
        <v>414</v>
      </c>
    </row>
    <row r="32" spans="1:1" x14ac:dyDescent="0.25">
      <c r="A32" s="101" t="s">
        <v>285</v>
      </c>
    </row>
    <row r="33" spans="1:1" x14ac:dyDescent="0.25">
      <c r="A33" s="101" t="s">
        <v>454</v>
      </c>
    </row>
    <row r="34" spans="1:1" x14ac:dyDescent="0.25">
      <c r="A34" s="101" t="s">
        <v>455</v>
      </c>
    </row>
    <row r="35" spans="1:1" x14ac:dyDescent="0.25">
      <c r="A35" s="101" t="s">
        <v>456</v>
      </c>
    </row>
    <row r="36" spans="1:1" x14ac:dyDescent="0.25">
      <c r="A36" s="101" t="s">
        <v>286</v>
      </c>
    </row>
    <row r="37" spans="1:1" x14ac:dyDescent="0.25">
      <c r="A37" s="101" t="s">
        <v>287</v>
      </c>
    </row>
    <row r="38" spans="1:1" x14ac:dyDescent="0.25">
      <c r="A38" s="101" t="s">
        <v>288</v>
      </c>
    </row>
    <row r="39" spans="1:1" x14ac:dyDescent="0.25">
      <c r="A39" s="101" t="s">
        <v>457</v>
      </c>
    </row>
    <row r="40" spans="1:1" x14ac:dyDescent="0.25">
      <c r="A40" s="101" t="s">
        <v>289</v>
      </c>
    </row>
    <row r="41" spans="1:1" x14ac:dyDescent="0.25">
      <c r="A41" s="101" t="s">
        <v>386</v>
      </c>
    </row>
    <row r="42" spans="1:1" x14ac:dyDescent="0.25">
      <c r="A42" s="101" t="s">
        <v>415</v>
      </c>
    </row>
    <row r="43" spans="1:1" x14ac:dyDescent="0.25">
      <c r="A43" s="101" t="s">
        <v>290</v>
      </c>
    </row>
    <row r="44" spans="1:1" x14ac:dyDescent="0.25">
      <c r="A44" s="101" t="s">
        <v>416</v>
      </c>
    </row>
    <row r="45" spans="1:1" x14ac:dyDescent="0.25">
      <c r="A45" s="101" t="s">
        <v>387</v>
      </c>
    </row>
    <row r="46" spans="1:1" x14ac:dyDescent="0.25">
      <c r="A46" s="101" t="s">
        <v>291</v>
      </c>
    </row>
    <row r="47" spans="1:1" x14ac:dyDescent="0.25">
      <c r="A47" s="101" t="s">
        <v>458</v>
      </c>
    </row>
    <row r="48" spans="1:1" x14ac:dyDescent="0.25">
      <c r="A48" s="101" t="s">
        <v>292</v>
      </c>
    </row>
    <row r="49" spans="1:1" x14ac:dyDescent="0.25">
      <c r="A49" s="101" t="s">
        <v>1153</v>
      </c>
    </row>
    <row r="50" spans="1:1" x14ac:dyDescent="0.25">
      <c r="A50" s="101" t="s">
        <v>293</v>
      </c>
    </row>
    <row r="51" spans="1:1" x14ac:dyDescent="0.25">
      <c r="A51" s="101" t="s">
        <v>294</v>
      </c>
    </row>
    <row r="52" spans="1:1" x14ac:dyDescent="0.25">
      <c r="A52" s="101" t="s">
        <v>295</v>
      </c>
    </row>
    <row r="53" spans="1:1" x14ac:dyDescent="0.25">
      <c r="A53" s="101" t="s">
        <v>296</v>
      </c>
    </row>
    <row r="54" spans="1:1" x14ac:dyDescent="0.25">
      <c r="A54" s="101" t="s">
        <v>297</v>
      </c>
    </row>
    <row r="55" spans="1:1" x14ac:dyDescent="0.25">
      <c r="A55" s="101" t="s">
        <v>459</v>
      </c>
    </row>
    <row r="56" spans="1:1" x14ac:dyDescent="0.25">
      <c r="A56" s="101" t="s">
        <v>298</v>
      </c>
    </row>
    <row r="57" spans="1:1" x14ac:dyDescent="0.25">
      <c r="A57" s="101" t="s">
        <v>299</v>
      </c>
    </row>
    <row r="58" spans="1:1" x14ac:dyDescent="0.25">
      <c r="A58" s="101" t="s">
        <v>300</v>
      </c>
    </row>
    <row r="59" spans="1:1" x14ac:dyDescent="0.25">
      <c r="A59" s="101" t="s">
        <v>417</v>
      </c>
    </row>
    <row r="60" spans="1:1" x14ac:dyDescent="0.25">
      <c r="A60" s="101" t="s">
        <v>460</v>
      </c>
    </row>
    <row r="61" spans="1:1" x14ac:dyDescent="0.25">
      <c r="A61" s="101" t="s">
        <v>301</v>
      </c>
    </row>
    <row r="62" spans="1:1" x14ac:dyDescent="0.25">
      <c r="A62" s="101" t="s">
        <v>497</v>
      </c>
    </row>
    <row r="63" spans="1:1" x14ac:dyDescent="0.25">
      <c r="A63" s="101" t="s">
        <v>418</v>
      </c>
    </row>
    <row r="64" spans="1:1" x14ac:dyDescent="0.25">
      <c r="A64" s="101" t="s">
        <v>302</v>
      </c>
    </row>
    <row r="65" spans="1:1" x14ac:dyDescent="0.25">
      <c r="A65" s="101" t="s">
        <v>419</v>
      </c>
    </row>
    <row r="66" spans="1:1" x14ac:dyDescent="0.25">
      <c r="A66" s="101" t="s">
        <v>388</v>
      </c>
    </row>
    <row r="67" spans="1:1" x14ac:dyDescent="0.25">
      <c r="A67" s="101" t="s">
        <v>303</v>
      </c>
    </row>
    <row r="68" spans="1:1" x14ac:dyDescent="0.25">
      <c r="A68" s="101" t="s">
        <v>389</v>
      </c>
    </row>
    <row r="69" spans="1:1" x14ac:dyDescent="0.25">
      <c r="A69" s="101" t="s">
        <v>390</v>
      </c>
    </row>
    <row r="70" spans="1:1" x14ac:dyDescent="0.25">
      <c r="A70" s="101" t="s">
        <v>461</v>
      </c>
    </row>
    <row r="71" spans="1:1" x14ac:dyDescent="0.25">
      <c r="A71" s="101" t="s">
        <v>462</v>
      </c>
    </row>
    <row r="72" spans="1:1" x14ac:dyDescent="0.25">
      <c r="A72" s="101" t="s">
        <v>420</v>
      </c>
    </row>
    <row r="73" spans="1:1" x14ac:dyDescent="0.25">
      <c r="A73" s="101" t="s">
        <v>304</v>
      </c>
    </row>
    <row r="74" spans="1:1" x14ac:dyDescent="0.25">
      <c r="A74" s="101" t="s">
        <v>305</v>
      </c>
    </row>
    <row r="75" spans="1:1" x14ac:dyDescent="0.25">
      <c r="A75" s="101" t="s">
        <v>421</v>
      </c>
    </row>
    <row r="76" spans="1:1" x14ac:dyDescent="0.25">
      <c r="A76" s="101" t="s">
        <v>306</v>
      </c>
    </row>
    <row r="77" spans="1:1" x14ac:dyDescent="0.25">
      <c r="A77" s="101" t="s">
        <v>307</v>
      </c>
    </row>
    <row r="78" spans="1:1" x14ac:dyDescent="0.25">
      <c r="A78" s="101" t="s">
        <v>372</v>
      </c>
    </row>
    <row r="79" spans="1:1" x14ac:dyDescent="0.25">
      <c r="A79" s="101" t="s">
        <v>308</v>
      </c>
    </row>
    <row r="80" spans="1:1" x14ac:dyDescent="0.25">
      <c r="A80" s="101" t="s">
        <v>422</v>
      </c>
    </row>
    <row r="81" spans="1:1" x14ac:dyDescent="0.25">
      <c r="A81" s="101" t="s">
        <v>309</v>
      </c>
    </row>
    <row r="82" spans="1:1" x14ac:dyDescent="0.25">
      <c r="A82" s="101" t="s">
        <v>373</v>
      </c>
    </row>
    <row r="83" spans="1:1" x14ac:dyDescent="0.25">
      <c r="A83" s="101" t="s">
        <v>374</v>
      </c>
    </row>
    <row r="84" spans="1:1" x14ac:dyDescent="0.25">
      <c r="A84" s="101" t="s">
        <v>310</v>
      </c>
    </row>
    <row r="85" spans="1:1" x14ac:dyDescent="0.25">
      <c r="A85" s="101" t="s">
        <v>311</v>
      </c>
    </row>
    <row r="86" spans="1:1" x14ac:dyDescent="0.25">
      <c r="A86" s="101" t="s">
        <v>423</v>
      </c>
    </row>
    <row r="87" spans="1:1" x14ac:dyDescent="0.25">
      <c r="A87" s="101" t="s">
        <v>312</v>
      </c>
    </row>
    <row r="88" spans="1:1" x14ac:dyDescent="0.25">
      <c r="A88" s="101" t="s">
        <v>424</v>
      </c>
    </row>
    <row r="89" spans="1:1" x14ac:dyDescent="0.25">
      <c r="A89" s="101" t="s">
        <v>490</v>
      </c>
    </row>
    <row r="90" spans="1:1" x14ac:dyDescent="0.25">
      <c r="A90" s="101" t="s">
        <v>313</v>
      </c>
    </row>
    <row r="91" spans="1:1" x14ac:dyDescent="0.25">
      <c r="A91" s="101" t="s">
        <v>314</v>
      </c>
    </row>
    <row r="92" spans="1:1" x14ac:dyDescent="0.25">
      <c r="A92" s="101" t="s">
        <v>1141</v>
      </c>
    </row>
    <row r="93" spans="1:1" x14ac:dyDescent="0.25">
      <c r="A93" s="101" t="s">
        <v>463</v>
      </c>
    </row>
    <row r="94" spans="1:1" x14ac:dyDescent="0.25">
      <c r="A94" s="101" t="s">
        <v>315</v>
      </c>
    </row>
    <row r="95" spans="1:1" x14ac:dyDescent="0.25">
      <c r="A95" s="101" t="s">
        <v>464</v>
      </c>
    </row>
    <row r="96" spans="1:1" x14ac:dyDescent="0.25">
      <c r="A96" s="101" t="s">
        <v>316</v>
      </c>
    </row>
    <row r="97" spans="1:1" x14ac:dyDescent="0.25">
      <c r="A97" s="101" t="s">
        <v>317</v>
      </c>
    </row>
    <row r="98" spans="1:1" x14ac:dyDescent="0.25">
      <c r="A98" s="101" t="s">
        <v>465</v>
      </c>
    </row>
    <row r="99" spans="1:1" x14ac:dyDescent="0.25">
      <c r="A99" s="101" t="s">
        <v>466</v>
      </c>
    </row>
    <row r="100" spans="1:1" x14ac:dyDescent="0.25">
      <c r="A100" s="101" t="s">
        <v>318</v>
      </c>
    </row>
    <row r="101" spans="1:1" x14ac:dyDescent="0.25">
      <c r="A101" s="101" t="s">
        <v>425</v>
      </c>
    </row>
    <row r="102" spans="1:1" x14ac:dyDescent="0.25">
      <c r="A102" s="101" t="s">
        <v>319</v>
      </c>
    </row>
    <row r="103" spans="1:1" x14ac:dyDescent="0.25">
      <c r="A103" s="101" t="s">
        <v>426</v>
      </c>
    </row>
    <row r="104" spans="1:1" x14ac:dyDescent="0.25">
      <c r="A104" s="101" t="s">
        <v>467</v>
      </c>
    </row>
    <row r="105" spans="1:1" x14ac:dyDescent="0.25">
      <c r="A105" s="101" t="s">
        <v>320</v>
      </c>
    </row>
    <row r="106" spans="1:1" x14ac:dyDescent="0.25">
      <c r="A106" s="101" t="s">
        <v>321</v>
      </c>
    </row>
    <row r="107" spans="1:1" x14ac:dyDescent="0.25">
      <c r="A107" s="101" t="s">
        <v>322</v>
      </c>
    </row>
    <row r="108" spans="1:1" x14ac:dyDescent="0.25">
      <c r="A108" s="101" t="s">
        <v>323</v>
      </c>
    </row>
    <row r="109" spans="1:1" x14ac:dyDescent="0.25">
      <c r="A109" s="101" t="s">
        <v>324</v>
      </c>
    </row>
    <row r="110" spans="1:1" x14ac:dyDescent="0.25">
      <c r="A110" s="101" t="s">
        <v>325</v>
      </c>
    </row>
    <row r="111" spans="1:1" x14ac:dyDescent="0.25">
      <c r="A111" s="101" t="s">
        <v>326</v>
      </c>
    </row>
    <row r="112" spans="1:1" x14ac:dyDescent="0.25">
      <c r="A112" s="101" t="s">
        <v>327</v>
      </c>
    </row>
    <row r="113" spans="1:1" x14ac:dyDescent="0.25">
      <c r="A113" s="101" t="s">
        <v>427</v>
      </c>
    </row>
    <row r="114" spans="1:1" x14ac:dyDescent="0.25">
      <c r="A114" s="101" t="s">
        <v>328</v>
      </c>
    </row>
    <row r="115" spans="1:1" x14ac:dyDescent="0.25">
      <c r="A115" s="101" t="s">
        <v>329</v>
      </c>
    </row>
    <row r="116" spans="1:1" x14ac:dyDescent="0.25">
      <c r="A116" s="101" t="s">
        <v>375</v>
      </c>
    </row>
    <row r="117" spans="1:1" x14ac:dyDescent="0.25">
      <c r="A117" s="101" t="s">
        <v>330</v>
      </c>
    </row>
    <row r="118" spans="1:1" x14ac:dyDescent="0.25">
      <c r="A118" s="101" t="s">
        <v>331</v>
      </c>
    </row>
    <row r="119" spans="1:1" x14ac:dyDescent="0.25">
      <c r="A119" s="101" t="s">
        <v>332</v>
      </c>
    </row>
    <row r="120" spans="1:1" x14ac:dyDescent="0.25">
      <c r="A120" s="101" t="s">
        <v>333</v>
      </c>
    </row>
    <row r="121" spans="1:1" x14ac:dyDescent="0.25">
      <c r="A121" s="101" t="s">
        <v>334</v>
      </c>
    </row>
    <row r="122" spans="1:1" x14ac:dyDescent="0.25">
      <c r="A122" s="101" t="s">
        <v>335</v>
      </c>
    </row>
    <row r="123" spans="1:1" x14ac:dyDescent="0.25">
      <c r="A123" s="101" t="s">
        <v>336</v>
      </c>
    </row>
    <row r="124" spans="1:1" x14ac:dyDescent="0.25">
      <c r="A124" s="101" t="s">
        <v>337</v>
      </c>
    </row>
    <row r="125" spans="1:1" x14ac:dyDescent="0.25">
      <c r="A125" s="111" t="s">
        <v>468</v>
      </c>
    </row>
    <row r="126" spans="1:1" x14ac:dyDescent="0.25">
      <c r="A126" s="101" t="s">
        <v>469</v>
      </c>
    </row>
    <row r="127" spans="1:1" x14ac:dyDescent="0.25">
      <c r="A127" s="101" t="s">
        <v>1142</v>
      </c>
    </row>
    <row r="128" spans="1:1" x14ac:dyDescent="0.25">
      <c r="A128" s="101" t="s">
        <v>391</v>
      </c>
    </row>
    <row r="129" spans="1:1" x14ac:dyDescent="0.25">
      <c r="A129" s="101" t="s">
        <v>338</v>
      </c>
    </row>
    <row r="130" spans="1:1" x14ac:dyDescent="0.25">
      <c r="A130" s="101" t="s">
        <v>339</v>
      </c>
    </row>
    <row r="131" spans="1:1" x14ac:dyDescent="0.25">
      <c r="A131" s="101" t="s">
        <v>376</v>
      </c>
    </row>
    <row r="132" spans="1:1" x14ac:dyDescent="0.25">
      <c r="A132" s="101" t="s">
        <v>340</v>
      </c>
    </row>
    <row r="133" spans="1:1" x14ac:dyDescent="0.25">
      <c r="A133" s="101" t="s">
        <v>341</v>
      </c>
    </row>
    <row r="134" spans="1:1" x14ac:dyDescent="0.25">
      <c r="A134" s="101" t="s">
        <v>392</v>
      </c>
    </row>
    <row r="135" spans="1:1" x14ac:dyDescent="0.25">
      <c r="A135" s="101" t="s">
        <v>428</v>
      </c>
    </row>
    <row r="136" spans="1:1" x14ac:dyDescent="0.25">
      <c r="A136" s="101" t="s">
        <v>342</v>
      </c>
    </row>
    <row r="137" spans="1:1" x14ac:dyDescent="0.25">
      <c r="A137" s="101" t="s">
        <v>470</v>
      </c>
    </row>
    <row r="138" spans="1:1" x14ac:dyDescent="0.25">
      <c r="A138" s="101" t="s">
        <v>343</v>
      </c>
    </row>
    <row r="139" spans="1:1" x14ac:dyDescent="0.25">
      <c r="A139" s="101" t="s">
        <v>344</v>
      </c>
    </row>
    <row r="140" spans="1:1" x14ac:dyDescent="0.25">
      <c r="A140" s="101" t="s">
        <v>345</v>
      </c>
    </row>
    <row r="141" spans="1:1" x14ac:dyDescent="0.25">
      <c r="A141" s="101" t="s">
        <v>1143</v>
      </c>
    </row>
    <row r="142" spans="1:1" x14ac:dyDescent="0.25">
      <c r="A142" s="101" t="s">
        <v>471</v>
      </c>
    </row>
    <row r="143" spans="1:1" x14ac:dyDescent="0.25">
      <c r="A143" s="101" t="s">
        <v>346</v>
      </c>
    </row>
    <row r="144" spans="1:1" x14ac:dyDescent="0.25">
      <c r="A144" s="101" t="s">
        <v>472</v>
      </c>
    </row>
    <row r="145" spans="1:1" x14ac:dyDescent="0.25">
      <c r="A145" s="101" t="s">
        <v>473</v>
      </c>
    </row>
    <row r="146" spans="1:1" x14ac:dyDescent="0.25">
      <c r="A146" s="101" t="s">
        <v>347</v>
      </c>
    </row>
    <row r="147" spans="1:1" x14ac:dyDescent="0.25">
      <c r="A147" s="101" t="s">
        <v>429</v>
      </c>
    </row>
    <row r="148" spans="1:1" x14ac:dyDescent="0.25">
      <c r="A148" s="101" t="s">
        <v>348</v>
      </c>
    </row>
    <row r="149" spans="1:1" x14ac:dyDescent="0.25">
      <c r="A149" s="101" t="s">
        <v>349</v>
      </c>
    </row>
    <row r="150" spans="1:1" x14ac:dyDescent="0.25">
      <c r="A150" s="101" t="s">
        <v>350</v>
      </c>
    </row>
    <row r="151" spans="1:1" x14ac:dyDescent="0.25">
      <c r="A151" s="101" t="s">
        <v>1154</v>
      </c>
    </row>
    <row r="152" spans="1:1" x14ac:dyDescent="0.25">
      <c r="A152" s="49" t="s">
        <v>351</v>
      </c>
    </row>
    <row r="153" spans="1:1" x14ac:dyDescent="0.25">
      <c r="A153" s="49" t="s">
        <v>393</v>
      </c>
    </row>
    <row r="154" spans="1:1" x14ac:dyDescent="0.25">
      <c r="A154" s="49" t="s">
        <v>474</v>
      </c>
    </row>
    <row r="155" spans="1:1" x14ac:dyDescent="0.25">
      <c r="A155" s="49" t="s">
        <v>352</v>
      </c>
    </row>
    <row r="156" spans="1:1" x14ac:dyDescent="0.25">
      <c r="A156" s="49" t="s">
        <v>353</v>
      </c>
    </row>
    <row r="157" spans="1:1" x14ac:dyDescent="0.25">
      <c r="A157" s="49" t="s">
        <v>394</v>
      </c>
    </row>
    <row r="158" spans="1:1" x14ac:dyDescent="0.25">
      <c r="A158" s="49" t="s">
        <v>1144</v>
      </c>
    </row>
    <row r="159" spans="1:1" x14ac:dyDescent="0.25">
      <c r="A159" s="49" t="s">
        <v>475</v>
      </c>
    </row>
    <row r="160" spans="1:1" x14ac:dyDescent="0.25">
      <c r="A160" s="49" t="s">
        <v>430</v>
      </c>
    </row>
    <row r="161" spans="1:1" x14ac:dyDescent="0.25">
      <c r="A161" s="49" t="s">
        <v>431</v>
      </c>
    </row>
    <row r="162" spans="1:1" x14ac:dyDescent="0.25">
      <c r="A162" s="49" t="s">
        <v>432</v>
      </c>
    </row>
    <row r="163" spans="1:1" x14ac:dyDescent="0.25">
      <c r="A163" s="49" t="s">
        <v>476</v>
      </c>
    </row>
    <row r="164" spans="1:1" x14ac:dyDescent="0.25">
      <c r="A164" s="49" t="s">
        <v>354</v>
      </c>
    </row>
    <row r="165" spans="1:1" x14ac:dyDescent="0.25">
      <c r="A165" s="49" t="s">
        <v>395</v>
      </c>
    </row>
    <row r="166" spans="1:1" x14ac:dyDescent="0.25">
      <c r="A166" s="49" t="s">
        <v>1145</v>
      </c>
    </row>
    <row r="167" spans="1:1" x14ac:dyDescent="0.25">
      <c r="A167" s="49" t="s">
        <v>355</v>
      </c>
    </row>
    <row r="168" spans="1:1" x14ac:dyDescent="0.25">
      <c r="A168" s="49" t="s">
        <v>491</v>
      </c>
    </row>
    <row r="169" spans="1:1" x14ac:dyDescent="0.25">
      <c r="A169" s="49" t="s">
        <v>356</v>
      </c>
    </row>
    <row r="170" spans="1:1" x14ac:dyDescent="0.25">
      <c r="A170" s="49" t="s">
        <v>357</v>
      </c>
    </row>
    <row r="171" spans="1:1" x14ac:dyDescent="0.25">
      <c r="A171" s="49" t="s">
        <v>358</v>
      </c>
    </row>
    <row r="172" spans="1:1" x14ac:dyDescent="0.25">
      <c r="A172" s="49" t="s">
        <v>477</v>
      </c>
    </row>
    <row r="173" spans="1:1" x14ac:dyDescent="0.25">
      <c r="A173" s="49" t="s">
        <v>359</v>
      </c>
    </row>
    <row r="174" spans="1:1" x14ac:dyDescent="0.25">
      <c r="A174" s="49" t="s">
        <v>478</v>
      </c>
    </row>
    <row r="175" spans="1:1" x14ac:dyDescent="0.25">
      <c r="A175" s="49" t="s">
        <v>479</v>
      </c>
    </row>
    <row r="176" spans="1:1" x14ac:dyDescent="0.25">
      <c r="A176" s="49" t="s">
        <v>433</v>
      </c>
    </row>
    <row r="177" spans="1:1" x14ac:dyDescent="0.25">
      <c r="A177" s="49" t="s">
        <v>480</v>
      </c>
    </row>
    <row r="178" spans="1:1" x14ac:dyDescent="0.25">
      <c r="A178" s="49" t="s">
        <v>481</v>
      </c>
    </row>
    <row r="179" spans="1:1" x14ac:dyDescent="0.25">
      <c r="A179" s="49" t="s">
        <v>482</v>
      </c>
    </row>
    <row r="180" spans="1:1" x14ac:dyDescent="0.25">
      <c r="A180" s="49" t="s">
        <v>360</v>
      </c>
    </row>
    <row r="181" spans="1:1" x14ac:dyDescent="0.25">
      <c r="A181" s="49" t="s">
        <v>361</v>
      </c>
    </row>
    <row r="182" spans="1:1" x14ac:dyDescent="0.25">
      <c r="A182" s="49" t="s">
        <v>396</v>
      </c>
    </row>
    <row r="183" spans="1:1" x14ac:dyDescent="0.25">
      <c r="A183" s="49" t="s">
        <v>362</v>
      </c>
    </row>
    <row r="184" spans="1:1" x14ac:dyDescent="0.25">
      <c r="A184" s="49" t="s">
        <v>434</v>
      </c>
    </row>
    <row r="185" spans="1:1" x14ac:dyDescent="0.25">
      <c r="A185" s="49" t="s">
        <v>483</v>
      </c>
    </row>
    <row r="186" spans="1:1" x14ac:dyDescent="0.25">
      <c r="A186" s="49" t="s">
        <v>363</v>
      </c>
    </row>
    <row r="187" spans="1:1" x14ac:dyDescent="0.25">
      <c r="A187" s="49" t="s">
        <v>364</v>
      </c>
    </row>
    <row r="188" spans="1:1" x14ac:dyDescent="0.25">
      <c r="A188" s="49" t="s">
        <v>365</v>
      </c>
    </row>
    <row r="189" spans="1:1" x14ac:dyDescent="0.25">
      <c r="A189" s="49" t="s">
        <v>484</v>
      </c>
    </row>
    <row r="190" spans="1:1" x14ac:dyDescent="0.25">
      <c r="A190" s="49" t="s">
        <v>492</v>
      </c>
    </row>
    <row r="191" spans="1:1" x14ac:dyDescent="0.25">
      <c r="A191" s="49" t="s">
        <v>435</v>
      </c>
    </row>
    <row r="192" spans="1:1" x14ac:dyDescent="0.25">
      <c r="A192" s="49" t="s">
        <v>493</v>
      </c>
    </row>
    <row r="193" spans="1:1" x14ac:dyDescent="0.25">
      <c r="A193" s="49" t="s">
        <v>366</v>
      </c>
    </row>
    <row r="194" spans="1:1" x14ac:dyDescent="0.25">
      <c r="A194" s="49"/>
    </row>
    <row r="195" spans="1:1" x14ac:dyDescent="0.25">
      <c r="A195" s="49"/>
    </row>
    <row r="196" spans="1:1" x14ac:dyDescent="0.25">
      <c r="A196" s="49"/>
    </row>
    <row r="197" spans="1:1" x14ac:dyDescent="0.25">
      <c r="A197" s="49"/>
    </row>
    <row r="198" spans="1:1" x14ac:dyDescent="0.25">
      <c r="A198" s="49"/>
    </row>
    <row r="199" spans="1:1" x14ac:dyDescent="0.25">
      <c r="A199" s="49"/>
    </row>
    <row r="200" spans="1:1" x14ac:dyDescent="0.25">
      <c r="A200" s="49"/>
    </row>
    <row r="201" spans="1:1" x14ac:dyDescent="0.25">
      <c r="A201" s="49"/>
    </row>
    <row r="202" spans="1:1" x14ac:dyDescent="0.25">
      <c r="A202" s="49"/>
    </row>
    <row r="203" spans="1:1" x14ac:dyDescent="0.25">
      <c r="A203" s="49"/>
    </row>
    <row r="204" spans="1:1" x14ac:dyDescent="0.25">
      <c r="A204" s="49"/>
    </row>
    <row r="205" spans="1:1" x14ac:dyDescent="0.25">
      <c r="A205" s="49"/>
    </row>
    <row r="206" spans="1:1" x14ac:dyDescent="0.25">
      <c r="A206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D3C18-C433-4B8E-A1A6-1B23FBEEDD12}">
  <dimension ref="A1:B818"/>
  <sheetViews>
    <sheetView topLeftCell="A138" workbookViewId="0">
      <selection activeCell="B162" sqref="B162"/>
    </sheetView>
  </sheetViews>
  <sheetFormatPr defaultRowHeight="15" x14ac:dyDescent="0.25"/>
  <cols>
    <col min="1" max="1" width="11" bestFit="1" customWidth="1"/>
    <col min="2" max="2" width="38" bestFit="1" customWidth="1"/>
  </cols>
  <sheetData>
    <row r="1" spans="1:2" x14ac:dyDescent="0.25">
      <c r="A1" s="105">
        <v>9620000002</v>
      </c>
      <c r="B1" s="106" t="s">
        <v>500</v>
      </c>
    </row>
    <row r="2" spans="1:2" x14ac:dyDescent="0.25">
      <c r="A2" s="105">
        <v>9620000004</v>
      </c>
      <c r="B2" s="106" t="s">
        <v>121</v>
      </c>
    </row>
    <row r="3" spans="1:2" x14ac:dyDescent="0.25">
      <c r="A3" s="105">
        <v>9620087032</v>
      </c>
      <c r="B3" s="106" t="s">
        <v>501</v>
      </c>
    </row>
    <row r="4" spans="1:2" x14ac:dyDescent="0.25">
      <c r="A4" s="105">
        <v>9620000006</v>
      </c>
      <c r="B4" s="106" t="s">
        <v>502</v>
      </c>
    </row>
    <row r="5" spans="1:2" x14ac:dyDescent="0.25">
      <c r="A5" s="105">
        <v>9620000009</v>
      </c>
      <c r="B5" s="106" t="s">
        <v>71</v>
      </c>
    </row>
    <row r="6" spans="1:2" x14ac:dyDescent="0.25">
      <c r="A6" s="105">
        <v>9620088014</v>
      </c>
      <c r="B6" s="106" t="s">
        <v>827</v>
      </c>
    </row>
    <row r="7" spans="1:2" x14ac:dyDescent="0.25">
      <c r="A7" s="105">
        <v>9620088116</v>
      </c>
      <c r="B7" s="106" t="s">
        <v>828</v>
      </c>
    </row>
    <row r="8" spans="1:2" x14ac:dyDescent="0.25">
      <c r="A8" s="105">
        <v>9620000730</v>
      </c>
      <c r="B8" s="106" t="s">
        <v>503</v>
      </c>
    </row>
    <row r="9" spans="1:2" x14ac:dyDescent="0.25">
      <c r="A9" s="105">
        <v>9620000012</v>
      </c>
      <c r="B9" s="106" t="s">
        <v>504</v>
      </c>
    </row>
    <row r="10" spans="1:2" x14ac:dyDescent="0.25">
      <c r="A10" s="105">
        <v>9620000014</v>
      </c>
      <c r="B10" s="106" t="s">
        <v>505</v>
      </c>
    </row>
    <row r="11" spans="1:2" x14ac:dyDescent="0.25">
      <c r="A11" s="105">
        <v>9620050494</v>
      </c>
      <c r="B11" s="106" t="s">
        <v>1071</v>
      </c>
    </row>
    <row r="12" spans="1:2" x14ac:dyDescent="0.25">
      <c r="A12" s="105">
        <v>9620000732</v>
      </c>
      <c r="B12" s="106" t="s">
        <v>9</v>
      </c>
    </row>
    <row r="13" spans="1:2" x14ac:dyDescent="0.25">
      <c r="A13" s="105">
        <v>9620088015</v>
      </c>
      <c r="B13" s="106" t="s">
        <v>829</v>
      </c>
    </row>
    <row r="14" spans="1:2" x14ac:dyDescent="0.25">
      <c r="A14" s="105">
        <v>9620000733</v>
      </c>
      <c r="B14" s="106" t="s">
        <v>506</v>
      </c>
    </row>
    <row r="15" spans="1:2" x14ac:dyDescent="0.25">
      <c r="A15" s="105">
        <v>9620000025</v>
      </c>
      <c r="B15" s="106" t="s">
        <v>507</v>
      </c>
    </row>
    <row r="16" spans="1:2" x14ac:dyDescent="0.25">
      <c r="A16" s="105">
        <v>9620000026</v>
      </c>
      <c r="B16" s="106" t="s">
        <v>123</v>
      </c>
    </row>
    <row r="17" spans="1:2" x14ac:dyDescent="0.25">
      <c r="A17" s="105">
        <v>9620000027</v>
      </c>
      <c r="B17" s="106" t="s">
        <v>11</v>
      </c>
    </row>
    <row r="18" spans="1:2" x14ac:dyDescent="0.25">
      <c r="A18" s="105">
        <v>9620000734</v>
      </c>
      <c r="B18" s="106" t="s">
        <v>11</v>
      </c>
    </row>
    <row r="19" spans="1:2" x14ac:dyDescent="0.25">
      <c r="A19" s="105">
        <v>9620000028</v>
      </c>
      <c r="B19" s="106" t="s">
        <v>508</v>
      </c>
    </row>
    <row r="20" spans="1:2" x14ac:dyDescent="0.25">
      <c r="A20" s="105">
        <v>9620044134</v>
      </c>
      <c r="B20" s="106" t="s">
        <v>1072</v>
      </c>
    </row>
    <row r="21" spans="1:2" x14ac:dyDescent="0.25">
      <c r="A21" s="105">
        <v>9620087933</v>
      </c>
      <c r="B21" s="106" t="s">
        <v>830</v>
      </c>
    </row>
    <row r="22" spans="1:2" x14ac:dyDescent="0.25">
      <c r="A22" s="105">
        <v>9620087955</v>
      </c>
      <c r="B22" s="106" t="s">
        <v>831</v>
      </c>
    </row>
    <row r="23" spans="1:2" x14ac:dyDescent="0.25">
      <c r="A23" s="105">
        <v>9620000735</v>
      </c>
      <c r="B23" s="106" t="s">
        <v>509</v>
      </c>
    </row>
    <row r="24" spans="1:2" x14ac:dyDescent="0.25">
      <c r="A24" s="105">
        <v>9620000033</v>
      </c>
      <c r="B24" s="106" t="s">
        <v>510</v>
      </c>
    </row>
    <row r="25" spans="1:2" x14ac:dyDescent="0.25">
      <c r="A25" s="105">
        <v>9620088117</v>
      </c>
      <c r="B25" s="106" t="s">
        <v>832</v>
      </c>
    </row>
    <row r="26" spans="1:2" x14ac:dyDescent="0.25">
      <c r="A26" s="105">
        <v>9620088076</v>
      </c>
      <c r="B26" s="106" t="s">
        <v>833</v>
      </c>
    </row>
    <row r="27" spans="1:2" x14ac:dyDescent="0.25">
      <c r="A27" s="105">
        <v>9620087934</v>
      </c>
      <c r="B27" s="106" t="s">
        <v>834</v>
      </c>
    </row>
    <row r="28" spans="1:2" x14ac:dyDescent="0.25">
      <c r="A28" s="105">
        <v>9620000737</v>
      </c>
      <c r="B28" s="106" t="s">
        <v>511</v>
      </c>
    </row>
    <row r="29" spans="1:2" x14ac:dyDescent="0.25">
      <c r="A29" s="105">
        <v>9620000034</v>
      </c>
      <c r="B29" s="106" t="s">
        <v>125</v>
      </c>
    </row>
    <row r="30" spans="1:2" x14ac:dyDescent="0.25">
      <c r="A30" s="105">
        <v>9620000035</v>
      </c>
      <c r="B30" s="106" t="s">
        <v>512</v>
      </c>
    </row>
    <row r="31" spans="1:2" x14ac:dyDescent="0.25">
      <c r="A31" s="105">
        <v>9620000037</v>
      </c>
      <c r="B31" s="106" t="s">
        <v>126</v>
      </c>
    </row>
    <row r="32" spans="1:2" x14ac:dyDescent="0.25">
      <c r="A32" s="105">
        <v>9620087935</v>
      </c>
      <c r="B32" s="106" t="s">
        <v>835</v>
      </c>
    </row>
    <row r="33" spans="1:2" x14ac:dyDescent="0.25">
      <c r="A33" s="105">
        <v>9620000044</v>
      </c>
      <c r="B33" s="106" t="s">
        <v>513</v>
      </c>
    </row>
    <row r="34" spans="1:2" x14ac:dyDescent="0.25">
      <c r="A34" s="105">
        <v>9620000048</v>
      </c>
      <c r="B34" s="106" t="s">
        <v>514</v>
      </c>
    </row>
    <row r="35" spans="1:2" x14ac:dyDescent="0.25">
      <c r="A35" s="105">
        <v>9620088031</v>
      </c>
      <c r="B35" s="106" t="s">
        <v>836</v>
      </c>
    </row>
    <row r="36" spans="1:2" x14ac:dyDescent="0.25">
      <c r="A36" s="105">
        <v>9620087936</v>
      </c>
      <c r="B36" s="106" t="s">
        <v>837</v>
      </c>
    </row>
    <row r="37" spans="1:2" x14ac:dyDescent="0.25">
      <c r="A37" s="105">
        <v>9620087956</v>
      </c>
      <c r="B37" s="106" t="s">
        <v>838</v>
      </c>
    </row>
    <row r="38" spans="1:2" x14ac:dyDescent="0.25">
      <c r="A38" s="105">
        <v>9620033204</v>
      </c>
      <c r="B38" s="106" t="s">
        <v>1073</v>
      </c>
    </row>
    <row r="39" spans="1:2" x14ac:dyDescent="0.25">
      <c r="A39" s="105">
        <v>9620000052</v>
      </c>
      <c r="B39" s="106" t="s">
        <v>515</v>
      </c>
    </row>
    <row r="40" spans="1:2" x14ac:dyDescent="0.25">
      <c r="A40" s="105">
        <v>9620000055</v>
      </c>
      <c r="B40" s="106" t="s">
        <v>516</v>
      </c>
    </row>
    <row r="41" spans="1:2" x14ac:dyDescent="0.25">
      <c r="A41" s="105">
        <v>9620000056</v>
      </c>
      <c r="B41" s="106" t="s">
        <v>517</v>
      </c>
    </row>
    <row r="42" spans="1:2" x14ac:dyDescent="0.25">
      <c r="A42" s="105">
        <v>9620002273</v>
      </c>
      <c r="B42" s="106" t="s">
        <v>518</v>
      </c>
    </row>
    <row r="43" spans="1:2" x14ac:dyDescent="0.25">
      <c r="A43" s="105">
        <v>9620000738</v>
      </c>
      <c r="B43" s="106" t="s">
        <v>127</v>
      </c>
    </row>
    <row r="44" spans="1:2" x14ac:dyDescent="0.25">
      <c r="A44" s="105">
        <v>9620000062</v>
      </c>
      <c r="B44" s="106" t="s">
        <v>128</v>
      </c>
    </row>
    <row r="45" spans="1:2" x14ac:dyDescent="0.25">
      <c r="A45" s="105">
        <v>9620000063</v>
      </c>
      <c r="B45" s="106" t="s">
        <v>129</v>
      </c>
    </row>
    <row r="46" spans="1:2" x14ac:dyDescent="0.25">
      <c r="A46" s="105">
        <v>9620000064</v>
      </c>
      <c r="B46" s="106" t="s">
        <v>519</v>
      </c>
    </row>
    <row r="47" spans="1:2" x14ac:dyDescent="0.25">
      <c r="A47" s="105">
        <v>9620000065</v>
      </c>
      <c r="B47" s="106" t="s">
        <v>1074</v>
      </c>
    </row>
    <row r="48" spans="1:2" x14ac:dyDescent="0.25">
      <c r="A48" s="105">
        <v>9620000066</v>
      </c>
      <c r="B48" s="106" t="s">
        <v>520</v>
      </c>
    </row>
    <row r="49" spans="1:2" x14ac:dyDescent="0.25">
      <c r="A49" s="105">
        <v>9620000071</v>
      </c>
      <c r="B49" s="106" t="s">
        <v>130</v>
      </c>
    </row>
    <row r="50" spans="1:2" x14ac:dyDescent="0.25">
      <c r="A50" s="105">
        <v>9620000072</v>
      </c>
      <c r="B50" s="106" t="s">
        <v>131</v>
      </c>
    </row>
    <row r="51" spans="1:2" x14ac:dyDescent="0.25">
      <c r="A51" s="105">
        <v>9620000075</v>
      </c>
      <c r="B51" s="106" t="s">
        <v>132</v>
      </c>
    </row>
    <row r="52" spans="1:2" x14ac:dyDescent="0.25">
      <c r="A52" s="105">
        <v>9620000741</v>
      </c>
      <c r="B52" s="106" t="s">
        <v>521</v>
      </c>
    </row>
    <row r="53" spans="1:2" x14ac:dyDescent="0.25">
      <c r="A53" s="105">
        <v>9620000077</v>
      </c>
      <c r="B53" s="106" t="s">
        <v>522</v>
      </c>
    </row>
    <row r="54" spans="1:2" x14ac:dyDescent="0.25">
      <c r="A54" s="105">
        <v>9620044378</v>
      </c>
      <c r="B54" s="106" t="s">
        <v>1075</v>
      </c>
    </row>
    <row r="55" spans="1:2" x14ac:dyDescent="0.25">
      <c r="A55" s="105">
        <v>9620046939</v>
      </c>
      <c r="B55" s="106" t="s">
        <v>523</v>
      </c>
    </row>
    <row r="56" spans="1:2" x14ac:dyDescent="0.25">
      <c r="A56" s="105">
        <v>9620000078</v>
      </c>
      <c r="B56" s="106" t="s">
        <v>133</v>
      </c>
    </row>
    <row r="57" spans="1:2" x14ac:dyDescent="0.25">
      <c r="A57" s="105">
        <v>9620000080</v>
      </c>
      <c r="B57" s="106" t="s">
        <v>20</v>
      </c>
    </row>
    <row r="58" spans="1:2" x14ac:dyDescent="0.25">
      <c r="A58" s="105">
        <v>9620088049</v>
      </c>
      <c r="B58" s="106" t="s">
        <v>839</v>
      </c>
    </row>
    <row r="59" spans="1:2" x14ac:dyDescent="0.25">
      <c r="A59" s="105">
        <v>9620000083</v>
      </c>
      <c r="B59" s="106" t="s">
        <v>134</v>
      </c>
    </row>
    <row r="60" spans="1:2" x14ac:dyDescent="0.25">
      <c r="A60" s="105">
        <v>9620000084</v>
      </c>
      <c r="B60" s="106" t="s">
        <v>436</v>
      </c>
    </row>
    <row r="61" spans="1:2" x14ac:dyDescent="0.25">
      <c r="A61" s="105">
        <v>9620000086</v>
      </c>
      <c r="B61" s="106" t="s">
        <v>524</v>
      </c>
    </row>
    <row r="62" spans="1:2" x14ac:dyDescent="0.25">
      <c r="A62" s="105">
        <v>9620000087</v>
      </c>
      <c r="B62" s="106" t="s">
        <v>136</v>
      </c>
    </row>
    <row r="63" spans="1:2" x14ac:dyDescent="0.25">
      <c r="A63" s="105">
        <v>9620000088</v>
      </c>
      <c r="B63" s="106" t="s">
        <v>137</v>
      </c>
    </row>
    <row r="64" spans="1:2" x14ac:dyDescent="0.25">
      <c r="A64" s="105">
        <v>9620000089</v>
      </c>
      <c r="B64" s="106" t="s">
        <v>138</v>
      </c>
    </row>
    <row r="65" spans="1:2" x14ac:dyDescent="0.25">
      <c r="A65" s="105">
        <v>9620000090</v>
      </c>
      <c r="B65" s="106" t="s">
        <v>139</v>
      </c>
    </row>
    <row r="66" spans="1:2" x14ac:dyDescent="0.25">
      <c r="A66" s="105">
        <v>9620000092</v>
      </c>
      <c r="B66" s="106" t="s">
        <v>249</v>
      </c>
    </row>
    <row r="67" spans="1:2" x14ac:dyDescent="0.25">
      <c r="A67" s="105">
        <v>9620000742</v>
      </c>
      <c r="B67" s="106" t="s">
        <v>249</v>
      </c>
    </row>
    <row r="68" spans="1:2" x14ac:dyDescent="0.25">
      <c r="A68" s="105">
        <v>9620000093</v>
      </c>
      <c r="B68" s="106" t="s">
        <v>1076</v>
      </c>
    </row>
    <row r="69" spans="1:2" x14ac:dyDescent="0.25">
      <c r="A69" s="105">
        <v>9620050081</v>
      </c>
      <c r="B69" s="106" t="s">
        <v>1077</v>
      </c>
    </row>
    <row r="70" spans="1:2" x14ac:dyDescent="0.25">
      <c r="A70" s="105">
        <v>9620087878</v>
      </c>
      <c r="B70" s="106" t="s">
        <v>525</v>
      </c>
    </row>
    <row r="71" spans="1:2" x14ac:dyDescent="0.25">
      <c r="A71" s="105">
        <v>9620087882</v>
      </c>
      <c r="B71" s="106" t="s">
        <v>526</v>
      </c>
    </row>
    <row r="72" spans="1:2" x14ac:dyDescent="0.25">
      <c r="A72" s="105">
        <v>9620087877</v>
      </c>
      <c r="B72" s="106" t="s">
        <v>527</v>
      </c>
    </row>
    <row r="73" spans="1:2" x14ac:dyDescent="0.25">
      <c r="A73" s="105">
        <v>9620087886</v>
      </c>
      <c r="B73" s="106" t="s">
        <v>528</v>
      </c>
    </row>
    <row r="74" spans="1:2" x14ac:dyDescent="0.25">
      <c r="A74" s="105">
        <v>9620087879</v>
      </c>
      <c r="B74" s="106" t="s">
        <v>529</v>
      </c>
    </row>
    <row r="75" spans="1:2" x14ac:dyDescent="0.25">
      <c r="A75" s="105">
        <v>9620087881</v>
      </c>
      <c r="B75" s="106" t="s">
        <v>530</v>
      </c>
    </row>
    <row r="76" spans="1:2" x14ac:dyDescent="0.25">
      <c r="A76" s="105">
        <v>9620087885</v>
      </c>
      <c r="B76" s="106" t="s">
        <v>531</v>
      </c>
    </row>
    <row r="77" spans="1:2" x14ac:dyDescent="0.25">
      <c r="A77" s="105">
        <v>9620087880</v>
      </c>
      <c r="B77" s="106" t="s">
        <v>532</v>
      </c>
    </row>
    <row r="78" spans="1:2" x14ac:dyDescent="0.25">
      <c r="A78" s="105">
        <v>9620087883</v>
      </c>
      <c r="B78" s="106" t="s">
        <v>533</v>
      </c>
    </row>
    <row r="79" spans="1:2" x14ac:dyDescent="0.25">
      <c r="A79" s="105">
        <v>9620087884</v>
      </c>
      <c r="B79" s="106" t="s">
        <v>534</v>
      </c>
    </row>
    <row r="80" spans="1:2" x14ac:dyDescent="0.25">
      <c r="A80" s="105">
        <v>9620000094</v>
      </c>
      <c r="B80" s="106" t="s">
        <v>535</v>
      </c>
    </row>
    <row r="81" spans="1:2" x14ac:dyDescent="0.25">
      <c r="A81" s="105">
        <v>9620000095</v>
      </c>
      <c r="B81" s="106" t="s">
        <v>536</v>
      </c>
    </row>
    <row r="82" spans="1:2" x14ac:dyDescent="0.25">
      <c r="A82" s="105">
        <v>9620000743</v>
      </c>
      <c r="B82" s="106" t="s">
        <v>537</v>
      </c>
    </row>
    <row r="83" spans="1:2" x14ac:dyDescent="0.25">
      <c r="A83" s="105">
        <v>9620000745</v>
      </c>
      <c r="B83" s="106" t="s">
        <v>1078</v>
      </c>
    </row>
    <row r="84" spans="1:2" x14ac:dyDescent="0.25">
      <c r="A84" s="105">
        <v>9620000097</v>
      </c>
      <c r="B84" s="106" t="s">
        <v>538</v>
      </c>
    </row>
    <row r="85" spans="1:2" x14ac:dyDescent="0.25">
      <c r="A85" s="105">
        <v>9620000098</v>
      </c>
      <c r="B85" s="106" t="s">
        <v>539</v>
      </c>
    </row>
    <row r="86" spans="1:2" x14ac:dyDescent="0.25">
      <c r="A86" s="105">
        <v>9620000100</v>
      </c>
      <c r="B86" s="106" t="s">
        <v>25</v>
      </c>
    </row>
    <row r="87" spans="1:2" x14ac:dyDescent="0.25">
      <c r="A87" s="105">
        <v>9620089387</v>
      </c>
      <c r="B87" s="106" t="s">
        <v>840</v>
      </c>
    </row>
    <row r="88" spans="1:2" x14ac:dyDescent="0.25">
      <c r="A88" s="105">
        <v>9620088142</v>
      </c>
      <c r="B88" s="106" t="s">
        <v>841</v>
      </c>
    </row>
    <row r="89" spans="1:2" x14ac:dyDescent="0.25">
      <c r="A89" s="105">
        <v>9620000105</v>
      </c>
      <c r="B89" s="106" t="s">
        <v>540</v>
      </c>
    </row>
    <row r="90" spans="1:2" x14ac:dyDescent="0.25">
      <c r="A90" s="105">
        <v>9620000106</v>
      </c>
      <c r="B90" s="106" t="s">
        <v>541</v>
      </c>
    </row>
    <row r="91" spans="1:2" x14ac:dyDescent="0.25">
      <c r="A91" s="105">
        <v>9620047084</v>
      </c>
      <c r="B91" s="106" t="s">
        <v>143</v>
      </c>
    </row>
    <row r="92" spans="1:2" x14ac:dyDescent="0.25">
      <c r="A92" s="105">
        <v>9620000746</v>
      </c>
      <c r="B92" s="106" t="s">
        <v>542</v>
      </c>
    </row>
    <row r="93" spans="1:2" x14ac:dyDescent="0.25">
      <c r="A93" s="105">
        <v>9620088016</v>
      </c>
      <c r="B93" s="106" t="s">
        <v>842</v>
      </c>
    </row>
    <row r="94" spans="1:2" x14ac:dyDescent="0.25">
      <c r="A94" s="105">
        <v>9620048518</v>
      </c>
      <c r="B94" s="106" t="s">
        <v>543</v>
      </c>
    </row>
    <row r="95" spans="1:2" x14ac:dyDescent="0.25">
      <c r="A95" s="105">
        <v>9620000113</v>
      </c>
      <c r="B95" s="106" t="s">
        <v>544</v>
      </c>
    </row>
    <row r="96" spans="1:2" x14ac:dyDescent="0.25">
      <c r="A96" s="105">
        <v>9620087983</v>
      </c>
      <c r="B96" s="106" t="s">
        <v>843</v>
      </c>
    </row>
    <row r="97" spans="1:2" x14ac:dyDescent="0.25">
      <c r="A97" s="105">
        <v>9620088013</v>
      </c>
      <c r="B97" s="106" t="s">
        <v>844</v>
      </c>
    </row>
    <row r="98" spans="1:2" x14ac:dyDescent="0.25">
      <c r="A98" s="105">
        <v>9620000115</v>
      </c>
      <c r="B98" s="106" t="s">
        <v>545</v>
      </c>
    </row>
    <row r="99" spans="1:2" x14ac:dyDescent="0.25">
      <c r="A99" s="105">
        <v>9620087926</v>
      </c>
      <c r="B99" s="106" t="s">
        <v>845</v>
      </c>
    </row>
    <row r="100" spans="1:2" x14ac:dyDescent="0.25">
      <c r="A100" s="105">
        <v>9620000747</v>
      </c>
      <c r="B100" s="106" t="s">
        <v>546</v>
      </c>
    </row>
    <row r="101" spans="1:2" x14ac:dyDescent="0.25">
      <c r="A101" s="105">
        <v>9620054229</v>
      </c>
      <c r="B101" s="106" t="s">
        <v>546</v>
      </c>
    </row>
    <row r="102" spans="1:2" x14ac:dyDescent="0.25">
      <c r="A102" s="105">
        <v>9620088050</v>
      </c>
      <c r="B102" s="106" t="s">
        <v>846</v>
      </c>
    </row>
    <row r="103" spans="1:2" x14ac:dyDescent="0.25">
      <c r="A103" s="105">
        <v>9620088135</v>
      </c>
      <c r="B103" s="106" t="s">
        <v>847</v>
      </c>
    </row>
    <row r="104" spans="1:2" x14ac:dyDescent="0.25">
      <c r="A104" s="105">
        <v>9620000120</v>
      </c>
      <c r="B104" s="106" t="s">
        <v>547</v>
      </c>
    </row>
    <row r="105" spans="1:2" x14ac:dyDescent="0.25">
      <c r="A105" s="105">
        <v>9620000123</v>
      </c>
      <c r="B105" s="106" t="s">
        <v>399</v>
      </c>
    </row>
    <row r="106" spans="1:2" x14ac:dyDescent="0.25">
      <c r="A106" s="105">
        <v>9620000124</v>
      </c>
      <c r="B106" s="106" t="s">
        <v>144</v>
      </c>
    </row>
    <row r="107" spans="1:2" x14ac:dyDescent="0.25">
      <c r="A107" s="105">
        <v>9620053020</v>
      </c>
      <c r="B107" s="106" t="s">
        <v>1079</v>
      </c>
    </row>
    <row r="108" spans="1:2" x14ac:dyDescent="0.25">
      <c r="A108" s="105">
        <v>9620033238</v>
      </c>
      <c r="B108" s="106" t="s">
        <v>145</v>
      </c>
    </row>
    <row r="109" spans="1:2" x14ac:dyDescent="0.25">
      <c r="A109" s="105">
        <v>9620000753</v>
      </c>
      <c r="B109" s="106" t="s">
        <v>145</v>
      </c>
    </row>
    <row r="110" spans="1:2" x14ac:dyDescent="0.25">
      <c r="A110" s="105">
        <v>9620000751</v>
      </c>
      <c r="B110" s="106" t="s">
        <v>145</v>
      </c>
    </row>
    <row r="111" spans="1:2" x14ac:dyDescent="0.25">
      <c r="A111" s="105">
        <v>9620000125</v>
      </c>
      <c r="B111" s="106" t="s">
        <v>1080</v>
      </c>
    </row>
    <row r="112" spans="1:2" x14ac:dyDescent="0.25">
      <c r="A112" s="105">
        <v>9620000127</v>
      </c>
      <c r="B112" s="106" t="s">
        <v>27</v>
      </c>
    </row>
    <row r="113" spans="1:2" x14ac:dyDescent="0.25">
      <c r="A113" s="105">
        <v>9620000129</v>
      </c>
      <c r="B113" s="106" t="s">
        <v>548</v>
      </c>
    </row>
    <row r="114" spans="1:2" x14ac:dyDescent="0.25">
      <c r="A114" s="105">
        <v>9620048529</v>
      </c>
      <c r="B114" s="106" t="s">
        <v>549</v>
      </c>
    </row>
    <row r="115" spans="1:2" x14ac:dyDescent="0.25">
      <c r="A115" s="105">
        <v>9620000131</v>
      </c>
      <c r="B115" s="106" t="s">
        <v>28</v>
      </c>
    </row>
    <row r="116" spans="1:2" x14ac:dyDescent="0.25">
      <c r="A116" s="105">
        <v>9620000755</v>
      </c>
      <c r="B116" s="106" t="s">
        <v>550</v>
      </c>
    </row>
    <row r="117" spans="1:2" x14ac:dyDescent="0.25">
      <c r="A117" s="105">
        <v>9620000133</v>
      </c>
      <c r="B117" s="106" t="s">
        <v>146</v>
      </c>
    </row>
    <row r="118" spans="1:2" x14ac:dyDescent="0.25">
      <c r="A118" s="105">
        <v>9620000134</v>
      </c>
      <c r="B118" s="106" t="s">
        <v>551</v>
      </c>
    </row>
    <row r="119" spans="1:2" x14ac:dyDescent="0.25">
      <c r="A119" s="105">
        <v>9620000137</v>
      </c>
      <c r="B119" s="106" t="s">
        <v>552</v>
      </c>
    </row>
    <row r="120" spans="1:2" x14ac:dyDescent="0.25">
      <c r="A120" s="105">
        <v>9620088051</v>
      </c>
      <c r="B120" s="106" t="s">
        <v>848</v>
      </c>
    </row>
    <row r="121" spans="1:2" x14ac:dyDescent="0.25">
      <c r="A121" s="105">
        <v>9620000139</v>
      </c>
      <c r="B121" s="106" t="s">
        <v>147</v>
      </c>
    </row>
    <row r="122" spans="1:2" x14ac:dyDescent="0.25">
      <c r="A122" s="105">
        <v>9620088095</v>
      </c>
      <c r="B122" s="106" t="s">
        <v>849</v>
      </c>
    </row>
    <row r="123" spans="1:2" x14ac:dyDescent="0.25">
      <c r="A123" s="105">
        <v>9620000142</v>
      </c>
      <c r="B123" s="106" t="s">
        <v>553</v>
      </c>
    </row>
    <row r="124" spans="1:2" x14ac:dyDescent="0.25">
      <c r="A124" s="105">
        <v>9620000183</v>
      </c>
      <c r="B124" s="106" t="s">
        <v>148</v>
      </c>
    </row>
    <row r="125" spans="1:2" x14ac:dyDescent="0.25">
      <c r="A125" s="105">
        <v>9620000145</v>
      </c>
      <c r="B125" s="106" t="s">
        <v>149</v>
      </c>
    </row>
    <row r="126" spans="1:2" x14ac:dyDescent="0.25">
      <c r="A126" s="105">
        <v>9620087984</v>
      </c>
      <c r="B126" s="106" t="s">
        <v>850</v>
      </c>
    </row>
    <row r="127" spans="1:2" x14ac:dyDescent="0.25">
      <c r="A127" s="105">
        <v>9620088032</v>
      </c>
      <c r="B127" s="106" t="s">
        <v>851</v>
      </c>
    </row>
    <row r="128" spans="1:2" x14ac:dyDescent="0.25">
      <c r="A128" s="105">
        <v>9620088052</v>
      </c>
      <c r="B128" s="106" t="s">
        <v>852</v>
      </c>
    </row>
    <row r="129" spans="1:2" x14ac:dyDescent="0.25">
      <c r="A129" s="105">
        <v>9620088230</v>
      </c>
      <c r="B129" s="106" t="s">
        <v>853</v>
      </c>
    </row>
    <row r="130" spans="1:2" x14ac:dyDescent="0.25">
      <c r="A130" s="105">
        <v>9620088229</v>
      </c>
      <c r="B130" s="106" t="s">
        <v>854</v>
      </c>
    </row>
    <row r="131" spans="1:2" x14ac:dyDescent="0.25">
      <c r="A131" s="105">
        <v>9620000759</v>
      </c>
      <c r="B131" s="106" t="s">
        <v>554</v>
      </c>
    </row>
    <row r="132" spans="1:2" x14ac:dyDescent="0.25">
      <c r="A132" s="105">
        <v>9620000758</v>
      </c>
      <c r="B132" s="106" t="s">
        <v>554</v>
      </c>
    </row>
    <row r="133" spans="1:2" x14ac:dyDescent="0.25">
      <c r="A133" s="105">
        <v>9620088264</v>
      </c>
      <c r="B133" s="106" t="s">
        <v>855</v>
      </c>
    </row>
    <row r="134" spans="1:2" x14ac:dyDescent="0.25">
      <c r="A134" s="105">
        <v>9620088017</v>
      </c>
      <c r="B134" s="106" t="s">
        <v>856</v>
      </c>
    </row>
    <row r="135" spans="1:2" x14ac:dyDescent="0.25">
      <c r="A135" s="105">
        <v>9620088096</v>
      </c>
      <c r="B135" s="106" t="s">
        <v>857</v>
      </c>
    </row>
    <row r="136" spans="1:2" x14ac:dyDescent="0.25">
      <c r="A136" s="105">
        <v>9620087985</v>
      </c>
      <c r="B136" s="106" t="s">
        <v>858</v>
      </c>
    </row>
    <row r="137" spans="1:2" x14ac:dyDescent="0.25">
      <c r="A137" s="105">
        <v>9620087937</v>
      </c>
      <c r="B137" s="106" t="s">
        <v>859</v>
      </c>
    </row>
    <row r="138" spans="1:2" x14ac:dyDescent="0.25">
      <c r="A138" s="105">
        <v>9620087976</v>
      </c>
      <c r="B138" s="106" t="s">
        <v>860</v>
      </c>
    </row>
    <row r="139" spans="1:2" x14ac:dyDescent="0.25">
      <c r="A139" s="105">
        <v>9620087938</v>
      </c>
      <c r="B139" s="106" t="s">
        <v>861</v>
      </c>
    </row>
    <row r="140" spans="1:2" x14ac:dyDescent="0.25">
      <c r="A140" s="105">
        <v>9620088053</v>
      </c>
      <c r="B140" s="106" t="s">
        <v>862</v>
      </c>
    </row>
    <row r="141" spans="1:2" x14ac:dyDescent="0.25">
      <c r="A141" s="105">
        <v>9620044172</v>
      </c>
      <c r="B141" s="106" t="s">
        <v>555</v>
      </c>
    </row>
    <row r="142" spans="1:2" x14ac:dyDescent="0.25">
      <c r="A142" s="105">
        <v>9620088118</v>
      </c>
      <c r="B142" s="106" t="s">
        <v>863</v>
      </c>
    </row>
    <row r="143" spans="1:2" x14ac:dyDescent="0.25">
      <c r="A143" s="105">
        <v>9620004372</v>
      </c>
      <c r="B143" s="106" t="s">
        <v>1081</v>
      </c>
    </row>
    <row r="144" spans="1:2" x14ac:dyDescent="0.25">
      <c r="A144" s="105">
        <v>9620088054</v>
      </c>
      <c r="B144" s="106" t="s">
        <v>864</v>
      </c>
    </row>
    <row r="145" spans="1:2" x14ac:dyDescent="0.25">
      <c r="A145" s="105">
        <v>9620000160</v>
      </c>
      <c r="B145" s="106" t="s">
        <v>556</v>
      </c>
    </row>
    <row r="146" spans="1:2" x14ac:dyDescent="0.25">
      <c r="A146" s="105">
        <v>9620000161</v>
      </c>
      <c r="B146" s="106" t="s">
        <v>557</v>
      </c>
    </row>
    <row r="147" spans="1:2" x14ac:dyDescent="0.25">
      <c r="A147" s="105">
        <v>9620000162</v>
      </c>
      <c r="B147" s="106" t="s">
        <v>558</v>
      </c>
    </row>
    <row r="148" spans="1:2" x14ac:dyDescent="0.25">
      <c r="A148" s="105">
        <v>9620044379</v>
      </c>
      <c r="B148" s="106" t="s">
        <v>1082</v>
      </c>
    </row>
    <row r="149" spans="1:2" x14ac:dyDescent="0.25">
      <c r="A149" s="105">
        <v>9620088018</v>
      </c>
      <c r="B149" s="106" t="s">
        <v>865</v>
      </c>
    </row>
    <row r="150" spans="1:2" x14ac:dyDescent="0.25">
      <c r="A150" s="105">
        <v>9620046790</v>
      </c>
      <c r="B150" s="106" t="s">
        <v>152</v>
      </c>
    </row>
    <row r="151" spans="1:2" x14ac:dyDescent="0.25">
      <c r="A151" s="105">
        <v>9620000762</v>
      </c>
      <c r="B151" s="106" t="s">
        <v>1083</v>
      </c>
    </row>
    <row r="152" spans="1:2" x14ac:dyDescent="0.25">
      <c r="A152" s="105">
        <v>9620002329</v>
      </c>
      <c r="B152" s="106" t="s">
        <v>559</v>
      </c>
    </row>
    <row r="153" spans="1:2" x14ac:dyDescent="0.25">
      <c r="A153" s="105">
        <v>9620000165</v>
      </c>
      <c r="B153" s="106" t="s">
        <v>1084</v>
      </c>
    </row>
    <row r="154" spans="1:2" x14ac:dyDescent="0.25">
      <c r="A154" s="105">
        <v>9620000166</v>
      </c>
      <c r="B154" s="106" t="s">
        <v>560</v>
      </c>
    </row>
    <row r="155" spans="1:2" x14ac:dyDescent="0.25">
      <c r="A155" s="105">
        <v>9620000167</v>
      </c>
      <c r="B155" s="106" t="s">
        <v>561</v>
      </c>
    </row>
    <row r="156" spans="1:2" x14ac:dyDescent="0.25">
      <c r="A156" s="105">
        <v>9620000168</v>
      </c>
      <c r="B156" s="106" t="s">
        <v>153</v>
      </c>
    </row>
    <row r="157" spans="1:2" x14ac:dyDescent="0.25">
      <c r="A157" s="105">
        <v>9620000172</v>
      </c>
      <c r="B157" s="106" t="s">
        <v>1085</v>
      </c>
    </row>
    <row r="158" spans="1:2" x14ac:dyDescent="0.25">
      <c r="A158" s="105">
        <v>9620000164</v>
      </c>
      <c r="B158" s="106" t="s">
        <v>1086</v>
      </c>
    </row>
    <row r="159" spans="1:2" x14ac:dyDescent="0.25">
      <c r="A159" s="105">
        <v>9620000173</v>
      </c>
      <c r="B159" s="106" t="s">
        <v>562</v>
      </c>
    </row>
    <row r="160" spans="1:2" x14ac:dyDescent="0.25">
      <c r="A160" s="105">
        <v>9620000174</v>
      </c>
      <c r="B160" s="106" t="s">
        <v>155</v>
      </c>
    </row>
    <row r="161" spans="1:2" x14ac:dyDescent="0.25">
      <c r="A161" s="105">
        <v>9620088033</v>
      </c>
      <c r="B161" s="106" t="s">
        <v>866</v>
      </c>
    </row>
    <row r="162" spans="1:2" x14ac:dyDescent="0.25">
      <c r="A162" s="105">
        <v>9620003460</v>
      </c>
      <c r="B162" s="106" t="s">
        <v>563</v>
      </c>
    </row>
    <row r="163" spans="1:2" x14ac:dyDescent="0.25">
      <c r="A163" s="105">
        <v>9620000176</v>
      </c>
      <c r="B163" s="106" t="s">
        <v>564</v>
      </c>
    </row>
    <row r="164" spans="1:2" x14ac:dyDescent="0.25">
      <c r="A164" s="105">
        <v>9620000182</v>
      </c>
      <c r="B164" s="106" t="s">
        <v>156</v>
      </c>
    </row>
    <row r="165" spans="1:2" x14ac:dyDescent="0.25">
      <c r="A165" s="105">
        <v>9620000763</v>
      </c>
      <c r="B165" s="106" t="s">
        <v>565</v>
      </c>
    </row>
    <row r="166" spans="1:2" x14ac:dyDescent="0.25">
      <c r="A166" s="105">
        <v>9620051785</v>
      </c>
      <c r="B166" s="106" t="s">
        <v>1087</v>
      </c>
    </row>
    <row r="167" spans="1:2" x14ac:dyDescent="0.25">
      <c r="A167" s="105">
        <v>9620000184</v>
      </c>
      <c r="B167" s="106" t="s">
        <v>566</v>
      </c>
    </row>
    <row r="168" spans="1:2" x14ac:dyDescent="0.25">
      <c r="A168" s="105">
        <v>9620000764</v>
      </c>
      <c r="B168" s="106" t="s">
        <v>567</v>
      </c>
    </row>
    <row r="169" spans="1:2" x14ac:dyDescent="0.25">
      <c r="A169" s="105">
        <v>9620000765</v>
      </c>
      <c r="B169" s="106" t="s">
        <v>568</v>
      </c>
    </row>
    <row r="170" spans="1:2" x14ac:dyDescent="0.25">
      <c r="A170" s="105">
        <v>9620000186</v>
      </c>
      <c r="B170" s="106" t="s">
        <v>157</v>
      </c>
    </row>
    <row r="171" spans="1:2" x14ac:dyDescent="0.25">
      <c r="A171" s="105">
        <v>9620049950</v>
      </c>
      <c r="B171" s="106" t="s">
        <v>1088</v>
      </c>
    </row>
    <row r="172" spans="1:2" x14ac:dyDescent="0.25">
      <c r="A172" s="105">
        <v>9620000191</v>
      </c>
      <c r="B172" s="106" t="s">
        <v>569</v>
      </c>
    </row>
    <row r="173" spans="1:2" x14ac:dyDescent="0.25">
      <c r="A173" s="105">
        <v>9620000192</v>
      </c>
      <c r="B173" s="106" t="s">
        <v>1089</v>
      </c>
    </row>
    <row r="174" spans="1:2" x14ac:dyDescent="0.25">
      <c r="A174" s="105">
        <v>9620043453</v>
      </c>
      <c r="B174" s="106" t="s">
        <v>1090</v>
      </c>
    </row>
    <row r="175" spans="1:2" x14ac:dyDescent="0.25">
      <c r="A175" s="105">
        <v>9620088153</v>
      </c>
      <c r="B175" s="106" t="s">
        <v>867</v>
      </c>
    </row>
    <row r="176" spans="1:2" x14ac:dyDescent="0.25">
      <c r="A176" s="105">
        <v>9620000194</v>
      </c>
      <c r="B176" s="106" t="s">
        <v>570</v>
      </c>
    </row>
    <row r="177" spans="1:2" x14ac:dyDescent="0.25">
      <c r="A177" s="105">
        <v>9620052961</v>
      </c>
      <c r="B177" s="106" t="s">
        <v>1091</v>
      </c>
    </row>
    <row r="178" spans="1:2" x14ac:dyDescent="0.25">
      <c r="A178" s="105">
        <v>9620000197</v>
      </c>
      <c r="B178" s="106" t="s">
        <v>1092</v>
      </c>
    </row>
    <row r="179" spans="1:2" x14ac:dyDescent="0.25">
      <c r="A179" s="105">
        <v>9620050785</v>
      </c>
      <c r="B179" s="106" t="s">
        <v>571</v>
      </c>
    </row>
    <row r="180" spans="1:2" x14ac:dyDescent="0.25">
      <c r="A180" s="105">
        <v>9620088055</v>
      </c>
      <c r="B180" s="106" t="s">
        <v>868</v>
      </c>
    </row>
    <row r="181" spans="1:2" x14ac:dyDescent="0.25">
      <c r="A181" s="105">
        <v>9620087986</v>
      </c>
      <c r="B181" s="106" t="s">
        <v>869</v>
      </c>
    </row>
    <row r="182" spans="1:2" x14ac:dyDescent="0.25">
      <c r="A182" s="105">
        <v>9620089388</v>
      </c>
      <c r="B182" s="106" t="s">
        <v>870</v>
      </c>
    </row>
    <row r="183" spans="1:2" x14ac:dyDescent="0.25">
      <c r="A183" s="105">
        <v>9620088150</v>
      </c>
      <c r="B183" s="106" t="s">
        <v>871</v>
      </c>
    </row>
    <row r="184" spans="1:2" x14ac:dyDescent="0.25">
      <c r="A184" s="105">
        <v>9620088094</v>
      </c>
      <c r="B184" s="106" t="s">
        <v>872</v>
      </c>
    </row>
    <row r="185" spans="1:2" x14ac:dyDescent="0.25">
      <c r="A185" s="105">
        <v>9620087957</v>
      </c>
      <c r="B185" s="106" t="s">
        <v>873</v>
      </c>
    </row>
    <row r="186" spans="1:2" x14ac:dyDescent="0.25">
      <c r="A186" s="105">
        <v>9620087987</v>
      </c>
      <c r="B186" s="106" t="s">
        <v>874</v>
      </c>
    </row>
    <row r="187" spans="1:2" x14ac:dyDescent="0.25">
      <c r="A187" s="105">
        <v>9620087927</v>
      </c>
      <c r="B187" s="106" t="s">
        <v>875</v>
      </c>
    </row>
    <row r="188" spans="1:2" x14ac:dyDescent="0.25">
      <c r="A188" s="105">
        <v>9620000206</v>
      </c>
      <c r="B188" s="106" t="s">
        <v>572</v>
      </c>
    </row>
    <row r="189" spans="1:2" x14ac:dyDescent="0.25">
      <c r="A189" s="105">
        <v>9620087988</v>
      </c>
      <c r="B189" s="106" t="s">
        <v>876</v>
      </c>
    </row>
    <row r="190" spans="1:2" x14ac:dyDescent="0.25">
      <c r="A190" s="105">
        <v>9620088119</v>
      </c>
      <c r="B190" s="106" t="s">
        <v>877</v>
      </c>
    </row>
    <row r="191" spans="1:2" x14ac:dyDescent="0.25">
      <c r="A191" s="105">
        <v>9620087928</v>
      </c>
      <c r="B191" s="106" t="s">
        <v>878</v>
      </c>
    </row>
    <row r="192" spans="1:2" x14ac:dyDescent="0.25">
      <c r="A192" s="105">
        <v>9620088081</v>
      </c>
      <c r="B192" s="106" t="s">
        <v>879</v>
      </c>
    </row>
    <row r="193" spans="1:2" x14ac:dyDescent="0.25">
      <c r="A193" s="105">
        <v>9620088034</v>
      </c>
      <c r="B193" s="106" t="s">
        <v>880</v>
      </c>
    </row>
    <row r="194" spans="1:2" x14ac:dyDescent="0.25">
      <c r="A194" s="105">
        <v>9620088120</v>
      </c>
      <c r="B194" s="106" t="s">
        <v>881</v>
      </c>
    </row>
    <row r="195" spans="1:2" x14ac:dyDescent="0.25">
      <c r="A195" s="105">
        <v>9620088035</v>
      </c>
      <c r="B195" s="106" t="s">
        <v>882</v>
      </c>
    </row>
    <row r="196" spans="1:2" x14ac:dyDescent="0.25">
      <c r="A196" s="105">
        <v>9620000207</v>
      </c>
      <c r="B196" s="106" t="s">
        <v>1093</v>
      </c>
    </row>
    <row r="197" spans="1:2" x14ac:dyDescent="0.25">
      <c r="A197" s="105">
        <v>9620000208</v>
      </c>
      <c r="B197" s="106" t="s">
        <v>1094</v>
      </c>
    </row>
    <row r="198" spans="1:2" x14ac:dyDescent="0.25">
      <c r="A198" s="105">
        <v>9620000209</v>
      </c>
      <c r="B198" s="106" t="s">
        <v>159</v>
      </c>
    </row>
    <row r="199" spans="1:2" x14ac:dyDescent="0.25">
      <c r="A199" s="105">
        <v>9620000768</v>
      </c>
      <c r="B199" s="106" t="s">
        <v>573</v>
      </c>
    </row>
    <row r="200" spans="1:2" x14ac:dyDescent="0.25">
      <c r="A200" s="105">
        <v>9620088121</v>
      </c>
      <c r="B200" s="106" t="s">
        <v>883</v>
      </c>
    </row>
    <row r="201" spans="1:2" x14ac:dyDescent="0.25">
      <c r="A201" s="105">
        <v>9620087929</v>
      </c>
      <c r="B201" s="106" t="s">
        <v>884</v>
      </c>
    </row>
    <row r="202" spans="1:2" x14ac:dyDescent="0.25">
      <c r="A202" s="105">
        <v>9620000769</v>
      </c>
      <c r="B202" s="106" t="s">
        <v>574</v>
      </c>
    </row>
    <row r="203" spans="1:2" x14ac:dyDescent="0.25">
      <c r="A203" s="105">
        <v>9620056474</v>
      </c>
      <c r="B203" s="106" t="s">
        <v>575</v>
      </c>
    </row>
    <row r="204" spans="1:2" x14ac:dyDescent="0.25">
      <c r="A204" s="105">
        <v>9620054022</v>
      </c>
      <c r="B204" s="106" t="s">
        <v>576</v>
      </c>
    </row>
    <row r="205" spans="1:2" x14ac:dyDescent="0.25">
      <c r="A205" s="105">
        <v>9620000218</v>
      </c>
      <c r="B205" s="106" t="s">
        <v>160</v>
      </c>
    </row>
    <row r="206" spans="1:2" x14ac:dyDescent="0.25">
      <c r="A206" s="105">
        <v>9620000770</v>
      </c>
      <c r="B206" s="106" t="s">
        <v>160</v>
      </c>
    </row>
    <row r="207" spans="1:2" x14ac:dyDescent="0.25">
      <c r="A207" s="105">
        <v>9620087890</v>
      </c>
      <c r="B207" s="106" t="s">
        <v>577</v>
      </c>
    </row>
    <row r="208" spans="1:2" x14ac:dyDescent="0.25">
      <c r="A208" s="105">
        <v>9620087889</v>
      </c>
      <c r="B208" s="106" t="s">
        <v>578</v>
      </c>
    </row>
    <row r="209" spans="1:2" x14ac:dyDescent="0.25">
      <c r="A209" s="105">
        <v>9620088036</v>
      </c>
      <c r="B209" s="106" t="s">
        <v>885</v>
      </c>
    </row>
    <row r="210" spans="1:2" x14ac:dyDescent="0.25">
      <c r="A210" s="105">
        <v>9620056993</v>
      </c>
      <c r="B210" s="106" t="s">
        <v>1095</v>
      </c>
    </row>
    <row r="211" spans="1:2" x14ac:dyDescent="0.25">
      <c r="A211" s="105">
        <v>9620035814</v>
      </c>
      <c r="B211" s="106" t="s">
        <v>1095</v>
      </c>
    </row>
    <row r="212" spans="1:2" x14ac:dyDescent="0.25">
      <c r="A212" s="105">
        <v>9620000224</v>
      </c>
      <c r="B212" s="106" t="s">
        <v>162</v>
      </c>
    </row>
    <row r="213" spans="1:2" x14ac:dyDescent="0.25">
      <c r="A213" s="105">
        <v>9620088097</v>
      </c>
      <c r="B213" s="106" t="s">
        <v>886</v>
      </c>
    </row>
    <row r="214" spans="1:2" x14ac:dyDescent="0.25">
      <c r="A214" s="105">
        <v>9620088082</v>
      </c>
      <c r="B214" s="106" t="s">
        <v>887</v>
      </c>
    </row>
    <row r="215" spans="1:2" x14ac:dyDescent="0.25">
      <c r="A215" s="105">
        <v>9620000225</v>
      </c>
      <c r="B215" s="106" t="s">
        <v>579</v>
      </c>
    </row>
    <row r="216" spans="1:2" x14ac:dyDescent="0.25">
      <c r="A216" s="105">
        <v>9620000226</v>
      </c>
      <c r="B216" s="106" t="s">
        <v>580</v>
      </c>
    </row>
    <row r="217" spans="1:2" x14ac:dyDescent="0.25">
      <c r="A217" s="105">
        <v>9620088136</v>
      </c>
      <c r="B217" s="106" t="s">
        <v>888</v>
      </c>
    </row>
    <row r="218" spans="1:2" x14ac:dyDescent="0.25">
      <c r="A218" s="105">
        <v>9620088137</v>
      </c>
      <c r="B218" s="106" t="s">
        <v>889</v>
      </c>
    </row>
    <row r="219" spans="1:2" x14ac:dyDescent="0.25">
      <c r="A219" s="105">
        <v>9620088098</v>
      </c>
      <c r="B219" s="106" t="s">
        <v>890</v>
      </c>
    </row>
    <row r="220" spans="1:2" x14ac:dyDescent="0.25">
      <c r="A220" s="105">
        <v>9620000227</v>
      </c>
      <c r="B220" s="106" t="s">
        <v>43</v>
      </c>
    </row>
    <row r="221" spans="1:2" x14ac:dyDescent="0.25">
      <c r="A221" s="105">
        <v>9620089605</v>
      </c>
      <c r="B221" s="106" t="s">
        <v>581</v>
      </c>
    </row>
    <row r="222" spans="1:2" x14ac:dyDescent="0.25">
      <c r="A222" s="105">
        <v>9620089604</v>
      </c>
      <c r="B222" s="106" t="s">
        <v>582</v>
      </c>
    </row>
    <row r="223" spans="1:2" x14ac:dyDescent="0.25">
      <c r="A223" s="105">
        <v>9620000783</v>
      </c>
      <c r="B223" s="106" t="s">
        <v>583</v>
      </c>
    </row>
    <row r="224" spans="1:2" x14ac:dyDescent="0.25">
      <c r="A224" s="105">
        <v>9620004467</v>
      </c>
      <c r="B224" s="106" t="s">
        <v>584</v>
      </c>
    </row>
    <row r="225" spans="1:2" x14ac:dyDescent="0.25">
      <c r="A225" s="105">
        <v>9620033372</v>
      </c>
      <c r="B225" s="106" t="s">
        <v>585</v>
      </c>
    </row>
    <row r="226" spans="1:2" x14ac:dyDescent="0.25">
      <c r="A226" s="105">
        <v>9620000784</v>
      </c>
      <c r="B226" s="106" t="s">
        <v>586</v>
      </c>
    </row>
    <row r="227" spans="1:2" x14ac:dyDescent="0.25">
      <c r="A227" s="105">
        <v>9620000228</v>
      </c>
      <c r="B227" s="106" t="s">
        <v>587</v>
      </c>
    </row>
    <row r="228" spans="1:2" x14ac:dyDescent="0.25">
      <c r="A228" s="105">
        <v>9620089606</v>
      </c>
      <c r="B228" s="106" t="s">
        <v>588</v>
      </c>
    </row>
    <row r="229" spans="1:2" x14ac:dyDescent="0.25">
      <c r="A229" s="105">
        <v>9620046925</v>
      </c>
      <c r="B229" s="106" t="s">
        <v>589</v>
      </c>
    </row>
    <row r="230" spans="1:2" x14ac:dyDescent="0.25">
      <c r="A230" s="105">
        <v>9620087958</v>
      </c>
      <c r="B230" s="106" t="s">
        <v>891</v>
      </c>
    </row>
    <row r="231" spans="1:2" x14ac:dyDescent="0.25">
      <c r="A231" s="105">
        <v>9620088083</v>
      </c>
      <c r="B231" s="106" t="s">
        <v>892</v>
      </c>
    </row>
    <row r="232" spans="1:2" x14ac:dyDescent="0.25">
      <c r="A232" s="105">
        <v>9620000231</v>
      </c>
      <c r="B232" s="106" t="s">
        <v>590</v>
      </c>
    </row>
    <row r="233" spans="1:2" x14ac:dyDescent="0.25">
      <c r="A233" s="105">
        <v>9620088019</v>
      </c>
      <c r="B233" s="106" t="s">
        <v>893</v>
      </c>
    </row>
    <row r="234" spans="1:2" x14ac:dyDescent="0.25">
      <c r="A234" s="105">
        <v>9620045927</v>
      </c>
      <c r="B234" s="106" t="s">
        <v>163</v>
      </c>
    </row>
    <row r="235" spans="1:2" x14ac:dyDescent="0.25">
      <c r="A235" s="105">
        <v>9620000233</v>
      </c>
      <c r="B235" s="106" t="s">
        <v>164</v>
      </c>
    </row>
    <row r="236" spans="1:2" x14ac:dyDescent="0.25">
      <c r="A236" s="105">
        <v>9620000234</v>
      </c>
      <c r="B236" s="106" t="s">
        <v>591</v>
      </c>
    </row>
    <row r="237" spans="1:2" x14ac:dyDescent="0.25">
      <c r="A237" s="105">
        <v>9620059867</v>
      </c>
      <c r="B237" s="106" t="s">
        <v>592</v>
      </c>
    </row>
    <row r="238" spans="1:2" x14ac:dyDescent="0.25">
      <c r="A238" s="105">
        <v>9620000786</v>
      </c>
      <c r="B238" s="106" t="s">
        <v>593</v>
      </c>
    </row>
    <row r="239" spans="1:2" x14ac:dyDescent="0.25">
      <c r="A239" s="105">
        <v>9620000239</v>
      </c>
      <c r="B239" s="106" t="s">
        <v>594</v>
      </c>
    </row>
    <row r="240" spans="1:2" x14ac:dyDescent="0.25">
      <c r="A240" s="105">
        <v>9620087989</v>
      </c>
      <c r="B240" s="106" t="s">
        <v>894</v>
      </c>
    </row>
    <row r="241" spans="1:2" x14ac:dyDescent="0.25">
      <c r="A241" s="105">
        <v>9620088056</v>
      </c>
      <c r="B241" s="106" t="s">
        <v>895</v>
      </c>
    </row>
    <row r="242" spans="1:2" x14ac:dyDescent="0.25">
      <c r="A242" s="105">
        <v>9620000244</v>
      </c>
      <c r="B242" s="106" t="s">
        <v>595</v>
      </c>
    </row>
    <row r="243" spans="1:2" x14ac:dyDescent="0.25">
      <c r="A243" s="105">
        <v>9620000245</v>
      </c>
      <c r="B243" s="106" t="s">
        <v>488</v>
      </c>
    </row>
    <row r="244" spans="1:2" x14ac:dyDescent="0.25">
      <c r="A244" s="105">
        <v>9620000791</v>
      </c>
      <c r="B244" s="106" t="s">
        <v>596</v>
      </c>
    </row>
    <row r="245" spans="1:2" x14ac:dyDescent="0.25">
      <c r="A245" s="105">
        <v>9620000788</v>
      </c>
      <c r="B245" s="106" t="s">
        <v>597</v>
      </c>
    </row>
    <row r="246" spans="1:2" x14ac:dyDescent="0.25">
      <c r="A246" s="105">
        <v>9620088322</v>
      </c>
      <c r="B246" s="106" t="s">
        <v>896</v>
      </c>
    </row>
    <row r="247" spans="1:2" x14ac:dyDescent="0.25">
      <c r="A247" s="105">
        <v>9620086889</v>
      </c>
      <c r="B247" s="106" t="s">
        <v>598</v>
      </c>
    </row>
    <row r="248" spans="1:2" x14ac:dyDescent="0.25">
      <c r="A248" s="105">
        <v>9620086891</v>
      </c>
      <c r="B248" s="106" t="s">
        <v>598</v>
      </c>
    </row>
    <row r="249" spans="1:2" x14ac:dyDescent="0.25">
      <c r="A249" s="105">
        <v>9620086888</v>
      </c>
      <c r="B249" s="106" t="s">
        <v>598</v>
      </c>
    </row>
    <row r="250" spans="1:2" x14ac:dyDescent="0.25">
      <c r="A250" s="105">
        <v>9620086890</v>
      </c>
      <c r="B250" s="106" t="s">
        <v>598</v>
      </c>
    </row>
    <row r="251" spans="1:2" x14ac:dyDescent="0.25">
      <c r="A251" s="105">
        <v>9620000246</v>
      </c>
      <c r="B251" s="106" t="s">
        <v>599</v>
      </c>
    </row>
    <row r="252" spans="1:2" x14ac:dyDescent="0.25">
      <c r="A252" s="105">
        <v>9620000253</v>
      </c>
      <c r="B252" s="106" t="s">
        <v>600</v>
      </c>
    </row>
    <row r="253" spans="1:2" x14ac:dyDescent="0.25">
      <c r="A253" s="105">
        <v>9620088099</v>
      </c>
      <c r="B253" s="106" t="s">
        <v>897</v>
      </c>
    </row>
    <row r="254" spans="1:2" x14ac:dyDescent="0.25">
      <c r="A254" s="105">
        <v>9620088057</v>
      </c>
      <c r="B254" s="106" t="s">
        <v>898</v>
      </c>
    </row>
    <row r="255" spans="1:2" x14ac:dyDescent="0.25">
      <c r="A255" s="105">
        <v>9620000254</v>
      </c>
      <c r="B255" s="106" t="s">
        <v>166</v>
      </c>
    </row>
    <row r="256" spans="1:2" x14ac:dyDescent="0.25">
      <c r="A256" s="105">
        <v>9620000256</v>
      </c>
      <c r="B256" s="106" t="s">
        <v>167</v>
      </c>
    </row>
    <row r="257" spans="1:2" x14ac:dyDescent="0.25">
      <c r="A257" s="105">
        <v>9620000257</v>
      </c>
      <c r="B257" s="106" t="s">
        <v>1096</v>
      </c>
    </row>
    <row r="258" spans="1:2" x14ac:dyDescent="0.25">
      <c r="A258" s="105">
        <v>9620000794</v>
      </c>
      <c r="B258" s="106" t="s">
        <v>601</v>
      </c>
    </row>
    <row r="259" spans="1:2" x14ac:dyDescent="0.25">
      <c r="A259" s="105">
        <v>9620000258</v>
      </c>
      <c r="B259" s="106" t="s">
        <v>602</v>
      </c>
    </row>
    <row r="260" spans="1:2" x14ac:dyDescent="0.25">
      <c r="A260" s="105">
        <v>9620000260</v>
      </c>
      <c r="B260" s="106" t="s">
        <v>603</v>
      </c>
    </row>
    <row r="261" spans="1:2" x14ac:dyDescent="0.25">
      <c r="A261" s="105">
        <v>9620000261</v>
      </c>
      <c r="B261" s="106" t="s">
        <v>604</v>
      </c>
    </row>
    <row r="262" spans="1:2" x14ac:dyDescent="0.25">
      <c r="A262" s="105">
        <v>9620000263</v>
      </c>
      <c r="B262" s="106" t="s">
        <v>47</v>
      </c>
    </row>
    <row r="263" spans="1:2" x14ac:dyDescent="0.25">
      <c r="A263" s="105">
        <v>9620054091</v>
      </c>
      <c r="B263" s="106" t="s">
        <v>605</v>
      </c>
    </row>
    <row r="264" spans="1:2" x14ac:dyDescent="0.25">
      <c r="A264" s="105">
        <v>9620054092</v>
      </c>
      <c r="B264" s="106" t="s">
        <v>606</v>
      </c>
    </row>
    <row r="265" spans="1:2" x14ac:dyDescent="0.25">
      <c r="A265" s="105">
        <v>9620054090</v>
      </c>
      <c r="B265" s="106" t="s">
        <v>607</v>
      </c>
    </row>
    <row r="266" spans="1:2" x14ac:dyDescent="0.25">
      <c r="A266" s="105">
        <v>9620054093</v>
      </c>
      <c r="B266" s="106" t="s">
        <v>608</v>
      </c>
    </row>
    <row r="267" spans="1:2" x14ac:dyDescent="0.25">
      <c r="A267" s="105">
        <v>9620000264</v>
      </c>
      <c r="B267" s="106" t="s">
        <v>169</v>
      </c>
    </row>
    <row r="268" spans="1:2" x14ac:dyDescent="0.25">
      <c r="A268" s="105">
        <v>9620000795</v>
      </c>
      <c r="B268" s="106" t="s">
        <v>49</v>
      </c>
    </row>
    <row r="269" spans="1:2" x14ac:dyDescent="0.25">
      <c r="A269" s="105">
        <v>9620054094</v>
      </c>
      <c r="B269" s="106" t="s">
        <v>609</v>
      </c>
    </row>
    <row r="270" spans="1:2" x14ac:dyDescent="0.25">
      <c r="A270" s="105">
        <v>9620054095</v>
      </c>
      <c r="B270" s="106" t="s">
        <v>609</v>
      </c>
    </row>
    <row r="271" spans="1:2" x14ac:dyDescent="0.25">
      <c r="A271" s="105">
        <v>9620000265</v>
      </c>
      <c r="B271" s="106" t="s">
        <v>170</v>
      </c>
    </row>
    <row r="272" spans="1:2" x14ac:dyDescent="0.25">
      <c r="A272" s="105">
        <v>9620000266</v>
      </c>
      <c r="B272" s="106" t="s">
        <v>1097</v>
      </c>
    </row>
    <row r="273" spans="1:2" x14ac:dyDescent="0.25">
      <c r="A273" s="105">
        <v>9620000267</v>
      </c>
      <c r="B273" s="106" t="s">
        <v>610</v>
      </c>
    </row>
    <row r="274" spans="1:2" x14ac:dyDescent="0.25">
      <c r="A274" s="105">
        <v>9620000268</v>
      </c>
      <c r="B274" s="106" t="s">
        <v>50</v>
      </c>
    </row>
    <row r="275" spans="1:2" x14ac:dyDescent="0.25">
      <c r="A275" s="105">
        <v>9620054084</v>
      </c>
      <c r="B275" s="106" t="s">
        <v>611</v>
      </c>
    </row>
    <row r="276" spans="1:2" x14ac:dyDescent="0.25">
      <c r="A276" s="105">
        <v>9620000269</v>
      </c>
      <c r="B276" s="106" t="s">
        <v>1098</v>
      </c>
    </row>
    <row r="277" spans="1:2" x14ac:dyDescent="0.25">
      <c r="A277" s="105">
        <v>9620000270</v>
      </c>
      <c r="B277" s="106" t="s">
        <v>51</v>
      </c>
    </row>
    <row r="278" spans="1:2" x14ac:dyDescent="0.25">
      <c r="A278" s="105">
        <v>9620087052</v>
      </c>
      <c r="B278" s="106" t="s">
        <v>612</v>
      </c>
    </row>
    <row r="279" spans="1:2" x14ac:dyDescent="0.25">
      <c r="A279" s="105">
        <v>9620000271</v>
      </c>
      <c r="B279" s="106" t="s">
        <v>613</v>
      </c>
    </row>
    <row r="280" spans="1:2" x14ac:dyDescent="0.25">
      <c r="A280" s="105">
        <v>9620000274</v>
      </c>
      <c r="B280" s="106" t="s">
        <v>1099</v>
      </c>
    </row>
    <row r="281" spans="1:2" x14ac:dyDescent="0.25">
      <c r="A281" s="105">
        <v>9620000275</v>
      </c>
      <c r="B281" s="106" t="s">
        <v>1100</v>
      </c>
    </row>
    <row r="282" spans="1:2" x14ac:dyDescent="0.25">
      <c r="A282" s="105">
        <v>9620000276</v>
      </c>
      <c r="B282" s="106" t="s">
        <v>171</v>
      </c>
    </row>
    <row r="283" spans="1:2" x14ac:dyDescent="0.25">
      <c r="A283" s="105">
        <v>9620000279</v>
      </c>
      <c r="B283" s="106" t="s">
        <v>1101</v>
      </c>
    </row>
    <row r="284" spans="1:2" x14ac:dyDescent="0.25">
      <c r="A284" s="105">
        <v>9620000277</v>
      </c>
      <c r="B284" s="106" t="s">
        <v>54</v>
      </c>
    </row>
    <row r="285" spans="1:2" x14ac:dyDescent="0.25">
      <c r="A285" s="105">
        <v>9620000284</v>
      </c>
      <c r="B285" s="106" t="s">
        <v>614</v>
      </c>
    </row>
    <row r="286" spans="1:2" x14ac:dyDescent="0.25">
      <c r="A286" s="105">
        <v>9620055823</v>
      </c>
      <c r="B286" s="106" t="s">
        <v>615</v>
      </c>
    </row>
    <row r="287" spans="1:2" x14ac:dyDescent="0.25">
      <c r="A287" s="105">
        <v>9620033084</v>
      </c>
      <c r="B287" s="106" t="s">
        <v>616</v>
      </c>
    </row>
    <row r="288" spans="1:2" x14ac:dyDescent="0.25">
      <c r="A288" s="105">
        <v>9620004542</v>
      </c>
      <c r="B288" s="106" t="s">
        <v>617</v>
      </c>
    </row>
    <row r="289" spans="1:2" x14ac:dyDescent="0.25">
      <c r="A289" s="105">
        <v>9620002359</v>
      </c>
      <c r="B289" s="106" t="s">
        <v>1102</v>
      </c>
    </row>
    <row r="290" spans="1:2" x14ac:dyDescent="0.25">
      <c r="A290" s="105">
        <v>9620088202</v>
      </c>
      <c r="B290" s="106" t="s">
        <v>618</v>
      </c>
    </row>
    <row r="291" spans="1:2" x14ac:dyDescent="0.25">
      <c r="A291" s="105">
        <v>9620088195</v>
      </c>
      <c r="B291" s="106" t="s">
        <v>619</v>
      </c>
    </row>
    <row r="292" spans="1:2" x14ac:dyDescent="0.25">
      <c r="A292" s="105">
        <v>9620088203</v>
      </c>
      <c r="B292" s="106" t="s">
        <v>620</v>
      </c>
    </row>
    <row r="293" spans="1:2" x14ac:dyDescent="0.25">
      <c r="A293" s="105">
        <v>9620088198</v>
      </c>
      <c r="B293" s="106" t="s">
        <v>621</v>
      </c>
    </row>
    <row r="294" spans="1:2" x14ac:dyDescent="0.25">
      <c r="A294" s="105">
        <v>9620088197</v>
      </c>
      <c r="B294" s="106" t="s">
        <v>622</v>
      </c>
    </row>
    <row r="295" spans="1:2" x14ac:dyDescent="0.25">
      <c r="A295" s="105">
        <v>9620088201</v>
      </c>
      <c r="B295" s="106" t="s">
        <v>623</v>
      </c>
    </row>
    <row r="296" spans="1:2" x14ac:dyDescent="0.25">
      <c r="A296" s="105">
        <v>9620088199</v>
      </c>
      <c r="B296" s="106" t="s">
        <v>624</v>
      </c>
    </row>
    <row r="297" spans="1:2" x14ac:dyDescent="0.25">
      <c r="A297" s="105">
        <v>9620088200</v>
      </c>
      <c r="B297" s="106" t="s">
        <v>625</v>
      </c>
    </row>
    <row r="298" spans="1:2" x14ac:dyDescent="0.25">
      <c r="A298" s="105">
        <v>9620088196</v>
      </c>
      <c r="B298" s="106" t="s">
        <v>626</v>
      </c>
    </row>
    <row r="299" spans="1:2" x14ac:dyDescent="0.25">
      <c r="A299" s="105">
        <v>9620046935</v>
      </c>
      <c r="B299" s="106" t="s">
        <v>627</v>
      </c>
    </row>
    <row r="300" spans="1:2" x14ac:dyDescent="0.25">
      <c r="A300" s="105">
        <v>9620000803</v>
      </c>
      <c r="B300" s="106" t="s">
        <v>628</v>
      </c>
    </row>
    <row r="301" spans="1:2" x14ac:dyDescent="0.25">
      <c r="A301" s="105">
        <v>9620087959</v>
      </c>
      <c r="B301" s="106" t="s">
        <v>899</v>
      </c>
    </row>
    <row r="302" spans="1:2" x14ac:dyDescent="0.25">
      <c r="A302" s="105">
        <v>9620000300</v>
      </c>
      <c r="B302" s="106" t="s">
        <v>174</v>
      </c>
    </row>
    <row r="303" spans="1:2" x14ac:dyDescent="0.25">
      <c r="A303" s="105">
        <v>9620000307</v>
      </c>
      <c r="B303" s="106" t="s">
        <v>58</v>
      </c>
    </row>
    <row r="304" spans="1:2" x14ac:dyDescent="0.25">
      <c r="A304" s="105">
        <v>9620000308</v>
      </c>
      <c r="B304" s="106" t="s">
        <v>175</v>
      </c>
    </row>
    <row r="305" spans="1:2" x14ac:dyDescent="0.25">
      <c r="A305" s="105">
        <v>9620000294</v>
      </c>
      <c r="B305" s="106" t="s">
        <v>629</v>
      </c>
    </row>
    <row r="306" spans="1:2" x14ac:dyDescent="0.25">
      <c r="A306" s="105">
        <v>9620000305</v>
      </c>
      <c r="B306" s="106" t="s">
        <v>630</v>
      </c>
    </row>
    <row r="307" spans="1:2" x14ac:dyDescent="0.25">
      <c r="A307" s="105">
        <v>9620000304</v>
      </c>
      <c r="B307" s="106" t="s">
        <v>630</v>
      </c>
    </row>
    <row r="308" spans="1:2" x14ac:dyDescent="0.25">
      <c r="A308" s="105">
        <v>9620000303</v>
      </c>
      <c r="B308" s="106" t="s">
        <v>630</v>
      </c>
    </row>
    <row r="309" spans="1:2" x14ac:dyDescent="0.25">
      <c r="A309" s="105">
        <v>9620000314</v>
      </c>
      <c r="B309" s="106" t="s">
        <v>631</v>
      </c>
    </row>
    <row r="310" spans="1:2" x14ac:dyDescent="0.25">
      <c r="A310" s="105">
        <v>9620000804</v>
      </c>
      <c r="B310" s="106" t="s">
        <v>59</v>
      </c>
    </row>
    <row r="311" spans="1:2" x14ac:dyDescent="0.25">
      <c r="A311" s="105">
        <v>9620000317</v>
      </c>
      <c r="B311" s="106" t="s">
        <v>632</v>
      </c>
    </row>
    <row r="312" spans="1:2" x14ac:dyDescent="0.25">
      <c r="A312" s="105">
        <v>9620047831</v>
      </c>
      <c r="B312" s="106" t="s">
        <v>633</v>
      </c>
    </row>
    <row r="313" spans="1:2" x14ac:dyDescent="0.25">
      <c r="A313" s="105">
        <v>9620037888</v>
      </c>
      <c r="B313" s="106" t="s">
        <v>1103</v>
      </c>
    </row>
    <row r="314" spans="1:2" x14ac:dyDescent="0.25">
      <c r="A314" s="105">
        <v>9620087939</v>
      </c>
      <c r="B314" s="106" t="s">
        <v>900</v>
      </c>
    </row>
    <row r="315" spans="1:2" x14ac:dyDescent="0.25">
      <c r="A315" s="105">
        <v>9620087990</v>
      </c>
      <c r="B315" s="106" t="s">
        <v>901</v>
      </c>
    </row>
    <row r="316" spans="1:2" x14ac:dyDescent="0.25">
      <c r="A316" s="105">
        <v>9620088138</v>
      </c>
      <c r="B316" s="106" t="s">
        <v>902</v>
      </c>
    </row>
    <row r="317" spans="1:2" x14ac:dyDescent="0.25">
      <c r="A317" s="105">
        <v>9620000323</v>
      </c>
      <c r="B317" s="106" t="s">
        <v>177</v>
      </c>
    </row>
    <row r="318" spans="1:2" x14ac:dyDescent="0.25">
      <c r="A318" s="105">
        <v>9620000324</v>
      </c>
      <c r="B318" s="106" t="s">
        <v>1104</v>
      </c>
    </row>
    <row r="319" spans="1:2" x14ac:dyDescent="0.25">
      <c r="A319" s="105">
        <v>9620000326</v>
      </c>
      <c r="B319" s="106" t="s">
        <v>61</v>
      </c>
    </row>
    <row r="320" spans="1:2" x14ac:dyDescent="0.25">
      <c r="A320" s="105">
        <v>9620000327</v>
      </c>
      <c r="B320" s="106" t="s">
        <v>634</v>
      </c>
    </row>
    <row r="321" spans="1:2" x14ac:dyDescent="0.25">
      <c r="A321" s="105">
        <v>9620048519</v>
      </c>
      <c r="B321" s="106" t="s">
        <v>635</v>
      </c>
    </row>
    <row r="322" spans="1:2" x14ac:dyDescent="0.25">
      <c r="A322" s="105">
        <v>9620088058</v>
      </c>
      <c r="B322" s="106" t="s">
        <v>903</v>
      </c>
    </row>
    <row r="323" spans="1:2" x14ac:dyDescent="0.25">
      <c r="A323" s="105">
        <v>9620088020</v>
      </c>
      <c r="B323" s="106" t="s">
        <v>904</v>
      </c>
    </row>
    <row r="324" spans="1:2" x14ac:dyDescent="0.25">
      <c r="A324" s="105">
        <v>9620088122</v>
      </c>
      <c r="B324" s="106" t="s">
        <v>905</v>
      </c>
    </row>
    <row r="325" spans="1:2" x14ac:dyDescent="0.25">
      <c r="A325" s="105">
        <v>9620000329</v>
      </c>
      <c r="B325" s="106" t="s">
        <v>636</v>
      </c>
    </row>
    <row r="326" spans="1:2" x14ac:dyDescent="0.25">
      <c r="A326" s="105">
        <v>9620051199</v>
      </c>
      <c r="B326" s="106" t="s">
        <v>1105</v>
      </c>
    </row>
    <row r="327" spans="1:2" x14ac:dyDescent="0.25">
      <c r="A327" s="105">
        <v>9620048811</v>
      </c>
      <c r="B327" s="106" t="s">
        <v>637</v>
      </c>
    </row>
    <row r="328" spans="1:2" x14ac:dyDescent="0.25">
      <c r="A328" s="105">
        <v>9620088147</v>
      </c>
      <c r="B328" s="106" t="s">
        <v>906</v>
      </c>
    </row>
    <row r="329" spans="1:2" x14ac:dyDescent="0.25">
      <c r="A329" s="105">
        <v>9620000331</v>
      </c>
      <c r="B329" s="106" t="s">
        <v>638</v>
      </c>
    </row>
    <row r="330" spans="1:2" x14ac:dyDescent="0.25">
      <c r="A330" s="105">
        <v>9620088084</v>
      </c>
      <c r="B330" s="106" t="s">
        <v>907</v>
      </c>
    </row>
    <row r="331" spans="1:2" x14ac:dyDescent="0.25">
      <c r="A331" s="105">
        <v>9620088100</v>
      </c>
      <c r="B331" s="106" t="s">
        <v>908</v>
      </c>
    </row>
    <row r="332" spans="1:2" x14ac:dyDescent="0.25">
      <c r="A332" s="105">
        <v>9620000334</v>
      </c>
      <c r="B332" s="106" t="s">
        <v>639</v>
      </c>
    </row>
    <row r="333" spans="1:2" x14ac:dyDescent="0.25">
      <c r="A333" s="105">
        <v>9620088059</v>
      </c>
      <c r="B333" s="106" t="s">
        <v>909</v>
      </c>
    </row>
    <row r="334" spans="1:2" x14ac:dyDescent="0.25">
      <c r="A334" s="105">
        <v>9620000336</v>
      </c>
      <c r="B334" s="106" t="s">
        <v>1106</v>
      </c>
    </row>
    <row r="335" spans="1:2" x14ac:dyDescent="0.25">
      <c r="A335" s="105">
        <v>9620000337</v>
      </c>
      <c r="B335" s="106" t="s">
        <v>640</v>
      </c>
    </row>
    <row r="336" spans="1:2" x14ac:dyDescent="0.25">
      <c r="A336" s="105">
        <v>9620000339</v>
      </c>
      <c r="B336" s="106" t="s">
        <v>180</v>
      </c>
    </row>
    <row r="337" spans="1:2" x14ac:dyDescent="0.25">
      <c r="A337" s="105">
        <v>9620000340</v>
      </c>
      <c r="B337" s="106" t="s">
        <v>181</v>
      </c>
    </row>
    <row r="338" spans="1:2" x14ac:dyDescent="0.25">
      <c r="A338" s="105">
        <v>9620000810</v>
      </c>
      <c r="B338" s="106" t="s">
        <v>641</v>
      </c>
    </row>
    <row r="339" spans="1:2" x14ac:dyDescent="0.25">
      <c r="A339" s="105">
        <v>9620000341</v>
      </c>
      <c r="B339" s="106" t="s">
        <v>642</v>
      </c>
    </row>
    <row r="340" spans="1:2" x14ac:dyDescent="0.25">
      <c r="A340" s="105">
        <v>9620088060</v>
      </c>
      <c r="B340" s="106" t="s">
        <v>910</v>
      </c>
    </row>
    <row r="341" spans="1:2" x14ac:dyDescent="0.25">
      <c r="A341" s="105">
        <v>9620000344</v>
      </c>
      <c r="B341" s="106" t="s">
        <v>643</v>
      </c>
    </row>
    <row r="342" spans="1:2" x14ac:dyDescent="0.25">
      <c r="A342" s="105">
        <v>9620088123</v>
      </c>
      <c r="B342" s="106" t="s">
        <v>911</v>
      </c>
    </row>
    <row r="343" spans="1:2" x14ac:dyDescent="0.25">
      <c r="A343" s="105">
        <v>9620000345</v>
      </c>
      <c r="B343" s="106" t="s">
        <v>644</v>
      </c>
    </row>
    <row r="344" spans="1:2" x14ac:dyDescent="0.25">
      <c r="A344" s="105">
        <v>9620088143</v>
      </c>
      <c r="B344" s="106" t="s">
        <v>912</v>
      </c>
    </row>
    <row r="345" spans="1:2" x14ac:dyDescent="0.25">
      <c r="A345" s="105">
        <v>9620000348</v>
      </c>
      <c r="B345" s="106" t="s">
        <v>645</v>
      </c>
    </row>
    <row r="346" spans="1:2" x14ac:dyDescent="0.25">
      <c r="A346" s="105">
        <v>9620057507</v>
      </c>
      <c r="B346" s="106" t="s">
        <v>646</v>
      </c>
    </row>
    <row r="347" spans="1:2" x14ac:dyDescent="0.25">
      <c r="A347" s="105">
        <v>9620000349</v>
      </c>
      <c r="B347" s="106" t="s">
        <v>66</v>
      </c>
    </row>
    <row r="348" spans="1:2" x14ac:dyDescent="0.25">
      <c r="A348" s="105">
        <v>9620000351</v>
      </c>
      <c r="B348" s="106" t="s">
        <v>647</v>
      </c>
    </row>
    <row r="349" spans="1:2" x14ac:dyDescent="0.25">
      <c r="A349" s="105">
        <v>9620000352</v>
      </c>
      <c r="B349" s="106" t="s">
        <v>1107</v>
      </c>
    </row>
    <row r="350" spans="1:2" x14ac:dyDescent="0.25">
      <c r="A350" s="105">
        <v>9620000819</v>
      </c>
      <c r="B350" s="106" t="s">
        <v>648</v>
      </c>
    </row>
    <row r="351" spans="1:2" x14ac:dyDescent="0.25">
      <c r="A351" s="105">
        <v>9620000353</v>
      </c>
      <c r="B351" s="106" t="s">
        <v>649</v>
      </c>
    </row>
    <row r="352" spans="1:2" x14ac:dyDescent="0.25">
      <c r="A352" s="105">
        <v>9620086984</v>
      </c>
      <c r="B352" s="106" t="s">
        <v>650</v>
      </c>
    </row>
    <row r="353" spans="1:2" x14ac:dyDescent="0.25">
      <c r="A353" s="105">
        <v>9620000355</v>
      </c>
      <c r="B353" s="106" t="s">
        <v>185</v>
      </c>
    </row>
    <row r="354" spans="1:2" x14ac:dyDescent="0.25">
      <c r="A354" s="105">
        <v>9620059802</v>
      </c>
      <c r="B354" s="106" t="s">
        <v>651</v>
      </c>
    </row>
    <row r="355" spans="1:2" x14ac:dyDescent="0.25">
      <c r="A355" s="105">
        <v>9620000625</v>
      </c>
      <c r="B355" s="106" t="s">
        <v>652</v>
      </c>
    </row>
    <row r="356" spans="1:2" x14ac:dyDescent="0.25">
      <c r="A356" s="105">
        <v>9620000359</v>
      </c>
      <c r="B356" s="106" t="s">
        <v>653</v>
      </c>
    </row>
    <row r="357" spans="1:2" x14ac:dyDescent="0.25">
      <c r="A357" s="105">
        <v>9620000362</v>
      </c>
      <c r="B357" s="106" t="s">
        <v>654</v>
      </c>
    </row>
    <row r="358" spans="1:2" x14ac:dyDescent="0.25">
      <c r="A358" s="105">
        <v>9620000363</v>
      </c>
      <c r="B358" s="106" t="s">
        <v>655</v>
      </c>
    </row>
    <row r="359" spans="1:2" x14ac:dyDescent="0.25">
      <c r="A359" s="105">
        <v>9620048515</v>
      </c>
      <c r="B359" s="106" t="s">
        <v>186</v>
      </c>
    </row>
    <row r="360" spans="1:2" x14ac:dyDescent="0.25">
      <c r="A360" s="105">
        <v>9620000365</v>
      </c>
      <c r="B360" s="106" t="s">
        <v>187</v>
      </c>
    </row>
    <row r="361" spans="1:2" x14ac:dyDescent="0.25">
      <c r="A361" s="105">
        <v>9620000366</v>
      </c>
      <c r="B361" s="106" t="s">
        <v>656</v>
      </c>
    </row>
    <row r="362" spans="1:2" x14ac:dyDescent="0.25">
      <c r="A362" s="105">
        <v>9620087991</v>
      </c>
      <c r="B362" s="106" t="s">
        <v>913</v>
      </c>
    </row>
    <row r="363" spans="1:2" x14ac:dyDescent="0.25">
      <c r="A363" s="105">
        <v>9620000393</v>
      </c>
      <c r="B363" s="106" t="s">
        <v>657</v>
      </c>
    </row>
    <row r="364" spans="1:2" x14ac:dyDescent="0.25">
      <c r="A364" s="105">
        <v>9620000371</v>
      </c>
      <c r="B364" s="106" t="s">
        <v>1108</v>
      </c>
    </row>
    <row r="365" spans="1:2" x14ac:dyDescent="0.25">
      <c r="A365" s="105">
        <v>9620000372</v>
      </c>
      <c r="B365" s="106" t="s">
        <v>658</v>
      </c>
    </row>
    <row r="366" spans="1:2" x14ac:dyDescent="0.25">
      <c r="A366" s="105">
        <v>9620000375</v>
      </c>
      <c r="B366" s="106" t="s">
        <v>69</v>
      </c>
    </row>
    <row r="367" spans="1:2" x14ac:dyDescent="0.25">
      <c r="A367" s="105">
        <v>9620000377</v>
      </c>
      <c r="B367" s="106" t="s">
        <v>659</v>
      </c>
    </row>
    <row r="368" spans="1:2" x14ac:dyDescent="0.25">
      <c r="A368" s="105">
        <v>9620000380</v>
      </c>
      <c r="B368" s="106" t="s">
        <v>660</v>
      </c>
    </row>
    <row r="369" spans="1:2" x14ac:dyDescent="0.25">
      <c r="A369" s="105">
        <v>9620000381</v>
      </c>
      <c r="B369" s="106" t="s">
        <v>661</v>
      </c>
    </row>
    <row r="370" spans="1:2" x14ac:dyDescent="0.25">
      <c r="A370" s="105">
        <v>9620000382</v>
      </c>
      <c r="B370" s="106" t="s">
        <v>189</v>
      </c>
    </row>
    <row r="371" spans="1:2" x14ac:dyDescent="0.25">
      <c r="A371" s="105">
        <v>9620087978</v>
      </c>
      <c r="B371" s="106" t="s">
        <v>914</v>
      </c>
    </row>
    <row r="372" spans="1:2" x14ac:dyDescent="0.25">
      <c r="A372" s="105">
        <v>9620000385</v>
      </c>
      <c r="B372" s="106" t="s">
        <v>260</v>
      </c>
    </row>
    <row r="373" spans="1:2" x14ac:dyDescent="0.25">
      <c r="A373" s="105">
        <v>9620000384</v>
      </c>
      <c r="B373" s="106" t="s">
        <v>260</v>
      </c>
    </row>
    <row r="374" spans="1:2" x14ac:dyDescent="0.25">
      <c r="A374" s="105">
        <v>9620054083</v>
      </c>
      <c r="B374" s="106" t="s">
        <v>662</v>
      </c>
    </row>
    <row r="375" spans="1:2" x14ac:dyDescent="0.25">
      <c r="A375" s="105">
        <v>9620053605</v>
      </c>
      <c r="B375" s="106" t="s">
        <v>663</v>
      </c>
    </row>
    <row r="376" spans="1:2" x14ac:dyDescent="0.25">
      <c r="A376" s="105">
        <v>9620087864</v>
      </c>
      <c r="B376" s="106" t="s">
        <v>664</v>
      </c>
    </row>
    <row r="377" spans="1:2" x14ac:dyDescent="0.25">
      <c r="A377" s="105">
        <v>9620053712</v>
      </c>
      <c r="B377" s="106" t="s">
        <v>665</v>
      </c>
    </row>
    <row r="378" spans="1:2" x14ac:dyDescent="0.25">
      <c r="A378" s="105">
        <v>9620087866</v>
      </c>
      <c r="B378" s="106" t="s">
        <v>666</v>
      </c>
    </row>
    <row r="379" spans="1:2" x14ac:dyDescent="0.25">
      <c r="A379" s="105">
        <v>9620000823</v>
      </c>
      <c r="B379" s="106" t="s">
        <v>667</v>
      </c>
    </row>
    <row r="380" spans="1:2" x14ac:dyDescent="0.25">
      <c r="A380" s="105">
        <v>9620053708</v>
      </c>
      <c r="B380" s="106" t="s">
        <v>668</v>
      </c>
    </row>
    <row r="381" spans="1:2" x14ac:dyDescent="0.25">
      <c r="A381" s="105">
        <v>9620053706</v>
      </c>
      <c r="B381" s="106" t="s">
        <v>669</v>
      </c>
    </row>
    <row r="382" spans="1:2" x14ac:dyDescent="0.25">
      <c r="A382" s="105">
        <v>9620053714</v>
      </c>
      <c r="B382" s="106" t="s">
        <v>670</v>
      </c>
    </row>
    <row r="383" spans="1:2" x14ac:dyDescent="0.25">
      <c r="A383" s="105">
        <v>9620053711</v>
      </c>
      <c r="B383" s="106" t="s">
        <v>671</v>
      </c>
    </row>
    <row r="384" spans="1:2" x14ac:dyDescent="0.25">
      <c r="A384" s="105">
        <v>9620087865</v>
      </c>
      <c r="B384" s="106" t="s">
        <v>672</v>
      </c>
    </row>
    <row r="385" spans="1:2" x14ac:dyDescent="0.25">
      <c r="A385" s="105">
        <v>9620053709</v>
      </c>
      <c r="B385" s="106" t="s">
        <v>673</v>
      </c>
    </row>
    <row r="386" spans="1:2" x14ac:dyDescent="0.25">
      <c r="A386" s="105">
        <v>9620053603</v>
      </c>
      <c r="B386" s="106" t="s">
        <v>674</v>
      </c>
    </row>
    <row r="387" spans="1:2" x14ac:dyDescent="0.25">
      <c r="A387" s="105">
        <v>9620053597</v>
      </c>
      <c r="B387" s="106" t="s">
        <v>675</v>
      </c>
    </row>
    <row r="388" spans="1:2" x14ac:dyDescent="0.25">
      <c r="A388" s="105">
        <v>9620053710</v>
      </c>
      <c r="B388" s="106" t="s">
        <v>676</v>
      </c>
    </row>
    <row r="389" spans="1:2" x14ac:dyDescent="0.25">
      <c r="A389" s="105">
        <v>9620053604</v>
      </c>
      <c r="B389" s="106" t="s">
        <v>677</v>
      </c>
    </row>
    <row r="390" spans="1:2" x14ac:dyDescent="0.25">
      <c r="A390" s="105">
        <v>9620053596</v>
      </c>
      <c r="B390" s="106" t="s">
        <v>678</v>
      </c>
    </row>
    <row r="391" spans="1:2" x14ac:dyDescent="0.25">
      <c r="A391" s="105">
        <v>9620053715</v>
      </c>
      <c r="B391" s="106" t="s">
        <v>679</v>
      </c>
    </row>
    <row r="392" spans="1:2" x14ac:dyDescent="0.25">
      <c r="A392" s="105">
        <v>9620053623</v>
      </c>
      <c r="B392" s="106" t="s">
        <v>680</v>
      </c>
    </row>
    <row r="393" spans="1:2" x14ac:dyDescent="0.25">
      <c r="A393" s="105">
        <v>9620053595</v>
      </c>
      <c r="B393" s="106" t="s">
        <v>681</v>
      </c>
    </row>
    <row r="394" spans="1:2" x14ac:dyDescent="0.25">
      <c r="A394" s="105">
        <v>9620087872</v>
      </c>
      <c r="B394" s="106" t="s">
        <v>682</v>
      </c>
    </row>
    <row r="395" spans="1:2" x14ac:dyDescent="0.25">
      <c r="A395" s="105">
        <v>9620053622</v>
      </c>
      <c r="B395" s="106" t="s">
        <v>683</v>
      </c>
    </row>
    <row r="396" spans="1:2" x14ac:dyDescent="0.25">
      <c r="A396" s="105">
        <v>9620053606</v>
      </c>
      <c r="B396" s="106" t="s">
        <v>684</v>
      </c>
    </row>
    <row r="397" spans="1:2" x14ac:dyDescent="0.25">
      <c r="A397" s="105">
        <v>9620087873</v>
      </c>
      <c r="B397" s="106" t="s">
        <v>685</v>
      </c>
    </row>
    <row r="398" spans="1:2" x14ac:dyDescent="0.25">
      <c r="A398" s="105">
        <v>9620087875</v>
      </c>
      <c r="B398" s="106" t="s">
        <v>686</v>
      </c>
    </row>
    <row r="399" spans="1:2" x14ac:dyDescent="0.25">
      <c r="A399" s="105">
        <v>9620087867</v>
      </c>
      <c r="B399" s="106" t="s">
        <v>687</v>
      </c>
    </row>
    <row r="400" spans="1:2" x14ac:dyDescent="0.25">
      <c r="A400" s="105">
        <v>9620087876</v>
      </c>
      <c r="B400" s="106" t="s">
        <v>688</v>
      </c>
    </row>
    <row r="401" spans="1:2" x14ac:dyDescent="0.25">
      <c r="A401" s="105">
        <v>9620087871</v>
      </c>
      <c r="B401" s="106" t="s">
        <v>689</v>
      </c>
    </row>
    <row r="402" spans="1:2" x14ac:dyDescent="0.25">
      <c r="A402" s="105">
        <v>9620087874</v>
      </c>
      <c r="B402" s="106" t="s">
        <v>690</v>
      </c>
    </row>
    <row r="403" spans="1:2" x14ac:dyDescent="0.25">
      <c r="A403" s="105">
        <v>9620087868</v>
      </c>
      <c r="B403" s="106" t="s">
        <v>691</v>
      </c>
    </row>
    <row r="404" spans="1:2" x14ac:dyDescent="0.25">
      <c r="A404" s="105">
        <v>9620087870</v>
      </c>
      <c r="B404" s="106" t="s">
        <v>692</v>
      </c>
    </row>
    <row r="405" spans="1:2" x14ac:dyDescent="0.25">
      <c r="A405" s="105">
        <v>9620087869</v>
      </c>
      <c r="B405" s="106" t="s">
        <v>693</v>
      </c>
    </row>
    <row r="406" spans="1:2" x14ac:dyDescent="0.25">
      <c r="A406" s="105">
        <v>9620088037</v>
      </c>
      <c r="B406" s="106" t="s">
        <v>915</v>
      </c>
    </row>
    <row r="407" spans="1:2" x14ac:dyDescent="0.25">
      <c r="A407" s="105">
        <v>9620087960</v>
      </c>
      <c r="B407" s="106" t="s">
        <v>916</v>
      </c>
    </row>
    <row r="408" spans="1:2" x14ac:dyDescent="0.25">
      <c r="A408" s="105">
        <v>9620088061</v>
      </c>
      <c r="B408" s="106" t="s">
        <v>917</v>
      </c>
    </row>
    <row r="409" spans="1:2" x14ac:dyDescent="0.25">
      <c r="A409" s="105">
        <v>9620087992</v>
      </c>
      <c r="B409" s="106" t="s">
        <v>918</v>
      </c>
    </row>
    <row r="410" spans="1:2" x14ac:dyDescent="0.25">
      <c r="A410" s="105">
        <v>9620087993</v>
      </c>
      <c r="B410" s="106" t="s">
        <v>919</v>
      </c>
    </row>
    <row r="411" spans="1:2" x14ac:dyDescent="0.25">
      <c r="A411" s="105">
        <v>9620088139</v>
      </c>
      <c r="B411" s="106" t="s">
        <v>920</v>
      </c>
    </row>
    <row r="412" spans="1:2" x14ac:dyDescent="0.25">
      <c r="A412" s="105">
        <v>9620087961</v>
      </c>
      <c r="B412" s="106" t="s">
        <v>921</v>
      </c>
    </row>
    <row r="413" spans="1:2" x14ac:dyDescent="0.25">
      <c r="A413" s="105">
        <v>9620088140</v>
      </c>
      <c r="B413" s="106" t="s">
        <v>922</v>
      </c>
    </row>
    <row r="414" spans="1:2" x14ac:dyDescent="0.25">
      <c r="A414" s="105">
        <v>9620088062</v>
      </c>
      <c r="B414" s="106" t="s">
        <v>923</v>
      </c>
    </row>
    <row r="415" spans="1:2" x14ac:dyDescent="0.25">
      <c r="A415" s="105">
        <v>9620088144</v>
      </c>
      <c r="B415" s="106" t="s">
        <v>924</v>
      </c>
    </row>
    <row r="416" spans="1:2" x14ac:dyDescent="0.25">
      <c r="A416" s="105">
        <v>9620088063</v>
      </c>
      <c r="B416" s="106" t="s">
        <v>925</v>
      </c>
    </row>
    <row r="417" spans="1:2" x14ac:dyDescent="0.25">
      <c r="A417" s="105">
        <v>9620000386</v>
      </c>
      <c r="B417" s="106" t="s">
        <v>1109</v>
      </c>
    </row>
    <row r="418" spans="1:2" x14ac:dyDescent="0.25">
      <c r="A418" s="105">
        <v>9620000387</v>
      </c>
      <c r="B418" s="106" t="s">
        <v>694</v>
      </c>
    </row>
    <row r="419" spans="1:2" x14ac:dyDescent="0.25">
      <c r="A419" s="105">
        <v>9620000389</v>
      </c>
      <c r="B419" s="106" t="s">
        <v>695</v>
      </c>
    </row>
    <row r="420" spans="1:2" x14ac:dyDescent="0.25">
      <c r="A420" s="105">
        <v>9620000391</v>
      </c>
      <c r="B420" s="106" t="s">
        <v>1110</v>
      </c>
    </row>
    <row r="421" spans="1:2" x14ac:dyDescent="0.25">
      <c r="A421" s="105">
        <v>9620087930</v>
      </c>
      <c r="B421" s="106" t="s">
        <v>926</v>
      </c>
    </row>
    <row r="422" spans="1:2" x14ac:dyDescent="0.25">
      <c r="A422" s="105">
        <v>9620088038</v>
      </c>
      <c r="B422" s="106" t="s">
        <v>927</v>
      </c>
    </row>
    <row r="423" spans="1:2" x14ac:dyDescent="0.25">
      <c r="A423" s="105">
        <v>9620088148</v>
      </c>
      <c r="B423" s="106" t="s">
        <v>928</v>
      </c>
    </row>
    <row r="424" spans="1:2" x14ac:dyDescent="0.25">
      <c r="A424" s="105">
        <v>9620087962</v>
      </c>
      <c r="B424" s="106" t="s">
        <v>929</v>
      </c>
    </row>
    <row r="425" spans="1:2" x14ac:dyDescent="0.25">
      <c r="A425" s="105">
        <v>9620087940</v>
      </c>
      <c r="B425" s="106" t="s">
        <v>930</v>
      </c>
    </row>
    <row r="426" spans="1:2" x14ac:dyDescent="0.25">
      <c r="A426" s="105">
        <v>9620087994</v>
      </c>
      <c r="B426" s="106" t="s">
        <v>931</v>
      </c>
    </row>
    <row r="427" spans="1:2" x14ac:dyDescent="0.25">
      <c r="A427" s="105">
        <v>9620088101</v>
      </c>
      <c r="B427" s="106" t="s">
        <v>932</v>
      </c>
    </row>
    <row r="428" spans="1:2" x14ac:dyDescent="0.25">
      <c r="A428" s="105">
        <v>9620088021</v>
      </c>
      <c r="B428" s="106" t="s">
        <v>933</v>
      </c>
    </row>
    <row r="429" spans="1:2" x14ac:dyDescent="0.25">
      <c r="A429" s="105">
        <v>9620088102</v>
      </c>
      <c r="B429" s="106" t="s">
        <v>934</v>
      </c>
    </row>
    <row r="430" spans="1:2" x14ac:dyDescent="0.25">
      <c r="A430" s="105">
        <v>9620087941</v>
      </c>
      <c r="B430" s="106" t="s">
        <v>935</v>
      </c>
    </row>
    <row r="431" spans="1:2" x14ac:dyDescent="0.25">
      <c r="A431" s="105">
        <v>9620088064</v>
      </c>
      <c r="B431" s="106" t="s">
        <v>936</v>
      </c>
    </row>
    <row r="432" spans="1:2" x14ac:dyDescent="0.25">
      <c r="A432" s="105">
        <v>9620000394</v>
      </c>
      <c r="B432" s="106" t="s">
        <v>1111</v>
      </c>
    </row>
    <row r="433" spans="1:2" x14ac:dyDescent="0.25">
      <c r="A433" s="105">
        <v>9620087977</v>
      </c>
      <c r="B433" s="106" t="s">
        <v>937</v>
      </c>
    </row>
    <row r="434" spans="1:2" x14ac:dyDescent="0.25">
      <c r="A434" s="105">
        <v>9620000395</v>
      </c>
      <c r="B434" s="106" t="s">
        <v>193</v>
      </c>
    </row>
    <row r="435" spans="1:2" x14ac:dyDescent="0.25">
      <c r="A435" s="105">
        <v>9620050945</v>
      </c>
      <c r="B435" s="106" t="s">
        <v>696</v>
      </c>
    </row>
    <row r="436" spans="1:2" x14ac:dyDescent="0.25">
      <c r="A436" s="105">
        <v>9620087963</v>
      </c>
      <c r="B436" s="106" t="s">
        <v>938</v>
      </c>
    </row>
    <row r="437" spans="1:2" x14ac:dyDescent="0.25">
      <c r="A437" s="105">
        <v>9620054532</v>
      </c>
      <c r="B437" s="106" t="s">
        <v>250</v>
      </c>
    </row>
    <row r="438" spans="1:2" x14ac:dyDescent="0.25">
      <c r="A438" s="105">
        <v>9620056812</v>
      </c>
      <c r="B438" s="106" t="s">
        <v>697</v>
      </c>
    </row>
    <row r="439" spans="1:2" x14ac:dyDescent="0.25">
      <c r="A439" s="105">
        <v>9620087051</v>
      </c>
      <c r="B439" s="106" t="s">
        <v>698</v>
      </c>
    </row>
    <row r="440" spans="1:2" x14ac:dyDescent="0.25">
      <c r="A440" s="105">
        <v>9620088077</v>
      </c>
      <c r="B440" s="106" t="s">
        <v>939</v>
      </c>
    </row>
    <row r="441" spans="1:2" x14ac:dyDescent="0.25">
      <c r="A441" s="105">
        <v>9620087942</v>
      </c>
      <c r="B441" s="106" t="s">
        <v>940</v>
      </c>
    </row>
    <row r="442" spans="1:2" x14ac:dyDescent="0.25">
      <c r="A442" s="105">
        <v>9620088022</v>
      </c>
      <c r="B442" s="106" t="s">
        <v>941</v>
      </c>
    </row>
    <row r="443" spans="1:2" x14ac:dyDescent="0.25">
      <c r="A443" s="105">
        <v>9620087995</v>
      </c>
      <c r="B443" s="106" t="s">
        <v>942</v>
      </c>
    </row>
    <row r="444" spans="1:2" x14ac:dyDescent="0.25">
      <c r="A444" s="105">
        <v>9620088124</v>
      </c>
      <c r="B444" s="106" t="s">
        <v>943</v>
      </c>
    </row>
    <row r="445" spans="1:2" x14ac:dyDescent="0.25">
      <c r="A445" s="105">
        <v>9620088065</v>
      </c>
      <c r="B445" s="106" t="s">
        <v>944</v>
      </c>
    </row>
    <row r="446" spans="1:2" x14ac:dyDescent="0.25">
      <c r="A446" s="105">
        <v>9620000397</v>
      </c>
      <c r="B446" s="106" t="s">
        <v>194</v>
      </c>
    </row>
    <row r="447" spans="1:2" x14ac:dyDescent="0.25">
      <c r="A447" s="105">
        <v>9620087943</v>
      </c>
      <c r="B447" s="106" t="s">
        <v>945</v>
      </c>
    </row>
    <row r="448" spans="1:2" x14ac:dyDescent="0.25">
      <c r="A448" s="105">
        <v>9620088023</v>
      </c>
      <c r="B448" s="106" t="s">
        <v>946</v>
      </c>
    </row>
    <row r="449" spans="1:2" x14ac:dyDescent="0.25">
      <c r="A449" s="105">
        <v>9620000399</v>
      </c>
      <c r="B449" s="106" t="s">
        <v>699</v>
      </c>
    </row>
    <row r="450" spans="1:2" x14ac:dyDescent="0.25">
      <c r="A450" s="105">
        <v>9620000400</v>
      </c>
      <c r="B450" s="106" t="s">
        <v>1112</v>
      </c>
    </row>
    <row r="451" spans="1:2" x14ac:dyDescent="0.25">
      <c r="A451" s="105">
        <v>9620088151</v>
      </c>
      <c r="B451" s="106" t="s">
        <v>947</v>
      </c>
    </row>
    <row r="452" spans="1:2" x14ac:dyDescent="0.25">
      <c r="A452" s="105">
        <v>9620088103</v>
      </c>
      <c r="B452" s="106" t="s">
        <v>948</v>
      </c>
    </row>
    <row r="453" spans="1:2" x14ac:dyDescent="0.25">
      <c r="A453" s="105">
        <v>9620088039</v>
      </c>
      <c r="B453" s="106" t="s">
        <v>949</v>
      </c>
    </row>
    <row r="454" spans="1:2" x14ac:dyDescent="0.25">
      <c r="A454" s="105">
        <v>9620088040</v>
      </c>
      <c r="B454" s="106" t="s">
        <v>950</v>
      </c>
    </row>
    <row r="455" spans="1:2" x14ac:dyDescent="0.25">
      <c r="A455" s="105">
        <v>9620051639</v>
      </c>
      <c r="B455" s="106" t="s">
        <v>1113</v>
      </c>
    </row>
    <row r="456" spans="1:2" x14ac:dyDescent="0.25">
      <c r="A456" s="105">
        <v>9620087944</v>
      </c>
      <c r="B456" s="106" t="s">
        <v>951</v>
      </c>
    </row>
    <row r="457" spans="1:2" x14ac:dyDescent="0.25">
      <c r="A457" s="105">
        <v>9620088152</v>
      </c>
      <c r="B457" s="106" t="s">
        <v>952</v>
      </c>
    </row>
    <row r="458" spans="1:2" x14ac:dyDescent="0.25">
      <c r="A458" s="105">
        <v>9620088078</v>
      </c>
      <c r="B458" s="106" t="s">
        <v>953</v>
      </c>
    </row>
    <row r="459" spans="1:2" x14ac:dyDescent="0.25">
      <c r="A459" s="105">
        <v>9610002630</v>
      </c>
      <c r="B459" s="106" t="s">
        <v>1114</v>
      </c>
    </row>
    <row r="460" spans="1:2" x14ac:dyDescent="0.25">
      <c r="A460" s="105">
        <v>9620087996</v>
      </c>
      <c r="B460" s="106" t="s">
        <v>954</v>
      </c>
    </row>
    <row r="461" spans="1:2" x14ac:dyDescent="0.25">
      <c r="A461" s="105">
        <v>9620087931</v>
      </c>
      <c r="B461" s="106" t="s">
        <v>955</v>
      </c>
    </row>
    <row r="462" spans="1:2" x14ac:dyDescent="0.25">
      <c r="A462" s="105">
        <v>9620000403</v>
      </c>
      <c r="B462" s="106" t="s">
        <v>1115</v>
      </c>
    </row>
    <row r="463" spans="1:2" x14ac:dyDescent="0.25">
      <c r="A463" s="105">
        <v>9620002323</v>
      </c>
      <c r="B463" s="106" t="s">
        <v>1116</v>
      </c>
    </row>
    <row r="464" spans="1:2" x14ac:dyDescent="0.25">
      <c r="A464" s="105">
        <v>9620000405</v>
      </c>
      <c r="B464" s="106" t="s">
        <v>197</v>
      </c>
    </row>
    <row r="465" spans="1:2" x14ac:dyDescent="0.25">
      <c r="A465" s="105">
        <v>9620087945</v>
      </c>
      <c r="B465" s="106" t="s">
        <v>956</v>
      </c>
    </row>
    <row r="466" spans="1:2" x14ac:dyDescent="0.25">
      <c r="A466" s="105">
        <v>9620000834</v>
      </c>
      <c r="B466" s="106" t="s">
        <v>700</v>
      </c>
    </row>
    <row r="467" spans="1:2" x14ac:dyDescent="0.25">
      <c r="A467" s="105">
        <v>9620000407</v>
      </c>
      <c r="B467" s="106" t="s">
        <v>1117</v>
      </c>
    </row>
    <row r="468" spans="1:2" x14ac:dyDescent="0.25">
      <c r="A468" s="105">
        <v>9620000835</v>
      </c>
      <c r="B468" s="106" t="s">
        <v>78</v>
      </c>
    </row>
    <row r="469" spans="1:2" x14ac:dyDescent="0.25">
      <c r="A469" s="105">
        <v>9620000409</v>
      </c>
      <c r="B469" s="106" t="s">
        <v>701</v>
      </c>
    </row>
    <row r="470" spans="1:2" x14ac:dyDescent="0.25">
      <c r="A470" s="105">
        <v>9620000836</v>
      </c>
      <c r="B470" s="106" t="s">
        <v>702</v>
      </c>
    </row>
    <row r="471" spans="1:2" x14ac:dyDescent="0.25">
      <c r="A471" s="105">
        <v>9620000410</v>
      </c>
      <c r="B471" s="106" t="s">
        <v>1118</v>
      </c>
    </row>
    <row r="472" spans="1:2" x14ac:dyDescent="0.25">
      <c r="A472" s="105">
        <v>9620088155</v>
      </c>
      <c r="B472" s="106" t="s">
        <v>957</v>
      </c>
    </row>
    <row r="473" spans="1:2" x14ac:dyDescent="0.25">
      <c r="A473" s="105">
        <v>9620087946</v>
      </c>
      <c r="B473" s="106" t="s">
        <v>958</v>
      </c>
    </row>
    <row r="474" spans="1:2" x14ac:dyDescent="0.25">
      <c r="A474" s="105">
        <v>9620087947</v>
      </c>
      <c r="B474" s="106" t="s">
        <v>959</v>
      </c>
    </row>
    <row r="475" spans="1:2" x14ac:dyDescent="0.25">
      <c r="A475" s="105">
        <v>9620087964</v>
      </c>
      <c r="B475" s="106" t="s">
        <v>960</v>
      </c>
    </row>
    <row r="476" spans="1:2" x14ac:dyDescent="0.25">
      <c r="A476" s="105">
        <v>9620033214</v>
      </c>
      <c r="B476" s="106" t="s">
        <v>703</v>
      </c>
    </row>
    <row r="477" spans="1:2" x14ac:dyDescent="0.25">
      <c r="A477" s="105">
        <v>9620088223</v>
      </c>
      <c r="B477" s="106" t="s">
        <v>704</v>
      </c>
    </row>
    <row r="478" spans="1:2" x14ac:dyDescent="0.25">
      <c r="A478" s="105">
        <v>9620088224</v>
      </c>
      <c r="B478" s="106" t="s">
        <v>705</v>
      </c>
    </row>
    <row r="479" spans="1:2" x14ac:dyDescent="0.25">
      <c r="A479" s="105">
        <v>9620088218</v>
      </c>
      <c r="B479" s="106" t="s">
        <v>706</v>
      </c>
    </row>
    <row r="480" spans="1:2" x14ac:dyDescent="0.25">
      <c r="A480" s="105">
        <v>9620000837</v>
      </c>
      <c r="B480" s="106" t="s">
        <v>707</v>
      </c>
    </row>
    <row r="481" spans="1:2" x14ac:dyDescent="0.25">
      <c r="A481" s="105">
        <v>9620088220</v>
      </c>
      <c r="B481" s="106" t="s">
        <v>708</v>
      </c>
    </row>
    <row r="482" spans="1:2" x14ac:dyDescent="0.25">
      <c r="A482" s="105">
        <v>9620088221</v>
      </c>
      <c r="B482" s="106" t="s">
        <v>709</v>
      </c>
    </row>
    <row r="483" spans="1:2" x14ac:dyDescent="0.25">
      <c r="A483" s="105">
        <v>9620000414</v>
      </c>
      <c r="B483" s="106" t="s">
        <v>710</v>
      </c>
    </row>
    <row r="484" spans="1:2" x14ac:dyDescent="0.25">
      <c r="A484" s="105">
        <v>9620088231</v>
      </c>
      <c r="B484" s="106" t="s">
        <v>961</v>
      </c>
    </row>
    <row r="485" spans="1:2" x14ac:dyDescent="0.25">
      <c r="A485" s="105">
        <v>9620088219</v>
      </c>
      <c r="B485" s="106" t="s">
        <v>711</v>
      </c>
    </row>
    <row r="486" spans="1:2" x14ac:dyDescent="0.25">
      <c r="A486" s="105">
        <v>9620088222</v>
      </c>
      <c r="B486" s="106" t="s">
        <v>712</v>
      </c>
    </row>
    <row r="487" spans="1:2" x14ac:dyDescent="0.25">
      <c r="A487" s="105">
        <v>9620000838</v>
      </c>
      <c r="B487" s="106" t="s">
        <v>713</v>
      </c>
    </row>
    <row r="488" spans="1:2" x14ac:dyDescent="0.25">
      <c r="A488" s="105">
        <v>9620087965</v>
      </c>
      <c r="B488" s="106" t="s">
        <v>962</v>
      </c>
    </row>
    <row r="489" spans="1:2" x14ac:dyDescent="0.25">
      <c r="A489" s="105">
        <v>9620087997</v>
      </c>
      <c r="B489" s="106" t="s">
        <v>963</v>
      </c>
    </row>
    <row r="490" spans="1:2" x14ac:dyDescent="0.25">
      <c r="A490" s="105">
        <v>9620087966</v>
      </c>
      <c r="B490" s="106" t="s">
        <v>964</v>
      </c>
    </row>
    <row r="491" spans="1:2" x14ac:dyDescent="0.25">
      <c r="A491" s="105">
        <v>9620088141</v>
      </c>
      <c r="B491" s="106" t="s">
        <v>965</v>
      </c>
    </row>
    <row r="492" spans="1:2" x14ac:dyDescent="0.25">
      <c r="A492" s="105">
        <v>9620088145</v>
      </c>
      <c r="B492" s="106" t="s">
        <v>966</v>
      </c>
    </row>
    <row r="493" spans="1:2" x14ac:dyDescent="0.25">
      <c r="A493" s="105">
        <v>9620088024</v>
      </c>
      <c r="B493" s="106" t="s">
        <v>967</v>
      </c>
    </row>
    <row r="494" spans="1:2" x14ac:dyDescent="0.25">
      <c r="A494" s="105">
        <v>9620086927</v>
      </c>
      <c r="B494" s="106" t="s">
        <v>714</v>
      </c>
    </row>
    <row r="495" spans="1:2" x14ac:dyDescent="0.25">
      <c r="A495" s="105">
        <v>9620086928</v>
      </c>
      <c r="B495" s="106" t="s">
        <v>714</v>
      </c>
    </row>
    <row r="496" spans="1:2" x14ac:dyDescent="0.25">
      <c r="A496" s="105">
        <v>9620086930</v>
      </c>
      <c r="B496" s="106" t="s">
        <v>714</v>
      </c>
    </row>
    <row r="497" spans="1:2" x14ac:dyDescent="0.25">
      <c r="A497" s="105">
        <v>9620086932</v>
      </c>
      <c r="B497" s="106" t="s">
        <v>714</v>
      </c>
    </row>
    <row r="498" spans="1:2" x14ac:dyDescent="0.25">
      <c r="A498" s="105">
        <v>9620086929</v>
      </c>
      <c r="B498" s="106" t="s">
        <v>714</v>
      </c>
    </row>
    <row r="499" spans="1:2" x14ac:dyDescent="0.25">
      <c r="A499" s="105">
        <v>9620086931</v>
      </c>
      <c r="B499" s="106" t="s">
        <v>714</v>
      </c>
    </row>
    <row r="500" spans="1:2" x14ac:dyDescent="0.25">
      <c r="A500" s="105">
        <v>9620004111</v>
      </c>
      <c r="B500" s="106" t="s">
        <v>715</v>
      </c>
    </row>
    <row r="501" spans="1:2" x14ac:dyDescent="0.25">
      <c r="A501" s="105">
        <v>9620000417</v>
      </c>
      <c r="B501" s="106" t="s">
        <v>716</v>
      </c>
    </row>
    <row r="502" spans="1:2" x14ac:dyDescent="0.25">
      <c r="A502" s="105">
        <v>9620000418</v>
      </c>
      <c r="B502" s="106" t="s">
        <v>717</v>
      </c>
    </row>
    <row r="503" spans="1:2" x14ac:dyDescent="0.25">
      <c r="A503" s="105">
        <v>9620000419</v>
      </c>
      <c r="B503" s="106" t="s">
        <v>718</v>
      </c>
    </row>
    <row r="504" spans="1:2" x14ac:dyDescent="0.25">
      <c r="A504" s="105">
        <v>9620000420</v>
      </c>
      <c r="B504" s="106" t="s">
        <v>719</v>
      </c>
    </row>
    <row r="505" spans="1:2" x14ac:dyDescent="0.25">
      <c r="A505" s="105">
        <v>9620000421</v>
      </c>
      <c r="B505" s="106" t="s">
        <v>720</v>
      </c>
    </row>
    <row r="506" spans="1:2" x14ac:dyDescent="0.25">
      <c r="A506" s="105">
        <v>9620000423</v>
      </c>
      <c r="B506" s="106" t="s">
        <v>721</v>
      </c>
    </row>
    <row r="507" spans="1:2" x14ac:dyDescent="0.25">
      <c r="A507" s="105">
        <v>9620088125</v>
      </c>
      <c r="B507" s="106" t="s">
        <v>968</v>
      </c>
    </row>
    <row r="508" spans="1:2" x14ac:dyDescent="0.25">
      <c r="A508" s="105">
        <v>9620088011</v>
      </c>
      <c r="B508" s="106" t="s">
        <v>969</v>
      </c>
    </row>
    <row r="509" spans="1:2" x14ac:dyDescent="0.25">
      <c r="A509" s="105">
        <v>9620088156</v>
      </c>
      <c r="B509" s="106" t="s">
        <v>970</v>
      </c>
    </row>
    <row r="510" spans="1:2" x14ac:dyDescent="0.25">
      <c r="A510" s="105">
        <v>9620088066</v>
      </c>
      <c r="B510" s="106" t="s">
        <v>971</v>
      </c>
    </row>
    <row r="511" spans="1:2" x14ac:dyDescent="0.25">
      <c r="A511" s="105">
        <v>9620088126</v>
      </c>
      <c r="B511" s="106" t="s">
        <v>972</v>
      </c>
    </row>
    <row r="512" spans="1:2" x14ac:dyDescent="0.25">
      <c r="A512" s="105">
        <v>9620088149</v>
      </c>
      <c r="B512" s="106" t="s">
        <v>973</v>
      </c>
    </row>
    <row r="513" spans="1:2" x14ac:dyDescent="0.25">
      <c r="A513" s="105">
        <v>9620088127</v>
      </c>
      <c r="B513" s="106" t="s">
        <v>974</v>
      </c>
    </row>
    <row r="514" spans="1:2" x14ac:dyDescent="0.25">
      <c r="A514" s="105">
        <v>9620087979</v>
      </c>
      <c r="B514" s="106" t="s">
        <v>975</v>
      </c>
    </row>
    <row r="515" spans="1:2" x14ac:dyDescent="0.25">
      <c r="A515" s="105">
        <v>9620000431</v>
      </c>
      <c r="B515" s="106" t="s">
        <v>722</v>
      </c>
    </row>
    <row r="516" spans="1:2" x14ac:dyDescent="0.25">
      <c r="A516" s="105">
        <v>9620000432</v>
      </c>
      <c r="B516" s="106" t="s">
        <v>723</v>
      </c>
    </row>
    <row r="517" spans="1:2" x14ac:dyDescent="0.25">
      <c r="A517" s="105">
        <v>9620000433</v>
      </c>
      <c r="B517" s="106" t="s">
        <v>1119</v>
      </c>
    </row>
    <row r="518" spans="1:2" x14ac:dyDescent="0.25">
      <c r="A518" s="105">
        <v>9620054012</v>
      </c>
      <c r="B518" s="106" t="s">
        <v>251</v>
      </c>
    </row>
    <row r="519" spans="1:2" x14ac:dyDescent="0.25">
      <c r="A519" s="105">
        <v>9620088215</v>
      </c>
      <c r="B519" s="106" t="s">
        <v>724</v>
      </c>
    </row>
    <row r="520" spans="1:2" x14ac:dyDescent="0.25">
      <c r="A520" s="105">
        <v>9620088206</v>
      </c>
      <c r="B520" s="106" t="s">
        <v>724</v>
      </c>
    </row>
    <row r="521" spans="1:2" x14ac:dyDescent="0.25">
      <c r="A521" s="105">
        <v>9620088208</v>
      </c>
      <c r="B521" s="106" t="s">
        <v>724</v>
      </c>
    </row>
    <row r="522" spans="1:2" x14ac:dyDescent="0.25">
      <c r="A522" s="105">
        <v>9620088214</v>
      </c>
      <c r="B522" s="106" t="s">
        <v>724</v>
      </c>
    </row>
    <row r="523" spans="1:2" x14ac:dyDescent="0.25">
      <c r="A523" s="105">
        <v>9620088217</v>
      </c>
      <c r="B523" s="106" t="s">
        <v>724</v>
      </c>
    </row>
    <row r="524" spans="1:2" x14ac:dyDescent="0.25">
      <c r="A524" s="105">
        <v>9620088209</v>
      </c>
      <c r="B524" s="106" t="s">
        <v>724</v>
      </c>
    </row>
    <row r="525" spans="1:2" x14ac:dyDescent="0.25">
      <c r="A525" s="105">
        <v>9620088216</v>
      </c>
      <c r="B525" s="106" t="s">
        <v>724</v>
      </c>
    </row>
    <row r="526" spans="1:2" x14ac:dyDescent="0.25">
      <c r="A526" s="105">
        <v>9620088213</v>
      </c>
      <c r="B526" s="106" t="s">
        <v>724</v>
      </c>
    </row>
    <row r="527" spans="1:2" x14ac:dyDescent="0.25">
      <c r="A527" s="105">
        <v>9620088207</v>
      </c>
      <c r="B527" s="106" t="s">
        <v>724</v>
      </c>
    </row>
    <row r="528" spans="1:2" x14ac:dyDescent="0.25">
      <c r="A528" s="105">
        <v>9620088212</v>
      </c>
      <c r="B528" s="106" t="s">
        <v>724</v>
      </c>
    </row>
    <row r="529" spans="1:2" x14ac:dyDescent="0.25">
      <c r="A529" s="105">
        <v>9620088204</v>
      </c>
      <c r="B529" s="106" t="s">
        <v>724</v>
      </c>
    </row>
    <row r="530" spans="1:2" x14ac:dyDescent="0.25">
      <c r="A530" s="105">
        <v>9620088205</v>
      </c>
      <c r="B530" s="106" t="s">
        <v>724</v>
      </c>
    </row>
    <row r="531" spans="1:2" x14ac:dyDescent="0.25">
      <c r="A531" s="105">
        <v>9620088210</v>
      </c>
      <c r="B531" s="106" t="s">
        <v>724</v>
      </c>
    </row>
    <row r="532" spans="1:2" x14ac:dyDescent="0.25">
      <c r="A532" s="105">
        <v>9620088211</v>
      </c>
      <c r="B532" s="106" t="s">
        <v>724</v>
      </c>
    </row>
    <row r="533" spans="1:2" x14ac:dyDescent="0.25">
      <c r="A533" s="105">
        <v>9620000435</v>
      </c>
      <c r="B533" s="106" t="s">
        <v>200</v>
      </c>
    </row>
    <row r="534" spans="1:2" x14ac:dyDescent="0.25">
      <c r="A534" s="105">
        <v>9620000843</v>
      </c>
      <c r="B534" s="106" t="s">
        <v>725</v>
      </c>
    </row>
    <row r="535" spans="1:2" x14ac:dyDescent="0.25">
      <c r="A535" s="105">
        <v>9620000844</v>
      </c>
      <c r="B535" s="106" t="s">
        <v>726</v>
      </c>
    </row>
    <row r="536" spans="1:2" x14ac:dyDescent="0.25">
      <c r="A536" s="105">
        <v>9620000851</v>
      </c>
      <c r="B536" s="106" t="s">
        <v>727</v>
      </c>
    </row>
    <row r="537" spans="1:2" x14ac:dyDescent="0.25">
      <c r="A537" s="105">
        <v>9620000846</v>
      </c>
      <c r="B537" s="106" t="s">
        <v>728</v>
      </c>
    </row>
    <row r="538" spans="1:2" x14ac:dyDescent="0.25">
      <c r="A538" s="105">
        <v>9620000847</v>
      </c>
      <c r="B538" s="106" t="s">
        <v>729</v>
      </c>
    </row>
    <row r="539" spans="1:2" x14ac:dyDescent="0.25">
      <c r="A539" s="105">
        <v>9620000848</v>
      </c>
      <c r="B539" s="106" t="s">
        <v>730</v>
      </c>
    </row>
    <row r="540" spans="1:2" x14ac:dyDescent="0.25">
      <c r="A540" s="105">
        <v>9620053717</v>
      </c>
      <c r="B540" s="106" t="s">
        <v>731</v>
      </c>
    </row>
    <row r="541" spans="1:2" x14ac:dyDescent="0.25">
      <c r="A541" s="105">
        <v>9620000849</v>
      </c>
      <c r="B541" s="106" t="s">
        <v>732</v>
      </c>
    </row>
    <row r="542" spans="1:2" x14ac:dyDescent="0.25">
      <c r="A542" s="105">
        <v>9620053718</v>
      </c>
      <c r="B542" s="106" t="s">
        <v>733</v>
      </c>
    </row>
    <row r="543" spans="1:2" x14ac:dyDescent="0.25">
      <c r="A543" s="105">
        <v>9620000850</v>
      </c>
      <c r="B543" s="106" t="s">
        <v>734</v>
      </c>
    </row>
    <row r="544" spans="1:2" x14ac:dyDescent="0.25">
      <c r="A544" s="105">
        <v>9620000852</v>
      </c>
      <c r="B544" s="106" t="s">
        <v>735</v>
      </c>
    </row>
    <row r="545" spans="1:2" x14ac:dyDescent="0.25">
      <c r="A545" s="105">
        <v>9620053719</v>
      </c>
      <c r="B545" s="106" t="s">
        <v>736</v>
      </c>
    </row>
    <row r="546" spans="1:2" x14ac:dyDescent="0.25">
      <c r="A546" s="105">
        <v>9620000853</v>
      </c>
      <c r="B546" s="106" t="s">
        <v>737</v>
      </c>
    </row>
    <row r="547" spans="1:2" x14ac:dyDescent="0.25">
      <c r="A547" s="105">
        <v>9620000854</v>
      </c>
      <c r="B547" s="106" t="s">
        <v>738</v>
      </c>
    </row>
    <row r="548" spans="1:2" x14ac:dyDescent="0.25">
      <c r="A548" s="105">
        <v>9620088128</v>
      </c>
      <c r="B548" s="106" t="s">
        <v>976</v>
      </c>
    </row>
    <row r="549" spans="1:2" x14ac:dyDescent="0.25">
      <c r="A549" s="105">
        <v>9620087967</v>
      </c>
      <c r="B549" s="106" t="s">
        <v>977</v>
      </c>
    </row>
    <row r="550" spans="1:2" x14ac:dyDescent="0.25">
      <c r="A550" s="105">
        <v>9620087968</v>
      </c>
      <c r="B550" s="106" t="s">
        <v>978</v>
      </c>
    </row>
    <row r="551" spans="1:2" x14ac:dyDescent="0.25">
      <c r="A551" s="105">
        <v>9620087969</v>
      </c>
      <c r="B551" s="106" t="s">
        <v>979</v>
      </c>
    </row>
    <row r="552" spans="1:2" x14ac:dyDescent="0.25">
      <c r="A552" s="105">
        <v>9620000443</v>
      </c>
      <c r="B552" s="106" t="s">
        <v>201</v>
      </c>
    </row>
    <row r="553" spans="1:2" x14ac:dyDescent="0.25">
      <c r="A553" s="105">
        <v>9620002293</v>
      </c>
      <c r="B553" s="106" t="s">
        <v>739</v>
      </c>
    </row>
    <row r="554" spans="1:2" x14ac:dyDescent="0.25">
      <c r="A554" s="105">
        <v>9620051177</v>
      </c>
      <c r="B554" s="106" t="s">
        <v>448</v>
      </c>
    </row>
    <row r="555" spans="1:2" x14ac:dyDescent="0.25">
      <c r="A555" s="105">
        <v>9620048531</v>
      </c>
      <c r="B555" s="106" t="s">
        <v>740</v>
      </c>
    </row>
    <row r="556" spans="1:2" x14ac:dyDescent="0.25">
      <c r="A556" s="105">
        <v>9620000447</v>
      </c>
      <c r="B556" s="106" t="s">
        <v>202</v>
      </c>
    </row>
    <row r="557" spans="1:2" x14ac:dyDescent="0.25">
      <c r="A557" s="105">
        <v>9620000448</v>
      </c>
      <c r="B557" s="106" t="s">
        <v>741</v>
      </c>
    </row>
    <row r="558" spans="1:2" x14ac:dyDescent="0.25">
      <c r="A558" s="105">
        <v>9620087892</v>
      </c>
      <c r="B558" s="106" t="s">
        <v>203</v>
      </c>
    </row>
    <row r="559" spans="1:2" x14ac:dyDescent="0.25">
      <c r="A559" s="105">
        <v>9620087893</v>
      </c>
      <c r="B559" s="106" t="s">
        <v>203</v>
      </c>
    </row>
    <row r="560" spans="1:2" x14ac:dyDescent="0.25">
      <c r="A560" s="105">
        <v>9620087895</v>
      </c>
      <c r="B560" s="106" t="s">
        <v>203</v>
      </c>
    </row>
    <row r="561" spans="1:2" x14ac:dyDescent="0.25">
      <c r="A561" s="105">
        <v>9620087891</v>
      </c>
      <c r="B561" s="106" t="s">
        <v>203</v>
      </c>
    </row>
    <row r="562" spans="1:2" x14ac:dyDescent="0.25">
      <c r="A562" s="105">
        <v>9620087894</v>
      </c>
      <c r="B562" s="106" t="s">
        <v>203</v>
      </c>
    </row>
    <row r="563" spans="1:2" x14ac:dyDescent="0.25">
      <c r="A563" s="105">
        <v>9620000449</v>
      </c>
      <c r="B563" s="106" t="s">
        <v>203</v>
      </c>
    </row>
    <row r="564" spans="1:2" x14ac:dyDescent="0.25">
      <c r="A564" s="105">
        <v>9620087980</v>
      </c>
      <c r="B564" s="106" t="s">
        <v>980</v>
      </c>
    </row>
    <row r="565" spans="1:2" x14ac:dyDescent="0.25">
      <c r="A565" s="105">
        <v>9620002506</v>
      </c>
      <c r="B565" s="106" t="s">
        <v>742</v>
      </c>
    </row>
    <row r="566" spans="1:2" x14ac:dyDescent="0.25">
      <c r="A566" s="105">
        <v>9620088104</v>
      </c>
      <c r="B566" s="106" t="s">
        <v>981</v>
      </c>
    </row>
    <row r="567" spans="1:2" x14ac:dyDescent="0.25">
      <c r="A567" s="105">
        <v>9620000456</v>
      </c>
      <c r="B567" s="106" t="s">
        <v>86</v>
      </c>
    </row>
    <row r="568" spans="1:2" x14ac:dyDescent="0.25">
      <c r="A568" s="105">
        <v>9620087887</v>
      </c>
      <c r="B568" s="106" t="s">
        <v>743</v>
      </c>
    </row>
    <row r="569" spans="1:2" x14ac:dyDescent="0.25">
      <c r="A569" s="105">
        <v>9620000459</v>
      </c>
      <c r="B569" s="106" t="s">
        <v>1120</v>
      </c>
    </row>
    <row r="570" spans="1:2" x14ac:dyDescent="0.25">
      <c r="A570" s="105">
        <v>9620087970</v>
      </c>
      <c r="B570" s="106" t="s">
        <v>982</v>
      </c>
    </row>
    <row r="571" spans="1:2" x14ac:dyDescent="0.25">
      <c r="A571" s="105">
        <v>9620088158</v>
      </c>
      <c r="B571" s="106" t="s">
        <v>983</v>
      </c>
    </row>
    <row r="572" spans="1:2" x14ac:dyDescent="0.25">
      <c r="A572" s="105">
        <v>9620000460</v>
      </c>
      <c r="B572" s="106" t="s">
        <v>205</v>
      </c>
    </row>
    <row r="573" spans="1:2" x14ac:dyDescent="0.25">
      <c r="A573" s="105">
        <v>9620000462</v>
      </c>
      <c r="B573" s="106" t="s">
        <v>401</v>
      </c>
    </row>
    <row r="574" spans="1:2" x14ac:dyDescent="0.25">
      <c r="A574" s="105">
        <v>9620087043</v>
      </c>
      <c r="B574" s="106" t="s">
        <v>744</v>
      </c>
    </row>
    <row r="575" spans="1:2" x14ac:dyDescent="0.25">
      <c r="A575" s="105">
        <v>9620087041</v>
      </c>
      <c r="B575" s="106" t="s">
        <v>745</v>
      </c>
    </row>
    <row r="576" spans="1:2" x14ac:dyDescent="0.25">
      <c r="A576" s="105">
        <v>9620000861</v>
      </c>
      <c r="B576" s="106" t="s">
        <v>746</v>
      </c>
    </row>
    <row r="577" spans="1:2" x14ac:dyDescent="0.25">
      <c r="A577" s="105">
        <v>9620000862</v>
      </c>
      <c r="B577" s="106" t="s">
        <v>747</v>
      </c>
    </row>
    <row r="578" spans="1:2" x14ac:dyDescent="0.25">
      <c r="A578" s="105">
        <v>9620000464</v>
      </c>
      <c r="B578" s="106" t="s">
        <v>206</v>
      </c>
    </row>
    <row r="579" spans="1:2" x14ac:dyDescent="0.25">
      <c r="A579" s="105">
        <v>9620088085</v>
      </c>
      <c r="B579" s="106" t="s">
        <v>984</v>
      </c>
    </row>
    <row r="580" spans="1:2" x14ac:dyDescent="0.25">
      <c r="A580" s="105">
        <v>9620087971</v>
      </c>
      <c r="B580" s="106" t="s">
        <v>985</v>
      </c>
    </row>
    <row r="581" spans="1:2" x14ac:dyDescent="0.25">
      <c r="A581" s="105">
        <v>9620088025</v>
      </c>
      <c r="B581" s="106" t="s">
        <v>986</v>
      </c>
    </row>
    <row r="582" spans="1:2" x14ac:dyDescent="0.25">
      <c r="A582" s="105">
        <v>9620088129</v>
      </c>
      <c r="B582" s="106" t="s">
        <v>987</v>
      </c>
    </row>
    <row r="583" spans="1:2" x14ac:dyDescent="0.25">
      <c r="A583" s="105">
        <v>9620088105</v>
      </c>
      <c r="B583" s="106" t="s">
        <v>988</v>
      </c>
    </row>
    <row r="584" spans="1:2" x14ac:dyDescent="0.25">
      <c r="A584" s="105">
        <v>9620088130</v>
      </c>
      <c r="B584" s="106" t="s">
        <v>989</v>
      </c>
    </row>
    <row r="585" spans="1:2" x14ac:dyDescent="0.25">
      <c r="A585" s="105">
        <v>9620000467</v>
      </c>
      <c r="B585" s="106" t="s">
        <v>748</v>
      </c>
    </row>
    <row r="586" spans="1:2" x14ac:dyDescent="0.25">
      <c r="A586" s="105">
        <v>9620087981</v>
      </c>
      <c r="B586" s="106" t="s">
        <v>990</v>
      </c>
    </row>
    <row r="587" spans="1:2" x14ac:dyDescent="0.25">
      <c r="A587" s="105">
        <v>9620088106</v>
      </c>
      <c r="B587" s="106" t="s">
        <v>991</v>
      </c>
    </row>
    <row r="588" spans="1:2" x14ac:dyDescent="0.25">
      <c r="A588" s="105">
        <v>9620088107</v>
      </c>
      <c r="B588" s="106" t="s">
        <v>992</v>
      </c>
    </row>
    <row r="589" spans="1:2" x14ac:dyDescent="0.25">
      <c r="A589" s="105">
        <v>9620087998</v>
      </c>
      <c r="B589" s="106" t="s">
        <v>993</v>
      </c>
    </row>
    <row r="590" spans="1:2" x14ac:dyDescent="0.25">
      <c r="A590" s="105">
        <v>9620088067</v>
      </c>
      <c r="B590" s="106" t="s">
        <v>994</v>
      </c>
    </row>
    <row r="591" spans="1:2" x14ac:dyDescent="0.25">
      <c r="A591" s="105">
        <v>9620088108</v>
      </c>
      <c r="B591" s="106" t="s">
        <v>995</v>
      </c>
    </row>
    <row r="592" spans="1:2" x14ac:dyDescent="0.25">
      <c r="A592" s="105">
        <v>9620087972</v>
      </c>
      <c r="B592" s="106" t="s">
        <v>996</v>
      </c>
    </row>
    <row r="593" spans="1:2" x14ac:dyDescent="0.25">
      <c r="A593" s="105">
        <v>9620088041</v>
      </c>
      <c r="B593" s="106" t="s">
        <v>997</v>
      </c>
    </row>
    <row r="594" spans="1:2" x14ac:dyDescent="0.25">
      <c r="A594" s="105">
        <v>9620088109</v>
      </c>
      <c r="B594" s="106" t="s">
        <v>998</v>
      </c>
    </row>
    <row r="595" spans="1:2" x14ac:dyDescent="0.25">
      <c r="A595" s="105">
        <v>9620088086</v>
      </c>
      <c r="B595" s="106" t="s">
        <v>999</v>
      </c>
    </row>
    <row r="596" spans="1:2" x14ac:dyDescent="0.25">
      <c r="A596" s="105">
        <v>9620000468</v>
      </c>
      <c r="B596" s="106" t="s">
        <v>749</v>
      </c>
    </row>
    <row r="597" spans="1:2" x14ac:dyDescent="0.25">
      <c r="A597" s="105">
        <v>9620088042</v>
      </c>
      <c r="B597" s="106" t="s">
        <v>1000</v>
      </c>
    </row>
    <row r="598" spans="1:2" x14ac:dyDescent="0.25">
      <c r="A598" s="105">
        <v>9620088087</v>
      </c>
      <c r="B598" s="106" t="s">
        <v>1001</v>
      </c>
    </row>
    <row r="599" spans="1:2" x14ac:dyDescent="0.25">
      <c r="A599" s="105">
        <v>9620000472</v>
      </c>
      <c r="B599" s="106" t="s">
        <v>750</v>
      </c>
    </row>
    <row r="600" spans="1:2" x14ac:dyDescent="0.25">
      <c r="A600" s="105">
        <v>9620000474</v>
      </c>
      <c r="B600" s="106" t="s">
        <v>751</v>
      </c>
    </row>
    <row r="601" spans="1:2" x14ac:dyDescent="0.25">
      <c r="A601" s="105">
        <v>9620000475</v>
      </c>
      <c r="B601" s="106" t="s">
        <v>752</v>
      </c>
    </row>
    <row r="602" spans="1:2" x14ac:dyDescent="0.25">
      <c r="A602" s="105">
        <v>9620000476</v>
      </c>
      <c r="B602" s="106" t="s">
        <v>753</v>
      </c>
    </row>
    <row r="603" spans="1:2" x14ac:dyDescent="0.25">
      <c r="A603" s="105">
        <v>9620002281</v>
      </c>
      <c r="B603" s="106" t="s">
        <v>1121</v>
      </c>
    </row>
    <row r="604" spans="1:2" x14ac:dyDescent="0.25">
      <c r="A604" s="105">
        <v>9620000481</v>
      </c>
      <c r="B604" s="106" t="s">
        <v>754</v>
      </c>
    </row>
    <row r="605" spans="1:2" x14ac:dyDescent="0.25">
      <c r="A605" s="105">
        <v>9620087948</v>
      </c>
      <c r="B605" s="106" t="s">
        <v>1002</v>
      </c>
    </row>
    <row r="606" spans="1:2" x14ac:dyDescent="0.25">
      <c r="A606" s="105">
        <v>9620004993</v>
      </c>
      <c r="B606" s="106" t="s">
        <v>755</v>
      </c>
    </row>
    <row r="607" spans="1:2" x14ac:dyDescent="0.25">
      <c r="A607" s="105">
        <v>9620044100</v>
      </c>
      <c r="B607" s="106" t="s">
        <v>1122</v>
      </c>
    </row>
    <row r="608" spans="1:2" x14ac:dyDescent="0.25">
      <c r="A608" s="105">
        <v>9620002311</v>
      </c>
      <c r="B608" s="106" t="s">
        <v>1123</v>
      </c>
    </row>
    <row r="609" spans="1:2" x14ac:dyDescent="0.25">
      <c r="A609" s="105">
        <v>9620000494</v>
      </c>
      <c r="B609" s="106" t="s">
        <v>756</v>
      </c>
    </row>
    <row r="610" spans="1:2" x14ac:dyDescent="0.25">
      <c r="A610" s="105">
        <v>9620000498</v>
      </c>
      <c r="B610" s="106" t="s">
        <v>1124</v>
      </c>
    </row>
    <row r="611" spans="1:2" x14ac:dyDescent="0.25">
      <c r="A611" s="105">
        <v>9620088026</v>
      </c>
      <c r="B611" s="106" t="s">
        <v>1003</v>
      </c>
    </row>
    <row r="612" spans="1:2" x14ac:dyDescent="0.25">
      <c r="A612" s="105">
        <v>9620047085</v>
      </c>
      <c r="B612" s="106" t="s">
        <v>208</v>
      </c>
    </row>
    <row r="613" spans="1:2" x14ac:dyDescent="0.25">
      <c r="A613" s="105">
        <v>9620000500</v>
      </c>
      <c r="B613" s="106" t="s">
        <v>757</v>
      </c>
    </row>
    <row r="614" spans="1:2" x14ac:dyDescent="0.25">
      <c r="A614" s="105">
        <v>9620000501</v>
      </c>
      <c r="B614" s="106" t="s">
        <v>1125</v>
      </c>
    </row>
    <row r="615" spans="1:2" x14ac:dyDescent="0.25">
      <c r="A615" s="105">
        <v>9620000503</v>
      </c>
      <c r="B615" s="106" t="s">
        <v>209</v>
      </c>
    </row>
    <row r="616" spans="1:2" x14ac:dyDescent="0.25">
      <c r="A616" s="105">
        <v>9620057289</v>
      </c>
      <c r="B616" s="106" t="s">
        <v>758</v>
      </c>
    </row>
    <row r="617" spans="1:2" x14ac:dyDescent="0.25">
      <c r="A617" s="105">
        <v>9620088273</v>
      </c>
      <c r="B617" s="106" t="s">
        <v>1004</v>
      </c>
    </row>
    <row r="618" spans="1:2" x14ac:dyDescent="0.25">
      <c r="A618" s="105">
        <v>9620000509</v>
      </c>
      <c r="B618" s="106" t="s">
        <v>210</v>
      </c>
    </row>
    <row r="619" spans="1:2" x14ac:dyDescent="0.25">
      <c r="A619" s="105">
        <v>9620088114</v>
      </c>
      <c r="B619" s="106" t="s">
        <v>1005</v>
      </c>
    </row>
    <row r="620" spans="1:2" x14ac:dyDescent="0.25">
      <c r="A620" s="105">
        <v>9620000868</v>
      </c>
      <c r="B620" s="106" t="s">
        <v>759</v>
      </c>
    </row>
    <row r="621" spans="1:2" x14ac:dyDescent="0.25">
      <c r="A621" s="105">
        <v>9620043989</v>
      </c>
      <c r="B621" s="106" t="s">
        <v>760</v>
      </c>
    </row>
    <row r="622" spans="1:2" x14ac:dyDescent="0.25">
      <c r="A622" s="105">
        <v>9620088027</v>
      </c>
      <c r="B622" s="106" t="s">
        <v>1006</v>
      </c>
    </row>
    <row r="623" spans="1:2" x14ac:dyDescent="0.25">
      <c r="A623" s="105">
        <v>9620088068</v>
      </c>
      <c r="B623" s="106" t="s">
        <v>1007</v>
      </c>
    </row>
    <row r="624" spans="1:2" x14ac:dyDescent="0.25">
      <c r="A624" s="105">
        <v>9620000514</v>
      </c>
      <c r="B624" s="106" t="s">
        <v>761</v>
      </c>
    </row>
    <row r="625" spans="1:2" x14ac:dyDescent="0.25">
      <c r="A625" s="105">
        <v>9620000519</v>
      </c>
      <c r="B625" s="106" t="s">
        <v>1126</v>
      </c>
    </row>
    <row r="626" spans="1:2" x14ac:dyDescent="0.25">
      <c r="A626" s="105">
        <v>9620000869</v>
      </c>
      <c r="B626" s="106" t="s">
        <v>92</v>
      </c>
    </row>
    <row r="627" spans="1:2" x14ac:dyDescent="0.25">
      <c r="A627" s="105">
        <v>9620088088</v>
      </c>
      <c r="B627" s="106" t="s">
        <v>1008</v>
      </c>
    </row>
    <row r="628" spans="1:2" x14ac:dyDescent="0.25">
      <c r="A628" s="105">
        <v>9620087999</v>
      </c>
      <c r="B628" s="106" t="s">
        <v>1009</v>
      </c>
    </row>
    <row r="629" spans="1:2" x14ac:dyDescent="0.25">
      <c r="A629" s="105">
        <v>9620000522</v>
      </c>
      <c r="B629" s="106" t="s">
        <v>211</v>
      </c>
    </row>
    <row r="630" spans="1:2" x14ac:dyDescent="0.25">
      <c r="A630" s="105">
        <v>9620086998</v>
      </c>
      <c r="B630" s="106" t="s">
        <v>762</v>
      </c>
    </row>
    <row r="631" spans="1:2" x14ac:dyDescent="0.25">
      <c r="A631" s="105">
        <v>9620049939</v>
      </c>
      <c r="B631" s="106" t="s">
        <v>763</v>
      </c>
    </row>
    <row r="632" spans="1:2" x14ac:dyDescent="0.25">
      <c r="A632" s="105">
        <v>9620035806</v>
      </c>
      <c r="B632" s="106" t="s">
        <v>1127</v>
      </c>
    </row>
    <row r="633" spans="1:2" x14ac:dyDescent="0.25">
      <c r="A633" s="105">
        <v>9620004739</v>
      </c>
      <c r="B633" s="106" t="s">
        <v>764</v>
      </c>
    </row>
    <row r="634" spans="1:2" x14ac:dyDescent="0.25">
      <c r="A634" s="105">
        <v>9620087903</v>
      </c>
      <c r="B634" s="106" t="s">
        <v>765</v>
      </c>
    </row>
    <row r="635" spans="1:2" x14ac:dyDescent="0.25">
      <c r="A635" s="105">
        <v>9620087904</v>
      </c>
      <c r="B635" s="106" t="s">
        <v>766</v>
      </c>
    </row>
    <row r="636" spans="1:2" x14ac:dyDescent="0.25">
      <c r="A636" s="105">
        <v>9620000523</v>
      </c>
      <c r="B636" s="106" t="s">
        <v>212</v>
      </c>
    </row>
    <row r="637" spans="1:2" x14ac:dyDescent="0.25">
      <c r="A637" s="105">
        <v>9620034515</v>
      </c>
      <c r="B637" s="106" t="s">
        <v>767</v>
      </c>
    </row>
    <row r="638" spans="1:2" x14ac:dyDescent="0.25">
      <c r="A638" s="105">
        <v>9620000527</v>
      </c>
      <c r="B638" s="106" t="s">
        <v>1128</v>
      </c>
    </row>
    <row r="639" spans="1:2" x14ac:dyDescent="0.25">
      <c r="A639" s="105">
        <v>9620000528</v>
      </c>
      <c r="B639" s="106" t="s">
        <v>768</v>
      </c>
    </row>
    <row r="640" spans="1:2" x14ac:dyDescent="0.25">
      <c r="A640" s="105">
        <v>9620000531</v>
      </c>
      <c r="B640" s="106" t="s">
        <v>769</v>
      </c>
    </row>
    <row r="641" spans="1:2" x14ac:dyDescent="0.25">
      <c r="A641" s="105">
        <v>9620055665</v>
      </c>
      <c r="B641" s="106" t="s">
        <v>770</v>
      </c>
    </row>
    <row r="642" spans="1:2" x14ac:dyDescent="0.25">
      <c r="A642" s="105">
        <v>9620000877</v>
      </c>
      <c r="B642" s="106" t="s">
        <v>771</v>
      </c>
    </row>
    <row r="643" spans="1:2" x14ac:dyDescent="0.25">
      <c r="A643" s="105">
        <v>9620054085</v>
      </c>
      <c r="B643" s="106" t="s">
        <v>771</v>
      </c>
    </row>
    <row r="644" spans="1:2" x14ac:dyDescent="0.25">
      <c r="A644" s="105">
        <v>9620000875</v>
      </c>
      <c r="B644" s="106" t="s">
        <v>771</v>
      </c>
    </row>
    <row r="645" spans="1:2" x14ac:dyDescent="0.25">
      <c r="A645" s="105">
        <v>9620054089</v>
      </c>
      <c r="B645" s="106" t="s">
        <v>771</v>
      </c>
    </row>
    <row r="646" spans="1:2" x14ac:dyDescent="0.25">
      <c r="A646" s="105">
        <v>9620000873</v>
      </c>
      <c r="B646" s="106" t="s">
        <v>771</v>
      </c>
    </row>
    <row r="647" spans="1:2" x14ac:dyDescent="0.25">
      <c r="A647" s="105">
        <v>9620000876</v>
      </c>
      <c r="B647" s="106" t="s">
        <v>771</v>
      </c>
    </row>
    <row r="648" spans="1:2" x14ac:dyDescent="0.25">
      <c r="A648" s="105">
        <v>9620000871</v>
      </c>
      <c r="B648" s="106" t="s">
        <v>771</v>
      </c>
    </row>
    <row r="649" spans="1:2" x14ac:dyDescent="0.25">
      <c r="A649" s="105">
        <v>9620054087</v>
      </c>
      <c r="B649" s="106" t="s">
        <v>771</v>
      </c>
    </row>
    <row r="650" spans="1:2" x14ac:dyDescent="0.25">
      <c r="A650" s="105">
        <v>9620054086</v>
      </c>
      <c r="B650" s="106" t="s">
        <v>771</v>
      </c>
    </row>
    <row r="651" spans="1:2" x14ac:dyDescent="0.25">
      <c r="A651" s="105">
        <v>9620000874</v>
      </c>
      <c r="B651" s="106" t="s">
        <v>771</v>
      </c>
    </row>
    <row r="652" spans="1:2" x14ac:dyDescent="0.25">
      <c r="A652" s="105">
        <v>9620054088</v>
      </c>
      <c r="B652" s="106" t="s">
        <v>771</v>
      </c>
    </row>
    <row r="653" spans="1:2" x14ac:dyDescent="0.25">
      <c r="A653" s="105">
        <v>9620000535</v>
      </c>
      <c r="B653" s="106" t="s">
        <v>214</v>
      </c>
    </row>
    <row r="654" spans="1:2" x14ac:dyDescent="0.25">
      <c r="A654" s="105">
        <v>9620088069</v>
      </c>
      <c r="B654" s="106" t="s">
        <v>1010</v>
      </c>
    </row>
    <row r="655" spans="1:2" x14ac:dyDescent="0.25">
      <c r="A655" s="105">
        <v>9620000536</v>
      </c>
      <c r="B655" s="106" t="s">
        <v>772</v>
      </c>
    </row>
    <row r="656" spans="1:2" x14ac:dyDescent="0.25">
      <c r="A656" s="105">
        <v>9620000538</v>
      </c>
      <c r="B656" s="106" t="s">
        <v>1129</v>
      </c>
    </row>
    <row r="657" spans="1:2" x14ac:dyDescent="0.25">
      <c r="A657" s="105">
        <v>9620000540</v>
      </c>
      <c r="B657" s="106" t="s">
        <v>773</v>
      </c>
    </row>
    <row r="658" spans="1:2" x14ac:dyDescent="0.25">
      <c r="A658" s="105">
        <v>9620000545</v>
      </c>
      <c r="B658" s="106" t="s">
        <v>1130</v>
      </c>
    </row>
    <row r="659" spans="1:2" x14ac:dyDescent="0.25">
      <c r="A659" s="105">
        <v>9620052377</v>
      </c>
      <c r="B659" s="106" t="s">
        <v>1131</v>
      </c>
    </row>
    <row r="660" spans="1:2" x14ac:dyDescent="0.25">
      <c r="A660" s="105">
        <v>9620000546</v>
      </c>
      <c r="B660" s="106" t="s">
        <v>774</v>
      </c>
    </row>
    <row r="661" spans="1:2" x14ac:dyDescent="0.25">
      <c r="A661" s="105">
        <v>9620000878</v>
      </c>
      <c r="B661" s="106" t="s">
        <v>775</v>
      </c>
    </row>
    <row r="662" spans="1:2" x14ac:dyDescent="0.25">
      <c r="A662" s="105">
        <v>9620000552</v>
      </c>
      <c r="B662" s="106" t="s">
        <v>217</v>
      </c>
    </row>
    <row r="663" spans="1:2" x14ac:dyDescent="0.25">
      <c r="A663" s="105">
        <v>9620088000</v>
      </c>
      <c r="B663" s="106" t="s">
        <v>1011</v>
      </c>
    </row>
    <row r="664" spans="1:2" x14ac:dyDescent="0.25">
      <c r="A664" s="105">
        <v>9620088028</v>
      </c>
      <c r="B664" s="106" t="s">
        <v>1012</v>
      </c>
    </row>
    <row r="665" spans="1:2" x14ac:dyDescent="0.25">
      <c r="A665" s="105">
        <v>9620088110</v>
      </c>
      <c r="B665" s="106" t="s">
        <v>1013</v>
      </c>
    </row>
    <row r="666" spans="1:2" x14ac:dyDescent="0.25">
      <c r="A666" s="105">
        <v>9620047082</v>
      </c>
      <c r="B666" s="106" t="s">
        <v>776</v>
      </c>
    </row>
    <row r="667" spans="1:2" x14ac:dyDescent="0.25">
      <c r="A667" s="105">
        <v>9620050814</v>
      </c>
      <c r="B667" s="106" t="s">
        <v>96</v>
      </c>
    </row>
    <row r="668" spans="1:2" x14ac:dyDescent="0.25">
      <c r="A668" s="105">
        <v>9620000556</v>
      </c>
      <c r="B668" s="106" t="s">
        <v>218</v>
      </c>
    </row>
    <row r="669" spans="1:2" x14ac:dyDescent="0.25">
      <c r="A669" s="105">
        <v>9620000559</v>
      </c>
      <c r="B669" s="106" t="s">
        <v>1132</v>
      </c>
    </row>
    <row r="670" spans="1:2" x14ac:dyDescent="0.25">
      <c r="A670" s="105">
        <v>9620000560</v>
      </c>
      <c r="B670" s="106" t="s">
        <v>777</v>
      </c>
    </row>
    <row r="671" spans="1:2" x14ac:dyDescent="0.25">
      <c r="A671" s="105">
        <v>9620000562</v>
      </c>
      <c r="B671" s="106" t="s">
        <v>778</v>
      </c>
    </row>
    <row r="672" spans="1:2" x14ac:dyDescent="0.25">
      <c r="A672" s="105">
        <v>9620000563</v>
      </c>
      <c r="B672" s="106" t="s">
        <v>98</v>
      </c>
    </row>
    <row r="673" spans="1:2" x14ac:dyDescent="0.25">
      <c r="A673" s="105">
        <v>9620000564</v>
      </c>
      <c r="B673" s="106" t="s">
        <v>779</v>
      </c>
    </row>
    <row r="674" spans="1:2" x14ac:dyDescent="0.25">
      <c r="A674" s="105">
        <v>9620000566</v>
      </c>
      <c r="B674" s="106" t="s">
        <v>220</v>
      </c>
    </row>
    <row r="675" spans="1:2" x14ac:dyDescent="0.25">
      <c r="A675" s="105">
        <v>9620000879</v>
      </c>
      <c r="B675" s="106" t="s">
        <v>780</v>
      </c>
    </row>
    <row r="676" spans="1:2" x14ac:dyDescent="0.25">
      <c r="A676" s="105">
        <v>9620000567</v>
      </c>
      <c r="B676" s="106" t="s">
        <v>781</v>
      </c>
    </row>
    <row r="677" spans="1:2" x14ac:dyDescent="0.25">
      <c r="A677" s="105">
        <v>9620000569</v>
      </c>
      <c r="B677" s="106" t="s">
        <v>782</v>
      </c>
    </row>
    <row r="678" spans="1:2" x14ac:dyDescent="0.25">
      <c r="A678" s="105">
        <v>9620000570</v>
      </c>
      <c r="B678" s="106" t="s">
        <v>1133</v>
      </c>
    </row>
    <row r="679" spans="1:2" x14ac:dyDescent="0.25">
      <c r="A679" s="105">
        <v>9620054011</v>
      </c>
      <c r="B679" s="106" t="s">
        <v>783</v>
      </c>
    </row>
    <row r="680" spans="1:2" x14ac:dyDescent="0.25">
      <c r="A680" s="105">
        <v>9620081536</v>
      </c>
      <c r="B680" s="106" t="s">
        <v>1014</v>
      </c>
    </row>
    <row r="681" spans="1:2" x14ac:dyDescent="0.25">
      <c r="A681" s="105">
        <v>9620003326</v>
      </c>
      <c r="B681" s="106" t="s">
        <v>1134</v>
      </c>
    </row>
    <row r="682" spans="1:2" x14ac:dyDescent="0.25">
      <c r="A682" s="105">
        <v>9620002041</v>
      </c>
      <c r="B682" s="106" t="s">
        <v>784</v>
      </c>
    </row>
    <row r="683" spans="1:2" x14ac:dyDescent="0.25">
      <c r="A683" s="105">
        <v>9620000571</v>
      </c>
      <c r="B683" s="106" t="s">
        <v>785</v>
      </c>
    </row>
    <row r="684" spans="1:2" x14ac:dyDescent="0.25">
      <c r="A684" s="105">
        <v>9620000572</v>
      </c>
      <c r="B684" s="106" t="s">
        <v>786</v>
      </c>
    </row>
    <row r="685" spans="1:2" x14ac:dyDescent="0.25">
      <c r="A685" s="105">
        <v>9620000880</v>
      </c>
      <c r="B685" s="106" t="s">
        <v>787</v>
      </c>
    </row>
    <row r="686" spans="1:2" x14ac:dyDescent="0.25">
      <c r="A686" s="105">
        <v>9620087973</v>
      </c>
      <c r="B686" s="106" t="s">
        <v>1015</v>
      </c>
    </row>
    <row r="687" spans="1:2" x14ac:dyDescent="0.25">
      <c r="A687" s="105">
        <v>9620088089</v>
      </c>
      <c r="B687" s="106" t="s">
        <v>1016</v>
      </c>
    </row>
    <row r="688" spans="1:2" x14ac:dyDescent="0.25">
      <c r="A688" s="105">
        <v>9620000574</v>
      </c>
      <c r="B688" s="106" t="s">
        <v>223</v>
      </c>
    </row>
    <row r="689" spans="1:2" x14ac:dyDescent="0.25">
      <c r="A689" s="105">
        <v>9620088043</v>
      </c>
      <c r="B689" s="106" t="s">
        <v>1017</v>
      </c>
    </row>
    <row r="690" spans="1:2" x14ac:dyDescent="0.25">
      <c r="A690" s="105">
        <v>9620087949</v>
      </c>
      <c r="B690" s="106" t="s">
        <v>1018</v>
      </c>
    </row>
    <row r="691" spans="1:2" x14ac:dyDescent="0.25">
      <c r="A691" s="105">
        <v>9620088044</v>
      </c>
      <c r="B691" s="106" t="s">
        <v>1019</v>
      </c>
    </row>
    <row r="692" spans="1:2" x14ac:dyDescent="0.25">
      <c r="A692" s="105">
        <v>9620088090</v>
      </c>
      <c r="B692" s="106" t="s">
        <v>1020</v>
      </c>
    </row>
    <row r="693" spans="1:2" x14ac:dyDescent="0.25">
      <c r="A693" s="105">
        <v>9620000576</v>
      </c>
      <c r="B693" s="106" t="s">
        <v>224</v>
      </c>
    </row>
    <row r="694" spans="1:2" x14ac:dyDescent="0.25">
      <c r="A694" s="105">
        <v>9620000577</v>
      </c>
      <c r="B694" s="106" t="s">
        <v>788</v>
      </c>
    </row>
    <row r="695" spans="1:2" x14ac:dyDescent="0.25">
      <c r="A695" s="105">
        <v>9620087982</v>
      </c>
      <c r="B695" s="106" t="s">
        <v>1021</v>
      </c>
    </row>
    <row r="696" spans="1:2" x14ac:dyDescent="0.25">
      <c r="A696" s="105">
        <v>9620087950</v>
      </c>
      <c r="B696" s="106" t="s">
        <v>1022</v>
      </c>
    </row>
    <row r="697" spans="1:2" x14ac:dyDescent="0.25">
      <c r="A697" s="105">
        <v>9620088001</v>
      </c>
      <c r="B697" s="106" t="s">
        <v>1023</v>
      </c>
    </row>
    <row r="698" spans="1:2" x14ac:dyDescent="0.25">
      <c r="A698" s="105">
        <v>9620088159</v>
      </c>
      <c r="B698" s="106" t="s">
        <v>1024</v>
      </c>
    </row>
    <row r="699" spans="1:2" x14ac:dyDescent="0.25">
      <c r="A699" s="105">
        <v>9620087951</v>
      </c>
      <c r="B699" s="106" t="s">
        <v>1025</v>
      </c>
    </row>
    <row r="700" spans="1:2" x14ac:dyDescent="0.25">
      <c r="A700" s="105">
        <v>9620088045</v>
      </c>
      <c r="B700" s="106" t="s">
        <v>1026</v>
      </c>
    </row>
    <row r="701" spans="1:2" x14ac:dyDescent="0.25">
      <c r="A701" s="105">
        <v>9620088002</v>
      </c>
      <c r="B701" s="106" t="s">
        <v>1027</v>
      </c>
    </row>
    <row r="702" spans="1:2" x14ac:dyDescent="0.25">
      <c r="A702" s="105">
        <v>9620088003</v>
      </c>
      <c r="B702" s="106" t="s">
        <v>1028</v>
      </c>
    </row>
    <row r="703" spans="1:2" x14ac:dyDescent="0.25">
      <c r="A703" s="105">
        <v>9620088004</v>
      </c>
      <c r="B703" s="106" t="s">
        <v>1029</v>
      </c>
    </row>
    <row r="704" spans="1:2" x14ac:dyDescent="0.25">
      <c r="A704" s="105">
        <v>9620087974</v>
      </c>
      <c r="B704" s="106" t="s">
        <v>1030</v>
      </c>
    </row>
    <row r="705" spans="1:2" x14ac:dyDescent="0.25">
      <c r="A705" s="105">
        <v>9620088091</v>
      </c>
      <c r="B705" s="106" t="s">
        <v>1031</v>
      </c>
    </row>
    <row r="706" spans="1:2" x14ac:dyDescent="0.25">
      <c r="A706" s="105">
        <v>9620004094</v>
      </c>
      <c r="B706" s="106" t="s">
        <v>789</v>
      </c>
    </row>
    <row r="707" spans="1:2" x14ac:dyDescent="0.25">
      <c r="A707" s="105">
        <v>9620000581</v>
      </c>
      <c r="B707" s="106" t="s">
        <v>1135</v>
      </c>
    </row>
    <row r="708" spans="1:2" x14ac:dyDescent="0.25">
      <c r="A708" s="105">
        <v>9620088070</v>
      </c>
      <c r="B708" s="106" t="s">
        <v>1032</v>
      </c>
    </row>
    <row r="709" spans="1:2" x14ac:dyDescent="0.25">
      <c r="A709" s="105">
        <v>9620000584</v>
      </c>
      <c r="B709" s="106" t="s">
        <v>790</v>
      </c>
    </row>
    <row r="710" spans="1:2" x14ac:dyDescent="0.25">
      <c r="A710" s="105">
        <v>9620000585</v>
      </c>
      <c r="B710" s="106" t="s">
        <v>791</v>
      </c>
    </row>
    <row r="711" spans="1:2" x14ac:dyDescent="0.25">
      <c r="A711" s="105">
        <v>9620088092</v>
      </c>
      <c r="B711" s="106" t="s">
        <v>1033</v>
      </c>
    </row>
    <row r="712" spans="1:2" x14ac:dyDescent="0.25">
      <c r="A712" s="105">
        <v>9620088046</v>
      </c>
      <c r="B712" s="106" t="s">
        <v>1034</v>
      </c>
    </row>
    <row r="713" spans="1:2" x14ac:dyDescent="0.25">
      <c r="A713" s="105">
        <v>9620000586</v>
      </c>
      <c r="B713" s="106" t="s">
        <v>792</v>
      </c>
    </row>
    <row r="714" spans="1:2" x14ac:dyDescent="0.25">
      <c r="A714" s="105">
        <v>9620000589</v>
      </c>
      <c r="B714" s="106" t="s">
        <v>444</v>
      </c>
    </row>
    <row r="715" spans="1:2" x14ac:dyDescent="0.25">
      <c r="A715" s="105">
        <v>9620000590</v>
      </c>
      <c r="B715" s="106" t="s">
        <v>227</v>
      </c>
    </row>
    <row r="716" spans="1:2" x14ac:dyDescent="0.25">
      <c r="A716" s="105">
        <v>9620047083</v>
      </c>
      <c r="B716" s="106" t="s">
        <v>228</v>
      </c>
    </row>
    <row r="717" spans="1:2" x14ac:dyDescent="0.25">
      <c r="A717" s="105">
        <v>9620088131</v>
      </c>
      <c r="B717" s="106" t="s">
        <v>1035</v>
      </c>
    </row>
    <row r="718" spans="1:2" x14ac:dyDescent="0.25">
      <c r="A718" s="105">
        <v>9620088012</v>
      </c>
      <c r="B718" s="106" t="s">
        <v>1036</v>
      </c>
    </row>
    <row r="719" spans="1:2" x14ac:dyDescent="0.25">
      <c r="A719" s="105">
        <v>9620000600</v>
      </c>
      <c r="B719" s="106" t="s">
        <v>793</v>
      </c>
    </row>
    <row r="720" spans="1:2" x14ac:dyDescent="0.25">
      <c r="A720" s="105">
        <v>9620000882</v>
      </c>
      <c r="B720" s="106" t="s">
        <v>103</v>
      </c>
    </row>
    <row r="721" spans="1:2" x14ac:dyDescent="0.25">
      <c r="A721" s="105">
        <v>9620000601</v>
      </c>
      <c r="B721" s="106" t="s">
        <v>229</v>
      </c>
    </row>
    <row r="722" spans="1:2" x14ac:dyDescent="0.25">
      <c r="A722" s="105">
        <v>9620088079</v>
      </c>
      <c r="B722" s="106" t="s">
        <v>1037</v>
      </c>
    </row>
    <row r="723" spans="1:2" x14ac:dyDescent="0.25">
      <c r="A723" s="105">
        <v>9620088005</v>
      </c>
      <c r="B723" s="106" t="s">
        <v>1038</v>
      </c>
    </row>
    <row r="724" spans="1:2" x14ac:dyDescent="0.25">
      <c r="A724" s="105">
        <v>9620000604</v>
      </c>
      <c r="B724" s="106" t="s">
        <v>794</v>
      </c>
    </row>
    <row r="725" spans="1:2" x14ac:dyDescent="0.25">
      <c r="A725" s="105">
        <v>9620000611</v>
      </c>
      <c r="B725" s="106" t="s">
        <v>402</v>
      </c>
    </row>
    <row r="726" spans="1:2" x14ac:dyDescent="0.25">
      <c r="A726" s="105">
        <v>9620051178</v>
      </c>
      <c r="B726" s="106" t="s">
        <v>1136</v>
      </c>
    </row>
    <row r="727" spans="1:2" x14ac:dyDescent="0.25">
      <c r="A727" s="105">
        <v>9620000613</v>
      </c>
      <c r="B727" s="106" t="s">
        <v>795</v>
      </c>
    </row>
    <row r="728" spans="1:2" x14ac:dyDescent="0.25">
      <c r="A728" s="105">
        <v>9620000614</v>
      </c>
      <c r="B728" s="106" t="s">
        <v>248</v>
      </c>
    </row>
    <row r="729" spans="1:2" x14ac:dyDescent="0.25">
      <c r="A729" s="105">
        <v>9620088029</v>
      </c>
      <c r="B729" s="106" t="s">
        <v>1039</v>
      </c>
    </row>
    <row r="730" spans="1:2" x14ac:dyDescent="0.25">
      <c r="A730" s="105">
        <v>9620000886</v>
      </c>
      <c r="B730" s="106" t="s">
        <v>796</v>
      </c>
    </row>
    <row r="731" spans="1:2" x14ac:dyDescent="0.25">
      <c r="A731" s="105">
        <v>9620000621</v>
      </c>
      <c r="B731" s="106" t="s">
        <v>797</v>
      </c>
    </row>
    <row r="732" spans="1:2" x14ac:dyDescent="0.25">
      <c r="A732" s="105">
        <v>9620000622</v>
      </c>
      <c r="B732" s="106" t="s">
        <v>494</v>
      </c>
    </row>
    <row r="733" spans="1:2" x14ac:dyDescent="0.25">
      <c r="A733" s="105">
        <v>9620003991</v>
      </c>
      <c r="B733" s="106" t="s">
        <v>1137</v>
      </c>
    </row>
    <row r="734" spans="1:2" x14ac:dyDescent="0.25">
      <c r="A734" s="105">
        <v>9620000638</v>
      </c>
      <c r="B734" s="106" t="s">
        <v>231</v>
      </c>
    </row>
    <row r="735" spans="1:2" x14ac:dyDescent="0.25">
      <c r="A735" s="105">
        <v>9620000639</v>
      </c>
      <c r="B735" s="106" t="s">
        <v>798</v>
      </c>
    </row>
    <row r="736" spans="1:2" x14ac:dyDescent="0.25">
      <c r="A736" s="105">
        <v>9620000640</v>
      </c>
      <c r="B736" s="106" t="s">
        <v>799</v>
      </c>
    </row>
    <row r="737" spans="1:2" x14ac:dyDescent="0.25">
      <c r="A737" s="105">
        <v>9620088093</v>
      </c>
      <c r="B737" s="106" t="s">
        <v>1040</v>
      </c>
    </row>
    <row r="738" spans="1:2" x14ac:dyDescent="0.25">
      <c r="A738" s="105">
        <v>9620000641</v>
      </c>
      <c r="B738" s="106" t="s">
        <v>800</v>
      </c>
    </row>
    <row r="739" spans="1:2" x14ac:dyDescent="0.25">
      <c r="A739" s="105">
        <v>9620088030</v>
      </c>
      <c r="B739" s="106" t="s">
        <v>1041</v>
      </c>
    </row>
    <row r="740" spans="1:2" x14ac:dyDescent="0.25">
      <c r="A740" s="105">
        <v>9620000642</v>
      </c>
      <c r="B740" s="106" t="s">
        <v>232</v>
      </c>
    </row>
    <row r="741" spans="1:2" x14ac:dyDescent="0.25">
      <c r="A741" s="105">
        <v>9620087952</v>
      </c>
      <c r="B741" s="106" t="s">
        <v>1042</v>
      </c>
    </row>
    <row r="742" spans="1:2" x14ac:dyDescent="0.25">
      <c r="A742" s="105">
        <v>9620000644</v>
      </c>
      <c r="B742" s="106" t="s">
        <v>801</v>
      </c>
    </row>
    <row r="743" spans="1:2" x14ac:dyDescent="0.25">
      <c r="A743" s="105">
        <v>9620000646</v>
      </c>
      <c r="B743" s="106" t="s">
        <v>234</v>
      </c>
    </row>
    <row r="744" spans="1:2" x14ac:dyDescent="0.25">
      <c r="A744" s="105">
        <v>9620002208</v>
      </c>
      <c r="B744" s="106" t="s">
        <v>234</v>
      </c>
    </row>
    <row r="745" spans="1:2" x14ac:dyDescent="0.25">
      <c r="A745" s="105">
        <v>9620000888</v>
      </c>
      <c r="B745" s="106" t="s">
        <v>802</v>
      </c>
    </row>
    <row r="746" spans="1:2" x14ac:dyDescent="0.25">
      <c r="A746" s="105">
        <v>9620000648</v>
      </c>
      <c r="B746" s="106" t="s">
        <v>803</v>
      </c>
    </row>
    <row r="747" spans="1:2" x14ac:dyDescent="0.25">
      <c r="A747" s="105">
        <v>9620000649</v>
      </c>
      <c r="B747" s="106" t="s">
        <v>235</v>
      </c>
    </row>
    <row r="748" spans="1:2" x14ac:dyDescent="0.25">
      <c r="A748" s="105">
        <v>9620000650</v>
      </c>
      <c r="B748" s="106" t="s">
        <v>804</v>
      </c>
    </row>
    <row r="749" spans="1:2" x14ac:dyDescent="0.25">
      <c r="A749" s="105">
        <v>9620000653</v>
      </c>
      <c r="B749" s="106" t="s">
        <v>403</v>
      </c>
    </row>
    <row r="750" spans="1:2" x14ac:dyDescent="0.25">
      <c r="A750" s="105">
        <v>9620000655</v>
      </c>
      <c r="B750" s="106" t="s">
        <v>1138</v>
      </c>
    </row>
    <row r="751" spans="1:2" x14ac:dyDescent="0.25">
      <c r="A751" s="105">
        <v>9620000656</v>
      </c>
      <c r="B751" s="106" t="s">
        <v>446</v>
      </c>
    </row>
    <row r="752" spans="1:2" x14ac:dyDescent="0.25">
      <c r="A752" s="105">
        <v>9620000891</v>
      </c>
      <c r="B752" s="106" t="s">
        <v>109</v>
      </c>
    </row>
    <row r="753" spans="1:2" x14ac:dyDescent="0.25">
      <c r="A753" s="105">
        <v>9620000658</v>
      </c>
      <c r="B753" s="106" t="s">
        <v>109</v>
      </c>
    </row>
    <row r="754" spans="1:2" x14ac:dyDescent="0.25">
      <c r="A754" s="105">
        <v>9620000660</v>
      </c>
      <c r="B754" s="106" t="s">
        <v>487</v>
      </c>
    </row>
    <row r="755" spans="1:2" x14ac:dyDescent="0.25">
      <c r="A755" s="105">
        <v>9620000661</v>
      </c>
      <c r="B755" s="106" t="s">
        <v>805</v>
      </c>
    </row>
    <row r="756" spans="1:2" x14ac:dyDescent="0.25">
      <c r="A756" s="105">
        <v>9620000663</v>
      </c>
      <c r="B756" s="106" t="s">
        <v>806</v>
      </c>
    </row>
    <row r="757" spans="1:2" x14ac:dyDescent="0.25">
      <c r="A757" s="105">
        <v>9620088071</v>
      </c>
      <c r="B757" s="106" t="s">
        <v>1043</v>
      </c>
    </row>
    <row r="758" spans="1:2" x14ac:dyDescent="0.25">
      <c r="A758" s="105">
        <v>9620000666</v>
      </c>
      <c r="B758" s="106" t="s">
        <v>238</v>
      </c>
    </row>
    <row r="759" spans="1:2" x14ac:dyDescent="0.25">
      <c r="A759" s="105">
        <v>9620000893</v>
      </c>
      <c r="B759" s="106" t="s">
        <v>807</v>
      </c>
    </row>
    <row r="760" spans="1:2" x14ac:dyDescent="0.25">
      <c r="A760" s="105">
        <v>9620000894</v>
      </c>
      <c r="B760" s="106" t="s">
        <v>807</v>
      </c>
    </row>
    <row r="761" spans="1:2" x14ac:dyDescent="0.25">
      <c r="A761" s="105">
        <v>9620000667</v>
      </c>
      <c r="B761" s="106" t="s">
        <v>807</v>
      </c>
    </row>
    <row r="762" spans="1:2" x14ac:dyDescent="0.25">
      <c r="A762" s="105">
        <v>9620000247</v>
      </c>
      <c r="B762" s="106" t="s">
        <v>808</v>
      </c>
    </row>
    <row r="763" spans="1:2" x14ac:dyDescent="0.25">
      <c r="A763" s="105">
        <v>9620000668</v>
      </c>
      <c r="B763" s="106" t="s">
        <v>809</v>
      </c>
    </row>
    <row r="764" spans="1:2" x14ac:dyDescent="0.25">
      <c r="A764" s="105">
        <v>9620000670</v>
      </c>
      <c r="B764" s="106" t="s">
        <v>810</v>
      </c>
    </row>
    <row r="765" spans="1:2" x14ac:dyDescent="0.25">
      <c r="A765" s="105">
        <v>9620000897</v>
      </c>
      <c r="B765" s="106" t="s">
        <v>811</v>
      </c>
    </row>
    <row r="766" spans="1:2" x14ac:dyDescent="0.25">
      <c r="A766" s="105">
        <v>9620087975</v>
      </c>
      <c r="B766" s="106" t="s">
        <v>1044</v>
      </c>
    </row>
    <row r="767" spans="1:2" x14ac:dyDescent="0.25">
      <c r="A767" s="105">
        <v>9620088132</v>
      </c>
      <c r="B767" s="106" t="s">
        <v>1045</v>
      </c>
    </row>
    <row r="768" spans="1:2" x14ac:dyDescent="0.25">
      <c r="A768" s="105">
        <v>9620044382</v>
      </c>
      <c r="B768" s="106" t="s">
        <v>240</v>
      </c>
    </row>
    <row r="769" spans="1:2" x14ac:dyDescent="0.25">
      <c r="A769" s="105">
        <v>9620088111</v>
      </c>
      <c r="B769" s="106" t="s">
        <v>1046</v>
      </c>
    </row>
    <row r="770" spans="1:2" x14ac:dyDescent="0.25">
      <c r="A770" s="105">
        <v>9620000675</v>
      </c>
      <c r="B770" s="106" t="s">
        <v>812</v>
      </c>
    </row>
    <row r="771" spans="1:2" x14ac:dyDescent="0.25">
      <c r="A771" s="105">
        <v>9620088112</v>
      </c>
      <c r="B771" s="106" t="s">
        <v>1047</v>
      </c>
    </row>
    <row r="772" spans="1:2" x14ac:dyDescent="0.25">
      <c r="A772" s="105">
        <v>9620088006</v>
      </c>
      <c r="B772" s="106" t="s">
        <v>1048</v>
      </c>
    </row>
    <row r="773" spans="1:2" x14ac:dyDescent="0.25">
      <c r="A773" s="105">
        <v>9620088007</v>
      </c>
      <c r="B773" s="106" t="s">
        <v>1049</v>
      </c>
    </row>
    <row r="774" spans="1:2" x14ac:dyDescent="0.25">
      <c r="A774" s="105">
        <v>9620087932</v>
      </c>
      <c r="B774" s="106" t="s">
        <v>1050</v>
      </c>
    </row>
    <row r="775" spans="1:2" x14ac:dyDescent="0.25">
      <c r="A775" s="105">
        <v>9620088080</v>
      </c>
      <c r="B775" s="106" t="s">
        <v>1051</v>
      </c>
    </row>
    <row r="776" spans="1:2" x14ac:dyDescent="0.25">
      <c r="A776" s="105">
        <v>9620000678</v>
      </c>
      <c r="B776" s="106" t="s">
        <v>813</v>
      </c>
    </row>
    <row r="777" spans="1:2" x14ac:dyDescent="0.25">
      <c r="A777" s="105">
        <v>9620057283</v>
      </c>
      <c r="B777" s="106" t="s">
        <v>814</v>
      </c>
    </row>
    <row r="778" spans="1:2" x14ac:dyDescent="0.25">
      <c r="A778" s="105">
        <v>9620000682</v>
      </c>
      <c r="B778" s="106" t="s">
        <v>111</v>
      </c>
    </row>
    <row r="779" spans="1:2" x14ac:dyDescent="0.25">
      <c r="A779" s="105">
        <v>9620088008</v>
      </c>
      <c r="B779" s="106" t="s">
        <v>1052</v>
      </c>
    </row>
    <row r="780" spans="1:2" x14ac:dyDescent="0.25">
      <c r="A780" s="105">
        <v>9620088009</v>
      </c>
      <c r="B780" s="106" t="s">
        <v>1053</v>
      </c>
    </row>
    <row r="781" spans="1:2" x14ac:dyDescent="0.25">
      <c r="A781" s="105">
        <v>9620089389</v>
      </c>
      <c r="B781" s="106" t="s">
        <v>1054</v>
      </c>
    </row>
    <row r="782" spans="1:2" x14ac:dyDescent="0.25">
      <c r="A782" s="105">
        <v>9620088047</v>
      </c>
      <c r="B782" s="106" t="s">
        <v>1055</v>
      </c>
    </row>
    <row r="783" spans="1:2" x14ac:dyDescent="0.25">
      <c r="A783" s="105">
        <v>9620087953</v>
      </c>
      <c r="B783" s="106" t="s">
        <v>1056</v>
      </c>
    </row>
    <row r="784" spans="1:2" x14ac:dyDescent="0.25">
      <c r="A784" s="105">
        <v>9620000683</v>
      </c>
      <c r="B784" s="106" t="s">
        <v>241</v>
      </c>
    </row>
    <row r="785" spans="1:2" x14ac:dyDescent="0.25">
      <c r="A785" s="105">
        <v>9620088154</v>
      </c>
      <c r="B785" s="106" t="s">
        <v>1057</v>
      </c>
    </row>
    <row r="786" spans="1:2" x14ac:dyDescent="0.25">
      <c r="A786" s="105">
        <v>9620000685</v>
      </c>
      <c r="B786" s="106" t="s">
        <v>815</v>
      </c>
    </row>
    <row r="787" spans="1:2" x14ac:dyDescent="0.25">
      <c r="A787" s="105">
        <v>9620000686</v>
      </c>
      <c r="B787" s="106" t="s">
        <v>816</v>
      </c>
    </row>
    <row r="788" spans="1:2" x14ac:dyDescent="0.25">
      <c r="A788" s="105">
        <v>9620047086</v>
      </c>
      <c r="B788" s="106" t="s">
        <v>817</v>
      </c>
    </row>
    <row r="789" spans="1:2" x14ac:dyDescent="0.25">
      <c r="A789" s="105">
        <v>9620088133</v>
      </c>
      <c r="B789" s="106" t="s">
        <v>1058</v>
      </c>
    </row>
    <row r="790" spans="1:2" x14ac:dyDescent="0.25">
      <c r="A790" s="105">
        <v>9620088157</v>
      </c>
      <c r="B790" s="106" t="s">
        <v>1059</v>
      </c>
    </row>
    <row r="791" spans="1:2" x14ac:dyDescent="0.25">
      <c r="A791" s="105">
        <v>9620045024</v>
      </c>
      <c r="B791" s="106" t="s">
        <v>1139</v>
      </c>
    </row>
    <row r="792" spans="1:2" x14ac:dyDescent="0.25">
      <c r="A792" s="105">
        <v>9620052459</v>
      </c>
      <c r="B792" s="106" t="s">
        <v>1140</v>
      </c>
    </row>
    <row r="793" spans="1:2" x14ac:dyDescent="0.25">
      <c r="A793" s="105">
        <v>9620046963</v>
      </c>
      <c r="B793" s="106" t="s">
        <v>242</v>
      </c>
    </row>
    <row r="794" spans="1:2" x14ac:dyDescent="0.25">
      <c r="A794" s="105">
        <v>9620000699</v>
      </c>
      <c r="B794" s="106" t="s">
        <v>818</v>
      </c>
    </row>
    <row r="795" spans="1:2" x14ac:dyDescent="0.25">
      <c r="A795" s="105">
        <v>9620000702</v>
      </c>
      <c r="B795" s="106" t="s">
        <v>112</v>
      </c>
    </row>
    <row r="796" spans="1:2" x14ac:dyDescent="0.25">
      <c r="A796" s="105">
        <v>9620047832</v>
      </c>
      <c r="B796" s="106" t="s">
        <v>819</v>
      </c>
    </row>
    <row r="797" spans="1:2" x14ac:dyDescent="0.25">
      <c r="A797" s="105">
        <v>9620000705</v>
      </c>
      <c r="B797" s="106" t="s">
        <v>243</v>
      </c>
    </row>
    <row r="798" spans="1:2" x14ac:dyDescent="0.25">
      <c r="A798" s="105">
        <v>9620087954</v>
      </c>
      <c r="B798" s="106" t="s">
        <v>1060</v>
      </c>
    </row>
    <row r="799" spans="1:2" x14ac:dyDescent="0.25">
      <c r="A799" s="105">
        <v>9620047081</v>
      </c>
      <c r="B799" s="106" t="s">
        <v>244</v>
      </c>
    </row>
    <row r="800" spans="1:2" x14ac:dyDescent="0.25">
      <c r="A800" s="105">
        <v>9620089608</v>
      </c>
      <c r="B800" s="106" t="s">
        <v>820</v>
      </c>
    </row>
    <row r="801" spans="1:2" x14ac:dyDescent="0.25">
      <c r="A801" s="105">
        <v>9620089607</v>
      </c>
      <c r="B801" s="106" t="s">
        <v>821</v>
      </c>
    </row>
    <row r="802" spans="1:2" x14ac:dyDescent="0.25">
      <c r="A802" s="105">
        <v>9620089609</v>
      </c>
      <c r="B802" s="106" t="s">
        <v>822</v>
      </c>
    </row>
    <row r="803" spans="1:2" x14ac:dyDescent="0.25">
      <c r="A803" s="105">
        <v>9620088072</v>
      </c>
      <c r="B803" s="106" t="s">
        <v>1061</v>
      </c>
    </row>
    <row r="804" spans="1:2" x14ac:dyDescent="0.25">
      <c r="A804" s="105">
        <v>9620085956</v>
      </c>
      <c r="B804" s="106" t="s">
        <v>1062</v>
      </c>
    </row>
    <row r="805" spans="1:2" x14ac:dyDescent="0.25">
      <c r="A805" s="105">
        <v>9620000714</v>
      </c>
      <c r="B805" s="106" t="s">
        <v>245</v>
      </c>
    </row>
    <row r="806" spans="1:2" x14ac:dyDescent="0.25">
      <c r="A806" s="105">
        <v>9620000715</v>
      </c>
      <c r="B806" s="106" t="s">
        <v>246</v>
      </c>
    </row>
    <row r="807" spans="1:2" x14ac:dyDescent="0.25">
      <c r="A807" s="105">
        <v>9620088073</v>
      </c>
      <c r="B807" s="106" t="s">
        <v>1063</v>
      </c>
    </row>
    <row r="808" spans="1:2" x14ac:dyDescent="0.25">
      <c r="A808" s="105">
        <v>9620088010</v>
      </c>
      <c r="B808" s="106" t="s">
        <v>1064</v>
      </c>
    </row>
    <row r="809" spans="1:2" x14ac:dyDescent="0.25">
      <c r="A809" s="105">
        <v>9620088146</v>
      </c>
      <c r="B809" s="106" t="s">
        <v>1065</v>
      </c>
    </row>
    <row r="810" spans="1:2" x14ac:dyDescent="0.25">
      <c r="A810" s="105">
        <v>9620088115</v>
      </c>
      <c r="B810" s="106" t="s">
        <v>1066</v>
      </c>
    </row>
    <row r="811" spans="1:2" x14ac:dyDescent="0.25">
      <c r="A811" s="105">
        <v>9620000899</v>
      </c>
      <c r="B811" s="106" t="s">
        <v>823</v>
      </c>
    </row>
    <row r="812" spans="1:2" x14ac:dyDescent="0.25">
      <c r="A812" s="105">
        <v>99023000</v>
      </c>
      <c r="B812" s="106" t="s">
        <v>824</v>
      </c>
    </row>
    <row r="813" spans="1:2" x14ac:dyDescent="0.25">
      <c r="A813" s="105">
        <v>9620056392</v>
      </c>
      <c r="B813" s="106" t="s">
        <v>825</v>
      </c>
    </row>
    <row r="814" spans="1:2" x14ac:dyDescent="0.25">
      <c r="A814" s="105">
        <v>9620000723</v>
      </c>
      <c r="B814" s="106" t="s">
        <v>826</v>
      </c>
    </row>
    <row r="815" spans="1:2" x14ac:dyDescent="0.25">
      <c r="A815" s="105">
        <v>9620088134</v>
      </c>
      <c r="B815" s="106" t="s">
        <v>1067</v>
      </c>
    </row>
    <row r="816" spans="1:2" x14ac:dyDescent="0.25">
      <c r="A816" s="105">
        <v>9620088074</v>
      </c>
      <c r="B816" s="106" t="s">
        <v>1068</v>
      </c>
    </row>
    <row r="817" spans="1:2" x14ac:dyDescent="0.25">
      <c r="A817" s="105">
        <v>9620088048</v>
      </c>
      <c r="B817" s="106" t="s">
        <v>1069</v>
      </c>
    </row>
    <row r="818" spans="1:2" x14ac:dyDescent="0.25">
      <c r="A818" s="105">
        <v>9620088075</v>
      </c>
      <c r="B818" s="106" t="s">
        <v>1070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 Pending Invoices</vt:lpstr>
      <vt:lpstr>PIVOT</vt:lpstr>
      <vt:lpstr>BPs</vt:lpstr>
      <vt:lpstr>directory_snapshot</vt:lpstr>
      <vt:lpstr>List of active 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 Nguyen</dc:creator>
  <cp:lastModifiedBy>Jennifer Nguyen</cp:lastModifiedBy>
  <dcterms:created xsi:type="dcterms:W3CDTF">2015-06-05T18:17:20Z</dcterms:created>
  <dcterms:modified xsi:type="dcterms:W3CDTF">2021-07-13T15:14:31Z</dcterms:modified>
</cp:coreProperties>
</file>